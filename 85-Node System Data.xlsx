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One-line diagram of the system" sheetId="14" r:id="rId1"/>
    <sheet name="Peak Nodal Demands (kW)" sheetId="9" r:id="rId2"/>
    <sheet name="d" sheetId="1" state="hidden" r:id="rId3"/>
    <sheet name="Numbers of customers per node" sheetId="10" r:id="rId4"/>
    <sheet name="Datos Líneas" sheetId="5" state="hidden" r:id="rId5"/>
    <sheet name="Datos Líneas 2" sheetId="6" state="hidden" r:id="rId6"/>
    <sheet name="Viento" sheetId="3" state="hidden" r:id="rId7"/>
    <sheet name="Transformadores" sheetId="4" state="hidden" r:id="rId8"/>
    <sheet name="Distributed Generation" sheetId="7" state="hidden" r:id="rId9"/>
    <sheet name="Nudos Candidatos" sheetId="8" state="hidden" r:id="rId10"/>
    <sheet name="Hoja1" sheetId="12" state="hidden" r:id="rId11"/>
    <sheet name="Branch Lengths (km)" sheetId="2" r:id="rId12"/>
    <sheet name="Interruption durations (h)" sheetId="15" r:id="rId13"/>
    <sheet name="Other data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<sst xmlns="http://schemas.openxmlformats.org/spreadsheetml/2006/main" count="293" uniqueCount="240">
  <si>
    <t>Substation nodes</t>
  </si>
  <si>
    <t>101, 102</t>
  </si>
  <si>
    <t>Load nodes</t>
  </si>
  <si>
    <t>1–83</t>
  </si>
  <si>
    <t>Node</t>
  </si>
  <si>
    <t>Peak Nodad Demands (kW)</t>
  </si>
  <si>
    <t>#BUS</t>
  </si>
  <si>
    <t>NAME</t>
  </si>
  <si>
    <t>TBUS</t>
  </si>
  <si>
    <t>VM0</t>
  </si>
  <si>
    <t>VA0</t>
  </si>
  <si>
    <t>PD</t>
  </si>
  <si>
    <t>QD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</si>
  <si>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</si>
  <si>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</si>
  <si>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</si>
  <si>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</si>
  <si>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</si>
  <si>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</si>
  <si>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</si>
  <si>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</si>
  <si>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</si>
  <si>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</si>
  <si>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#</t>
  </si>
  <si>
    <t>[pu]</t>
  </si>
  <si>
    <t>[rad]</t>
  </si>
  <si>
    <t>[kVA]</t>
  </si>
  <si>
    <t>Bus 201(SS1)</t>
  </si>
  <si>
    <t>Bus 202(SS2)</t>
  </si>
  <si>
    <t xml:space="preserve">Bus   2     </t>
  </si>
  <si>
    <t xml:space="preserve">Bus   3     </t>
  </si>
  <si>
    <t xml:space="preserve">Bus   4     </t>
  </si>
  <si>
    <t xml:space="preserve">Bus   5     </t>
  </si>
  <si>
    <t xml:space="preserve">Bus   6     </t>
  </si>
  <si>
    <t xml:space="preserve">Bus   7     </t>
  </si>
  <si>
    <t xml:space="preserve">Bus   8     </t>
  </si>
  <si>
    <t xml:space="preserve">Bus   9     </t>
  </si>
  <si>
    <t xml:space="preserve">Bus  10     </t>
  </si>
  <si>
    <t xml:space="preserve">Bus  11     </t>
  </si>
  <si>
    <t xml:space="preserve">Bus  12     </t>
  </si>
  <si>
    <t xml:space="preserve">Bus  13     </t>
  </si>
  <si>
    <t xml:space="preserve">Bus  14     </t>
  </si>
  <si>
    <t xml:space="preserve">Bus  15     </t>
  </si>
  <si>
    <t xml:space="preserve">Bus  16     </t>
  </si>
  <si>
    <t xml:space="preserve">Bus  17     </t>
  </si>
  <si>
    <t xml:space="preserve">Bus  18     </t>
  </si>
  <si>
    <t xml:space="preserve">Bus  19     </t>
  </si>
  <si>
    <t xml:space="preserve">Bus  20     </t>
  </si>
  <si>
    <t xml:space="preserve">Bus  21     </t>
  </si>
  <si>
    <t xml:space="preserve">Bus  22     </t>
  </si>
  <si>
    <t xml:space="preserve">Bus  23     </t>
  </si>
  <si>
    <t xml:space="preserve">Bus  24     </t>
  </si>
  <si>
    <t xml:space="preserve">Bus  25     </t>
  </si>
  <si>
    <t xml:space="preserve">Bus  26     </t>
  </si>
  <si>
    <t xml:space="preserve">Bus  27     </t>
  </si>
  <si>
    <t xml:space="preserve">Bus  28     </t>
  </si>
  <si>
    <t xml:space="preserve">Bus  29     </t>
  </si>
  <si>
    <t xml:space="preserve">Bus  30     </t>
  </si>
  <si>
    <t xml:space="preserve">Bus  31     </t>
  </si>
  <si>
    <t xml:space="preserve">Bus  32     </t>
  </si>
  <si>
    <t xml:space="preserve">Bus  33     </t>
  </si>
  <si>
    <t xml:space="preserve">Bus  34     </t>
  </si>
  <si>
    <t xml:space="preserve">Bus  35     </t>
  </si>
  <si>
    <t xml:space="preserve">Bus  36     </t>
  </si>
  <si>
    <t xml:space="preserve">Bus  37     </t>
  </si>
  <si>
    <t xml:space="preserve">Bus  38     </t>
  </si>
  <si>
    <t xml:space="preserve">Bus  39     </t>
  </si>
  <si>
    <t xml:space="preserve">Bus  40     </t>
  </si>
  <si>
    <t xml:space="preserve">Bus  41     </t>
  </si>
  <si>
    <t xml:space="preserve">Bus  42     </t>
  </si>
  <si>
    <t xml:space="preserve">Bus  43     </t>
  </si>
  <si>
    <t xml:space="preserve">Bus  44     </t>
  </si>
  <si>
    <t xml:space="preserve">Bus  45     </t>
  </si>
  <si>
    <t xml:space="preserve">Bus  46     </t>
  </si>
  <si>
    <t xml:space="preserve">Bus  47     </t>
  </si>
  <si>
    <t xml:space="preserve">Bus  48     </t>
  </si>
  <si>
    <t xml:space="preserve">Bus  49     </t>
  </si>
  <si>
    <t xml:space="preserve">Bus  50     </t>
  </si>
  <si>
    <t xml:space="preserve">Bus  51     </t>
  </si>
  <si>
    <t xml:space="preserve">Bus  52     </t>
  </si>
  <si>
    <t xml:space="preserve">Bus  53     </t>
  </si>
  <si>
    <t xml:space="preserve">Bus  54     </t>
  </si>
  <si>
    <t xml:space="preserve">Bus  55     </t>
  </si>
  <si>
    <t xml:space="preserve">Bus  56     </t>
  </si>
  <si>
    <t xml:space="preserve">Bus  57     </t>
  </si>
  <si>
    <t xml:space="preserve">Bus  58     </t>
  </si>
  <si>
    <t xml:space="preserve">Bus  59     </t>
  </si>
  <si>
    <t xml:space="preserve">Bus  60     </t>
  </si>
  <si>
    <t xml:space="preserve">Bus  61     </t>
  </si>
  <si>
    <t xml:space="preserve">Bus  62     </t>
  </si>
  <si>
    <t xml:space="preserve">Bus  63     </t>
  </si>
  <si>
    <t xml:space="preserve">Bus  64     </t>
  </si>
  <si>
    <t xml:space="preserve">Bus  65     </t>
  </si>
  <si>
    <t xml:space="preserve">Bus  66     </t>
  </si>
  <si>
    <t xml:space="preserve">Bus  67     </t>
  </si>
  <si>
    <t xml:space="preserve">Bus  68     </t>
  </si>
  <si>
    <t xml:space="preserve">Bus  69     </t>
  </si>
  <si>
    <t xml:space="preserve">Bus  70     </t>
  </si>
  <si>
    <t xml:space="preserve">Bus  71     </t>
  </si>
  <si>
    <t xml:space="preserve">Bus  72     </t>
  </si>
  <si>
    <t xml:space="preserve">Bus  73     </t>
  </si>
  <si>
    <t xml:space="preserve">Bus  74     </t>
  </si>
  <si>
    <t xml:space="preserve">Bus  75     </t>
  </si>
  <si>
    <t xml:space="preserve">Bus  76     </t>
  </si>
  <si>
    <t xml:space="preserve">Bus  77     </t>
  </si>
  <si>
    <t xml:space="preserve">Bus  78     </t>
  </si>
  <si>
    <t xml:space="preserve">Bus  79     </t>
  </si>
  <si>
    <t xml:space="preserve">Bus  80     </t>
  </si>
  <si>
    <t xml:space="preserve">Bus  81     </t>
  </si>
  <si>
    <t xml:space="preserve">Bus  82     </t>
  </si>
  <si>
    <t xml:space="preserve">Bus  83     </t>
  </si>
  <si>
    <t xml:space="preserve">Bus  84     </t>
  </si>
  <si>
    <t xml:space="preserve">Bus  85     </t>
  </si>
  <si>
    <t xml:space="preserve">Bus  86     </t>
  </si>
  <si>
    <t xml:space="preserve">Bus  87     </t>
  </si>
  <si>
    <t xml:space="preserve">Bus  88     </t>
  </si>
  <si>
    <t xml:space="preserve">Bus  89     </t>
  </si>
  <si>
    <t xml:space="preserve">Bus  90     </t>
  </si>
  <si>
    <t xml:space="preserve">Bus  91     </t>
  </si>
  <si>
    <t xml:space="preserve">Bus  92     </t>
  </si>
  <si>
    <t xml:space="preserve">Bus  93     </t>
  </si>
  <si>
    <t xml:space="preserve">Bus  94     </t>
  </si>
  <si>
    <t xml:space="preserve">Bus  95     </t>
  </si>
  <si>
    <t xml:space="preserve">Bus  96     </t>
  </si>
  <si>
    <t xml:space="preserve">Bus  97     </t>
  </si>
  <si>
    <t xml:space="preserve">Bus  98     </t>
  </si>
  <si>
    <t xml:space="preserve">Bus  99     </t>
  </si>
  <si>
    <t xml:space="preserve">Bus 100     </t>
  </si>
  <si>
    <t xml:space="preserve">Bus 101     </t>
  </si>
  <si>
    <t xml:space="preserve">Bus 102     </t>
  </si>
  <si>
    <t xml:space="preserve">Bus 103     </t>
  </si>
  <si>
    <t xml:space="preserve">Bus 104     </t>
  </si>
  <si>
    <t xml:space="preserve">Bus 105     </t>
  </si>
  <si>
    <t xml:space="preserve">Bus 106     </t>
  </si>
  <si>
    <t xml:space="preserve">Bus 107     </t>
  </si>
  <si>
    <t xml:space="preserve">Bus 108     </t>
  </si>
  <si>
    <t xml:space="preserve">Bus 109     </t>
  </si>
  <si>
    <t xml:space="preserve">Bus 110     </t>
  </si>
  <si>
    <t xml:space="preserve">Bus 111     </t>
  </si>
  <si>
    <t xml:space="preserve">Bus 112     </t>
  </si>
  <si>
    <t xml:space="preserve">Bus 113     </t>
  </si>
  <si>
    <t xml:space="preserve">Bus 114     </t>
  </si>
  <si>
    <t xml:space="preserve">Bus 115     </t>
  </si>
  <si>
    <t xml:space="preserve">Bus 116     </t>
  </si>
  <si>
    <t xml:space="preserve">Bus 117     </t>
  </si>
  <si>
    <t xml:space="preserve">Bus 118     </t>
  </si>
  <si>
    <t xml:space="preserve">Bus 119     </t>
  </si>
  <si>
    <t xml:space="preserve">Bus 120     </t>
  </si>
  <si>
    <t xml:space="preserve">Bus 121     </t>
  </si>
  <si>
    <t xml:space="preserve">Bus 122     </t>
  </si>
  <si>
    <t xml:space="preserve">Bus 123     </t>
  </si>
  <si>
    <t xml:space="preserve">Bus 124     </t>
  </si>
  <si>
    <t xml:space="preserve">Bus 125     </t>
  </si>
  <si>
    <t xml:space="preserve">Bus 126     </t>
  </si>
  <si>
    <t xml:space="preserve">Bus 127     </t>
  </si>
  <si>
    <t xml:space="preserve">Bus 128     </t>
  </si>
  <si>
    <t xml:space="preserve">Bus 129     </t>
  </si>
  <si>
    <t xml:space="preserve">Bus 130     </t>
  </si>
  <si>
    <t xml:space="preserve">Bus 131     </t>
  </si>
  <si>
    <t xml:space="preserve">Bus 132     </t>
  </si>
  <si>
    <t xml:space="preserve">Bus 133     </t>
  </si>
  <si>
    <t xml:space="preserve">Bus 134     </t>
  </si>
  <si>
    <t xml:space="preserve">Bus 135     </t>
  </si>
  <si>
    <t xml:space="preserve">Bus 136     </t>
  </si>
  <si>
    <t>Numbers of Customers per Node</t>
  </si>
  <si>
    <t>FROM</t>
  </si>
  <si>
    <t>TO</t>
  </si>
  <si>
    <t>LENGTH (km)</t>
  </si>
  <si>
    <t>Resistencia</t>
  </si>
  <si>
    <t>Impedancia</t>
  </si>
  <si>
    <t>Conductors</t>
  </si>
  <si>
    <t>Alternative 1</t>
  </si>
  <si>
    <t>Alternative 2</t>
  </si>
  <si>
    <t>Exist</t>
  </si>
  <si>
    <t>Capacity
(MVA)</t>
  </si>
  <si>
    <t>Impedance
(Ohmios/km)</t>
  </si>
  <si>
    <t>Resistance
(Ohmios/km)</t>
  </si>
  <si>
    <t>C. Inver
($/km)</t>
  </si>
  <si>
    <t>EFF &amp; ERF</t>
  </si>
  <si>
    <t>-</t>
  </si>
  <si>
    <t>NRF</t>
  </si>
  <si>
    <t>NAF</t>
  </si>
  <si>
    <t>VB</t>
  </si>
  <si>
    <t>SB</t>
  </si>
  <si>
    <t>pf</t>
  </si>
  <si>
    <t>Parámetro Aij linealizacion</t>
  </si>
  <si>
    <t>Parámetro Bij linealizacion</t>
  </si>
  <si>
    <t>Exist.1</t>
  </si>
  <si>
    <t>Exist.2</t>
  </si>
  <si>
    <t>Exist.3</t>
  </si>
  <si>
    <t>Demanda 
ordenada(MW)</t>
  </si>
  <si>
    <t>Velocidad de viento
ordenadas (m/s)</t>
  </si>
  <si>
    <t>B1</t>
  </si>
  <si>
    <t>B2</t>
  </si>
  <si>
    <t>Zone</t>
  </si>
  <si>
    <t>Load level</t>
  </si>
  <si>
    <t>B3</t>
  </si>
  <si>
    <t>A</t>
  </si>
  <si>
    <t>B</t>
  </si>
  <si>
    <t>C</t>
  </si>
  <si>
    <t>Alternative</t>
  </si>
  <si>
    <t>Impedance
(Ohmios)</t>
  </si>
  <si>
    <t>C. Mant
($)</t>
  </si>
  <si>
    <t>C. Inver
($)</t>
  </si>
  <si>
    <t>C. Prod
($)</t>
  </si>
  <si>
    <t>Coste Fijo
($)</t>
  </si>
  <si>
    <t>SS1</t>
  </si>
  <si>
    <t>SS2</t>
  </si>
  <si>
    <t>SS3</t>
  </si>
  <si>
    <t>PARAMETRO A DE LINEALIZACION</t>
  </si>
  <si>
    <t>EXIST.1</t>
  </si>
  <si>
    <t>EXIST.2</t>
  </si>
  <si>
    <t>EXIST.3</t>
  </si>
  <si>
    <t>S1</t>
  </si>
  <si>
    <t>S2</t>
  </si>
  <si>
    <t>S3</t>
  </si>
  <si>
    <t>PARAMETRO B DE LINEALIZACION</t>
  </si>
  <si>
    <t>RESISTENCIA TRANSFORMADORES</t>
  </si>
  <si>
    <t>EXIST</t>
  </si>
  <si>
    <t>DG
alternative</t>
  </si>
  <si>
    <t>Conventional</t>
  </si>
  <si>
    <t>Wind</t>
  </si>
  <si>
    <t>C. Inver
($/MVA)</t>
  </si>
  <si>
    <t>C. Produc
($/MVAh)</t>
  </si>
  <si>
    <t>Nudos GC</t>
  </si>
  <si>
    <t>Nudos Zonas eólicas</t>
  </si>
  <si>
    <t>Stage</t>
  </si>
  <si>
    <t>From</t>
  </si>
  <si>
    <t>to</t>
  </si>
  <si>
    <t>Branch Lengths (km)</t>
  </si>
  <si>
    <t>Interruption durations (h)</t>
  </si>
  <si>
    <t>Repair and switching</t>
  </si>
  <si>
    <t>Switching only</t>
  </si>
  <si>
    <t>Base voltage (kV)</t>
  </si>
  <si>
    <t>Base power (MVA)</t>
  </si>
  <si>
    <t>Number of load levels</t>
  </si>
  <si>
    <t>Loading factors of load levels (%)</t>
  </si>
  <si>
    <t>Duration of load levels (h/year)</t>
  </si>
  <si>
    <t>Failure rate (failures/year km)</t>
  </si>
  <si>
    <t>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</si>
</sst>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"/>
    <numFmt numFmtId="178" formatCode="0.000000000"/>
    <numFmt numFmtId="179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3" borderId="0" xfId="0" applyFill="1"/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right" indent="2"/>
    </xf>
    <xf numFmtId="2" fontId="0" fillId="4" borderId="0" xfId="0" applyNumberFormat="1" applyFill="1" applyAlignment="1">
      <alignment horizontal="center"/>
    </xf>
    <xf numFmtId="2" fontId="0" fillId="0" borderId="0" xfId="0" applyNumberFormat="1"/>
    <xf numFmtId="0" fontId="1" fillId="4" borderId="0" xfId="0" applyFont="1" applyFill="1"/>
    <xf numFmtId="0" fontId="0" fillId="4" borderId="0" xfId="0" applyFill="1" applyAlignment="1">
      <alignment horizontal="right"/>
    </xf>
    <xf numFmtId="176" fontId="0" fillId="4" borderId="0" xfId="0" applyNumberFormat="1" applyFill="1" applyAlignment="1">
      <alignment horizontal="center"/>
    </xf>
    <xf numFmtId="176" fontId="0" fillId="0" borderId="0" xfId="0" applyNumberFormat="1"/>
    <xf numFmtId="177" fontId="0" fillId="0" borderId="0" xfId="0" applyNumberFormat="1"/>
    <xf numFmtId="2" fontId="1" fillId="2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right" indent="3"/>
    </xf>
    <xf numFmtId="1" fontId="0" fillId="4" borderId="0" xfId="0" applyNumberFormat="1" applyFill="1" applyAlignment="1">
      <alignment horizontal="right" indent="3"/>
    </xf>
    <xf numFmtId="1" fontId="0" fillId="0" borderId="0" xfId="0" applyNumberFormat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/>
    <xf numFmtId="11" fontId="0" fillId="0" borderId="0" xfId="0" applyNumberFormat="1"/>
    <xf numFmtId="0" fontId="0" fillId="8" borderId="0" xfId="0" applyFill="1" applyAlignment="1">
      <alignment horizontal="right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1" borderId="0" xfId="0" applyFill="1"/>
    <xf numFmtId="0" fontId="0" fillId="11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8" borderId="0" xfId="0" applyFont="1" applyFill="1" applyAlignment="1">
      <alignment horizontal="center"/>
    </xf>
    <xf numFmtId="17" fontId="0" fillId="0" borderId="0" xfId="0" applyNumberFormat="1"/>
    <xf numFmtId="0" fontId="0" fillId="5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7" borderId="0" xfId="0" applyFill="1"/>
    <xf numFmtId="178" fontId="0" fillId="0" borderId="0" xfId="0" applyNumberFormat="1"/>
    <xf numFmtId="0" fontId="0" fillId="10" borderId="0" xfId="0" applyFill="1"/>
    <xf numFmtId="0" fontId="0" fillId="6" borderId="0" xfId="0" applyFill="1"/>
    <xf numFmtId="0" fontId="0" fillId="0" borderId="0" xfId="0" applyFill="1"/>
    <xf numFmtId="177" fontId="0" fillId="6" borderId="0" xfId="0" applyNumberFormat="1" applyFill="1"/>
    <xf numFmtId="2" fontId="1" fillId="2" borderId="0" xfId="0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0" fillId="12" borderId="0" xfId="0" applyFill="1"/>
    <xf numFmtId="0" fontId="0" fillId="5" borderId="0" xfId="0" applyFill="1"/>
    <xf numFmtId="1" fontId="0" fillId="8" borderId="0" xfId="0" applyNumberFormat="1" applyFill="1"/>
    <xf numFmtId="179" fontId="0" fillId="0" borderId="0" xfId="0" applyNumberFormat="1"/>
    <xf numFmtId="179" fontId="0" fillId="5" borderId="0" xfId="0" applyNumberFormat="1" applyFill="1"/>
    <xf numFmtId="0" fontId="1" fillId="0" borderId="0" xfId="0" applyFont="1" applyFill="1"/>
    <xf numFmtId="2" fontId="0" fillId="0" borderId="0" xfId="0" applyNumberFormat="1" applyFill="1" applyAlignment="1">
      <alignment horizontal="right" indent="1"/>
    </xf>
    <xf numFmtId="179" fontId="0" fillId="4" borderId="0" xfId="0" applyNumberFormat="1" applyFill="1" applyAlignment="1">
      <alignment horizontal="center"/>
    </xf>
    <xf numFmtId="2" fontId="0" fillId="0" borderId="0" xfId="0" applyNumberFormat="1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9524</xdr:colOff>
      <xdr:row>30</xdr:row>
      <xdr:rowOff>4514</xdr:rowOff>
    </xdr:to>
    <xdr:pic>
      <xdr:nvPicPr>
        <xdr:cNvPr id="258" name="Imagen 2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432675" cy="5147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:K2"/>
  <sheetViews>
    <sheetView workbookViewId="0">
      <selection activeCell="K11" sqref="K11"/>
    </sheetView>
  </sheetViews>
  <sheetFormatPr defaultColWidth="11" defaultRowHeight="13.5" outlineLevelRow="1"/>
  <cols>
    <col min="9" max="9" width="9.425" customWidth="1"/>
    <col min="10" max="10" width="20.425" customWidth="1"/>
  </cols>
  <sheetData>
    <row r="1" spans="10:11">
      <c r="J1" s="66" t="s">
        <v>0</v>
      </c>
      <c r="K1" t="s">
        <v>1</v>
      </c>
    </row>
    <row r="2" spans="10:11">
      <c r="J2" s="66" t="s">
        <v>2</v>
      </c>
      <c r="K2" t="s">
        <v>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8"/>
  <sheetViews>
    <sheetView tabSelected="1" topLeftCell="A52" workbookViewId="0">
      <selection activeCell="D44" sqref="D44"/>
    </sheetView>
  </sheetViews>
  <sheetFormatPr defaultColWidth="11" defaultRowHeight="13.5"/>
  <cols>
    <col min="1" max="1" width="9.28333333333333" style="62" customWidth="1"/>
    <col min="2" max="2" width="25.425" style="63" customWidth="1"/>
    <col min="3" max="16384" width="11.425" style="53"/>
  </cols>
  <sheetData>
    <row r="1" customFormat="1" spans="1:14">
      <c r="A1" s="8" t="s">
        <v>4</v>
      </c>
      <c r="B1" s="55" t="s">
        <v>5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customFormat="1" spans="1:14">
      <c r="A2" s="8"/>
      <c r="B2" s="55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1" spans="1:14">
      <c r="A3" s="19">
        <v>1</v>
      </c>
      <c r="B3" s="64">
        <v>375.6</v>
      </c>
      <c r="C3" s="53"/>
      <c r="D3" s="65"/>
      <c r="E3"/>
      <c r="F3" s="65"/>
      <c r="G3" s="65"/>
      <c r="H3" s="65"/>
      <c r="I3" s="65"/>
      <c r="J3" s="65"/>
      <c r="K3" s="65"/>
      <c r="L3" s="65"/>
      <c r="M3" s="65"/>
      <c r="N3" s="53"/>
    </row>
    <row r="4" customFormat="1" spans="1:14">
      <c r="A4" s="19">
        <v>2</v>
      </c>
      <c r="B4" s="64">
        <v>74.6</v>
      </c>
      <c r="C4" s="53"/>
      <c r="D4" s="65"/>
      <c r="E4"/>
      <c r="F4" s="65"/>
      <c r="G4" s="65"/>
      <c r="H4" s="65"/>
      <c r="I4" s="65"/>
      <c r="J4" s="65"/>
      <c r="K4" s="65"/>
      <c r="L4" s="65"/>
      <c r="M4" s="65"/>
    </row>
    <row r="5" customFormat="1" spans="1:14">
      <c r="A5" s="19">
        <v>3</v>
      </c>
      <c r="B5" s="64">
        <v>66.4</v>
      </c>
      <c r="C5" s="53"/>
      <c r="D5" s="65"/>
      <c r="E5"/>
      <c r="F5" s="65"/>
      <c r="G5" s="65"/>
      <c r="H5" s="65"/>
      <c r="I5" s="65"/>
      <c r="J5" s="65"/>
      <c r="K5" s="65"/>
      <c r="L5" s="65"/>
      <c r="M5" s="65"/>
    </row>
    <row r="6" customFormat="1" spans="1:14">
      <c r="A6" s="19">
        <v>4</v>
      </c>
      <c r="B6" s="64">
        <v>135.8</v>
      </c>
      <c r="C6" s="53"/>
      <c r="D6" s="65"/>
      <c r="E6"/>
      <c r="F6" s="65"/>
      <c r="G6" s="65"/>
      <c r="H6" s="65"/>
      <c r="I6" s="65"/>
      <c r="J6" s="65"/>
      <c r="K6" s="65"/>
      <c r="L6" s="65"/>
      <c r="M6" s="65"/>
    </row>
    <row r="7" customFormat="1" spans="1:14">
      <c r="A7" s="19">
        <v>5</v>
      </c>
      <c r="B7" s="64">
        <v>485.8</v>
      </c>
      <c r="C7" s="53"/>
      <c r="D7" s="65"/>
      <c r="E7"/>
      <c r="F7" s="65"/>
      <c r="G7" s="65"/>
      <c r="H7" s="65"/>
      <c r="I7" s="65"/>
      <c r="J7" s="65"/>
      <c r="K7" s="65"/>
      <c r="L7" s="65"/>
      <c r="M7" s="65"/>
    </row>
    <row r="8" customFormat="1" spans="1:14">
      <c r="A8" s="19">
        <v>6</v>
      </c>
      <c r="B8" s="64">
        <v>232.3</v>
      </c>
      <c r="C8" s="53"/>
      <c r="D8" s="65"/>
      <c r="E8"/>
      <c r="F8" s="65"/>
      <c r="G8" s="65"/>
      <c r="H8" s="65"/>
      <c r="I8" s="65"/>
      <c r="J8" s="65"/>
      <c r="K8" s="65"/>
      <c r="L8" s="65"/>
      <c r="M8" s="65"/>
    </row>
    <row r="9" customFormat="1" spans="1:14">
      <c r="A9" s="19">
        <v>7</v>
      </c>
      <c r="B9" s="64">
        <v>372.5</v>
      </c>
      <c r="C9" s="53"/>
      <c r="D9" s="65"/>
      <c r="E9"/>
      <c r="F9" s="65"/>
      <c r="G9" s="65"/>
      <c r="H9" s="65"/>
      <c r="I9" s="65"/>
      <c r="J9" s="65"/>
      <c r="K9" s="65"/>
      <c r="L9" s="65"/>
      <c r="M9" s="65"/>
    </row>
    <row r="10" customFormat="1" spans="1:14">
      <c r="A10" s="19">
        <v>8</v>
      </c>
      <c r="B10" s="64">
        <v>97.2</v>
      </c>
      <c r="C10" s="53"/>
      <c r="D10" s="65"/>
      <c r="E10"/>
      <c r="F10" s="65"/>
      <c r="G10" s="65"/>
      <c r="H10" s="65"/>
      <c r="I10" s="65"/>
      <c r="J10" s="65"/>
      <c r="K10" s="65"/>
      <c r="L10" s="65"/>
      <c r="M10" s="65"/>
    </row>
    <row r="11" customFormat="1" spans="1:14">
      <c r="A11" s="19">
        <v>9</v>
      </c>
      <c r="B11" s="64">
        <v>194.4</v>
      </c>
      <c r="C11" s="53"/>
      <c r="D11" s="65"/>
      <c r="E11"/>
      <c r="F11" s="65"/>
      <c r="G11" s="65"/>
      <c r="H11" s="65"/>
      <c r="I11" s="65"/>
      <c r="J11" s="65"/>
      <c r="K11" s="65"/>
      <c r="L11" s="65"/>
      <c r="M11" s="65"/>
    </row>
    <row r="12" customFormat="1" spans="1:14">
      <c r="A12" s="19">
        <v>10</v>
      </c>
      <c r="B12" s="64">
        <v>218.7</v>
      </c>
      <c r="C12" s="53"/>
      <c r="D12" s="65"/>
      <c r="E12"/>
      <c r="F12" s="65"/>
      <c r="G12" s="65"/>
      <c r="H12" s="65"/>
      <c r="I12" s="65"/>
      <c r="J12" s="65"/>
      <c r="K12" s="65"/>
      <c r="L12" s="65"/>
      <c r="M12" s="65"/>
    </row>
    <row r="13" customFormat="1" spans="1:14">
      <c r="A13" s="19">
        <v>11</v>
      </c>
      <c r="B13" s="64">
        <v>182.3</v>
      </c>
      <c r="C13" s="53"/>
      <c r="D13" s="65"/>
      <c r="E13"/>
      <c r="F13" s="65"/>
      <c r="G13" s="65"/>
      <c r="H13" s="65"/>
      <c r="I13" s="65"/>
      <c r="J13" s="65"/>
      <c r="K13" s="65"/>
      <c r="L13" s="65"/>
      <c r="M13" s="65"/>
    </row>
    <row r="14" customFormat="1" spans="1:14">
      <c r="A14" s="19">
        <v>12</v>
      </c>
      <c r="B14" s="64">
        <v>388.9</v>
      </c>
      <c r="C14" s="53"/>
      <c r="D14" s="65"/>
      <c r="E14"/>
      <c r="F14" s="65"/>
      <c r="G14" s="65"/>
      <c r="H14" s="65"/>
      <c r="I14" s="65"/>
      <c r="J14" s="65"/>
      <c r="K14" s="65"/>
      <c r="L14" s="65"/>
      <c r="M14" s="65"/>
    </row>
    <row r="15" customFormat="1" spans="1:14">
      <c r="A15" s="19">
        <v>13</v>
      </c>
      <c r="B15" s="64">
        <v>454.6</v>
      </c>
      <c r="C15" s="53"/>
      <c r="D15" s="65"/>
      <c r="E15"/>
      <c r="F15" s="65"/>
      <c r="G15" s="65"/>
      <c r="H15" s="65"/>
      <c r="I15" s="65"/>
      <c r="J15" s="65"/>
      <c r="K15" s="65"/>
      <c r="L15" s="65"/>
      <c r="M15" s="65"/>
    </row>
    <row r="16" customFormat="1" spans="1:14">
      <c r="A16" s="19">
        <v>14</v>
      </c>
      <c r="B16" s="64">
        <v>474</v>
      </c>
      <c r="C16" s="53"/>
      <c r="D16" s="65"/>
      <c r="E16"/>
      <c r="F16" s="65"/>
      <c r="G16" s="65"/>
      <c r="H16" s="65"/>
      <c r="I16" s="65"/>
      <c r="J16" s="65"/>
      <c r="K16" s="65"/>
      <c r="L16" s="65"/>
      <c r="M16" s="65"/>
    </row>
    <row r="17" customFormat="1" spans="1:13">
      <c r="A17" s="19">
        <v>15</v>
      </c>
      <c r="B17" s="64">
        <v>336.1</v>
      </c>
      <c r="C17" s="53"/>
      <c r="D17" s="65"/>
      <c r="E17"/>
      <c r="F17" s="65"/>
      <c r="G17" s="65"/>
      <c r="H17" s="65"/>
      <c r="I17" s="65"/>
      <c r="J17" s="65"/>
      <c r="K17" s="65"/>
      <c r="L17" s="65"/>
      <c r="M17" s="65"/>
    </row>
    <row r="18" customFormat="1" spans="1:13">
      <c r="A18" s="19">
        <v>16</v>
      </c>
      <c r="B18" s="64">
        <v>309.9</v>
      </c>
      <c r="C18" s="53"/>
      <c r="D18" s="65"/>
      <c r="E18"/>
      <c r="F18" s="65"/>
      <c r="G18" s="65"/>
      <c r="H18" s="65"/>
      <c r="I18" s="65"/>
      <c r="J18" s="65"/>
      <c r="K18" s="65"/>
      <c r="L18" s="65"/>
      <c r="M18" s="65"/>
    </row>
    <row r="19" customFormat="1" spans="1:13">
      <c r="A19" s="19">
        <v>17</v>
      </c>
      <c r="B19" s="64">
        <v>622.1</v>
      </c>
      <c r="C19" s="53"/>
      <c r="D19" s="65"/>
      <c r="E19"/>
      <c r="F19" s="65"/>
      <c r="G19" s="65"/>
      <c r="H19" s="65"/>
      <c r="I19" s="65"/>
      <c r="J19" s="65"/>
      <c r="K19" s="65"/>
      <c r="L19" s="65"/>
      <c r="M19" s="65"/>
    </row>
    <row r="20" customFormat="1" spans="1:13">
      <c r="A20" s="19">
        <v>18</v>
      </c>
      <c r="B20" s="64">
        <v>229.1</v>
      </c>
      <c r="C20" s="53"/>
      <c r="D20" s="65"/>
      <c r="E20"/>
      <c r="F20" s="65"/>
      <c r="G20" s="65"/>
      <c r="H20" s="65"/>
      <c r="I20" s="65"/>
      <c r="J20" s="65"/>
      <c r="K20" s="65"/>
      <c r="L20" s="65"/>
      <c r="M20" s="65"/>
    </row>
    <row r="21" customFormat="1" spans="1:13">
      <c r="A21" s="19">
        <v>19</v>
      </c>
      <c r="B21" s="64">
        <v>108.8</v>
      </c>
      <c r="C21" s="53"/>
      <c r="D21" s="65"/>
      <c r="E21"/>
      <c r="F21" s="65"/>
      <c r="G21" s="65"/>
      <c r="H21" s="65"/>
      <c r="I21" s="65"/>
      <c r="J21" s="65"/>
      <c r="K21" s="65"/>
      <c r="L21" s="65"/>
      <c r="M21" s="65"/>
    </row>
    <row r="22" customFormat="1" spans="1:13">
      <c r="A22" s="19">
        <v>20</v>
      </c>
      <c r="B22" s="64">
        <v>48.6</v>
      </c>
      <c r="C22" s="53"/>
      <c r="D22" s="65"/>
      <c r="E22"/>
      <c r="F22" s="65"/>
      <c r="G22" s="65"/>
      <c r="H22" s="65"/>
      <c r="I22" s="65"/>
      <c r="J22" s="65"/>
      <c r="K22" s="65"/>
      <c r="L22" s="65"/>
      <c r="M22" s="65"/>
    </row>
    <row r="23" customFormat="1" spans="1:13">
      <c r="A23" s="19">
        <v>21</v>
      </c>
      <c r="B23" s="64">
        <v>372.8</v>
      </c>
      <c r="C23" s="53"/>
      <c r="D23" s="65"/>
      <c r="E23"/>
      <c r="F23" s="65"/>
      <c r="G23" s="65"/>
      <c r="H23" s="65"/>
      <c r="I23" s="65"/>
      <c r="J23" s="65"/>
      <c r="K23" s="65"/>
      <c r="L23" s="65"/>
      <c r="M23" s="65"/>
    </row>
    <row r="24" customFormat="1" spans="1:13">
      <c r="A24" s="19">
        <v>22</v>
      </c>
      <c r="B24" s="64">
        <v>97.3</v>
      </c>
      <c r="C24" s="53"/>
      <c r="D24" s="65"/>
      <c r="E24"/>
      <c r="F24" s="65"/>
      <c r="G24" s="65"/>
      <c r="H24" s="65"/>
      <c r="I24" s="65"/>
      <c r="J24" s="65"/>
      <c r="K24" s="65"/>
      <c r="L24" s="65"/>
      <c r="M24" s="65"/>
    </row>
    <row r="25" customFormat="1" spans="1:13">
      <c r="A25" s="19">
        <v>23</v>
      </c>
      <c r="B25" s="64">
        <v>372.8</v>
      </c>
      <c r="C25" s="53"/>
      <c r="D25" s="65"/>
      <c r="E25"/>
      <c r="F25" s="65"/>
      <c r="G25" s="65"/>
      <c r="H25" s="65"/>
      <c r="I25" s="65"/>
      <c r="J25" s="65"/>
      <c r="K25" s="65"/>
      <c r="L25" s="65"/>
      <c r="M25" s="65"/>
    </row>
    <row r="26" customFormat="1" spans="1:13">
      <c r="A26" s="19">
        <v>24</v>
      </c>
      <c r="B26" s="64">
        <v>194.5</v>
      </c>
      <c r="C26" s="53"/>
      <c r="D26" s="65"/>
      <c r="E26"/>
      <c r="F26" s="65"/>
      <c r="G26" s="65"/>
      <c r="H26" s="65"/>
      <c r="I26" s="65"/>
      <c r="J26" s="65"/>
      <c r="K26" s="65"/>
      <c r="L26" s="65"/>
      <c r="M26" s="65"/>
    </row>
    <row r="27" customFormat="1" spans="1:13">
      <c r="A27" s="19">
        <v>25</v>
      </c>
      <c r="B27" s="64">
        <v>390.1</v>
      </c>
      <c r="C27" s="53"/>
      <c r="D27" s="65"/>
      <c r="E27"/>
      <c r="F27" s="65"/>
      <c r="G27" s="65"/>
      <c r="H27" s="65"/>
      <c r="I27" s="65"/>
      <c r="J27" s="65"/>
      <c r="K27" s="65"/>
      <c r="L27" s="65"/>
      <c r="M27" s="65"/>
    </row>
    <row r="28" customFormat="1" spans="1:13">
      <c r="A28" s="19">
        <v>26</v>
      </c>
      <c r="B28" s="64">
        <v>92</v>
      </c>
      <c r="C28" s="53"/>
      <c r="D28" s="65"/>
      <c r="E28"/>
      <c r="F28" s="65"/>
      <c r="G28" s="65"/>
      <c r="H28" s="65"/>
      <c r="I28" s="65"/>
      <c r="J28" s="65"/>
      <c r="K28" s="65"/>
      <c r="L28" s="65"/>
      <c r="M28" s="65"/>
    </row>
    <row r="29" customFormat="1" spans="1:13">
      <c r="A29" s="19">
        <v>27</v>
      </c>
      <c r="B29" s="64">
        <v>588.6</v>
      </c>
      <c r="C29" s="53"/>
      <c r="D29" s="65"/>
      <c r="E29"/>
      <c r="F29" s="65"/>
      <c r="G29" s="65"/>
      <c r="H29" s="65"/>
      <c r="I29" s="65"/>
      <c r="J29" s="65"/>
      <c r="K29" s="65"/>
      <c r="L29" s="65"/>
      <c r="M29" s="65"/>
    </row>
    <row r="30" customFormat="1" spans="1:13">
      <c r="A30" s="19">
        <v>28</v>
      </c>
      <c r="B30" s="64">
        <v>313.2</v>
      </c>
      <c r="C30" s="53"/>
      <c r="D30" s="65"/>
      <c r="E30"/>
      <c r="F30" s="65"/>
      <c r="G30" s="65"/>
      <c r="H30" s="65"/>
      <c r="I30" s="65"/>
      <c r="J30" s="65"/>
      <c r="K30" s="65"/>
      <c r="L30" s="65"/>
      <c r="M30" s="65"/>
    </row>
    <row r="31" customFormat="1" spans="1:13">
      <c r="A31" s="19">
        <v>29</v>
      </c>
      <c r="B31" s="64">
        <v>201.2</v>
      </c>
      <c r="C31" s="53"/>
      <c r="D31" s="65"/>
      <c r="E31"/>
      <c r="F31" s="65"/>
      <c r="G31" s="65"/>
      <c r="H31" s="65"/>
      <c r="I31" s="65"/>
      <c r="J31" s="65"/>
      <c r="K31" s="65"/>
      <c r="L31" s="65"/>
      <c r="M31" s="65"/>
    </row>
    <row r="32" customFormat="1" spans="1:13">
      <c r="A32" s="19">
        <v>30</v>
      </c>
      <c r="B32" s="64">
        <v>92</v>
      </c>
      <c r="C32" s="53"/>
      <c r="D32" s="65"/>
      <c r="E32"/>
      <c r="F32" s="65"/>
      <c r="G32" s="65"/>
      <c r="H32" s="65"/>
      <c r="I32" s="65"/>
      <c r="J32" s="65"/>
      <c r="K32" s="65"/>
      <c r="L32" s="65"/>
      <c r="M32" s="65"/>
    </row>
    <row r="33" customFormat="1" spans="1:13">
      <c r="A33" s="19">
        <v>31</v>
      </c>
      <c r="B33" s="64">
        <v>546.7</v>
      </c>
      <c r="C33" s="53"/>
      <c r="D33" s="65"/>
      <c r="E33"/>
      <c r="F33" s="65"/>
      <c r="G33" s="65"/>
      <c r="H33" s="65"/>
      <c r="I33" s="65"/>
      <c r="J33" s="65"/>
      <c r="K33" s="65"/>
      <c r="L33" s="65"/>
      <c r="M33" s="65"/>
    </row>
    <row r="34" customFormat="1" spans="1:13">
      <c r="A34" s="19">
        <v>32</v>
      </c>
      <c r="B34" s="64">
        <v>138</v>
      </c>
      <c r="C34" s="53"/>
      <c r="D34" s="65"/>
      <c r="E34"/>
      <c r="F34" s="65"/>
      <c r="G34" s="65"/>
      <c r="H34" s="65"/>
      <c r="I34" s="65"/>
      <c r="J34" s="65"/>
      <c r="K34" s="65"/>
      <c r="L34" s="65"/>
      <c r="M34" s="65"/>
    </row>
    <row r="35" customFormat="1" spans="1:13">
      <c r="A35" s="19">
        <v>33</v>
      </c>
      <c r="B35" s="64">
        <v>248</v>
      </c>
      <c r="C35" s="53"/>
      <c r="D35" s="65"/>
      <c r="E35"/>
      <c r="F35" s="65"/>
      <c r="G35" s="65"/>
      <c r="H35" s="65"/>
      <c r="I35" s="65"/>
      <c r="J35" s="65"/>
      <c r="K35" s="65"/>
      <c r="L35" s="65"/>
      <c r="M35" s="65"/>
    </row>
    <row r="36" customFormat="1" spans="1:13">
      <c r="A36" s="19">
        <v>34</v>
      </c>
      <c r="B36" s="64">
        <v>640.3</v>
      </c>
      <c r="C36" s="53"/>
      <c r="D36" s="65"/>
      <c r="E36"/>
      <c r="F36" s="65"/>
      <c r="G36" s="65"/>
      <c r="H36" s="65"/>
      <c r="I36" s="65"/>
      <c r="J36" s="65"/>
      <c r="K36" s="65"/>
      <c r="L36" s="65"/>
      <c r="M36" s="65"/>
    </row>
    <row r="37" customFormat="1" spans="1:13">
      <c r="A37" s="19">
        <v>35</v>
      </c>
      <c r="B37" s="64">
        <v>540.9</v>
      </c>
      <c r="C37" s="53"/>
      <c r="D37" s="65"/>
      <c r="E37"/>
      <c r="F37" s="65"/>
      <c r="G37" s="65"/>
      <c r="H37" s="65"/>
      <c r="I37" s="65"/>
      <c r="J37" s="65"/>
      <c r="K37" s="65"/>
      <c r="L37" s="65"/>
      <c r="M37" s="65"/>
    </row>
    <row r="38" customFormat="1" spans="1:13">
      <c r="A38" s="19">
        <v>36</v>
      </c>
      <c r="B38" s="64">
        <v>292.4</v>
      </c>
      <c r="C38" s="53"/>
      <c r="D38" s="65"/>
      <c r="E38"/>
      <c r="F38" s="65"/>
      <c r="G38" s="65"/>
      <c r="H38" s="65"/>
      <c r="I38" s="65"/>
      <c r="J38" s="65"/>
      <c r="K38" s="65"/>
      <c r="L38" s="65"/>
      <c r="M38" s="65"/>
    </row>
    <row r="39" customFormat="1" spans="1:13">
      <c r="A39" s="19">
        <v>37</v>
      </c>
      <c r="B39" s="64">
        <v>390.9</v>
      </c>
      <c r="C39" s="53"/>
      <c r="D39" s="65"/>
      <c r="E39"/>
      <c r="F39" s="65"/>
      <c r="G39" s="65"/>
      <c r="H39" s="65"/>
      <c r="I39" s="65"/>
      <c r="J39" s="65"/>
      <c r="K39" s="65"/>
      <c r="L39" s="65"/>
      <c r="M39" s="65"/>
    </row>
    <row r="40" customFormat="1" spans="1:13">
      <c r="A40" s="19">
        <v>38</v>
      </c>
      <c r="B40" s="64">
        <v>121.6</v>
      </c>
      <c r="C40" s="53"/>
      <c r="D40" s="65"/>
      <c r="E40"/>
      <c r="F40" s="65"/>
      <c r="G40" s="65"/>
      <c r="H40" s="65"/>
      <c r="I40" s="65"/>
      <c r="J40" s="65"/>
      <c r="K40" s="65"/>
      <c r="L40" s="65"/>
      <c r="M40" s="65"/>
    </row>
    <row r="41" customFormat="1" spans="1:13">
      <c r="A41" s="19">
        <v>39</v>
      </c>
      <c r="B41" s="64">
        <v>207.4</v>
      </c>
      <c r="C41" s="53"/>
      <c r="D41" s="65"/>
      <c r="E41"/>
      <c r="F41" s="65"/>
      <c r="G41" s="65"/>
      <c r="H41" s="65"/>
      <c r="I41" s="65"/>
      <c r="J41" s="65"/>
      <c r="K41" s="65"/>
      <c r="L41" s="65"/>
      <c r="M41" s="65"/>
    </row>
    <row r="42" customFormat="1" spans="1:13">
      <c r="A42" s="19">
        <v>40</v>
      </c>
      <c r="B42" s="64">
        <v>200</v>
      </c>
      <c r="C42" s="53"/>
      <c r="D42" s="65"/>
      <c r="E42"/>
      <c r="F42" s="65"/>
      <c r="G42" s="65"/>
      <c r="H42" s="65"/>
      <c r="I42" s="65"/>
      <c r="J42" s="65"/>
      <c r="K42" s="65"/>
      <c r="L42" s="65"/>
      <c r="M42" s="65"/>
    </row>
    <row r="43" customFormat="1" spans="1:13">
      <c r="A43" s="19">
        <v>41</v>
      </c>
      <c r="B43" s="64">
        <v>99</v>
      </c>
      <c r="C43" s="53"/>
      <c r="D43" s="65"/>
      <c r="E43"/>
      <c r="F43" s="65"/>
      <c r="G43" s="65"/>
      <c r="H43" s="65"/>
      <c r="I43" s="65"/>
      <c r="J43" s="65"/>
      <c r="K43" s="65"/>
      <c r="L43" s="65"/>
      <c r="M43" s="65"/>
    </row>
    <row r="44" customFormat="1" spans="1:13">
      <c r="A44" s="19">
        <v>42</v>
      </c>
      <c r="B44" s="64">
        <v>248</v>
      </c>
      <c r="C44" s="53"/>
      <c r="D44" s="65"/>
      <c r="E44"/>
      <c r="F44" s="65"/>
      <c r="G44" s="65"/>
      <c r="H44" s="65"/>
      <c r="I44" s="65"/>
      <c r="J44" s="65"/>
      <c r="K44" s="65"/>
      <c r="L44" s="65"/>
      <c r="M44" s="65"/>
    </row>
    <row r="45" customFormat="1" spans="1:13">
      <c r="A45" s="19">
        <v>43</v>
      </c>
      <c r="B45" s="64">
        <v>185.6</v>
      </c>
      <c r="C45" s="53"/>
      <c r="D45" s="65"/>
      <c r="E45"/>
      <c r="F45" s="65"/>
      <c r="G45" s="65"/>
      <c r="H45" s="65"/>
      <c r="I45" s="65"/>
      <c r="J45" s="65"/>
      <c r="K45" s="65"/>
      <c r="L45" s="65"/>
      <c r="M45" s="65"/>
    </row>
    <row r="46" customFormat="1" spans="1:13">
      <c r="A46" s="19">
        <v>44</v>
      </c>
      <c r="B46" s="64">
        <v>98.1</v>
      </c>
      <c r="C46" s="53"/>
      <c r="D46" s="65"/>
      <c r="E46"/>
      <c r="F46" s="65"/>
      <c r="G46" s="65"/>
      <c r="H46" s="65"/>
      <c r="I46" s="65"/>
      <c r="J46" s="65"/>
      <c r="K46" s="65"/>
      <c r="L46" s="65"/>
      <c r="M46" s="65"/>
    </row>
    <row r="47" customFormat="1" spans="1:13">
      <c r="A47" s="19">
        <v>45</v>
      </c>
      <c r="B47" s="64">
        <v>271.3</v>
      </c>
      <c r="C47" s="53"/>
      <c r="D47" s="65"/>
      <c r="E47"/>
      <c r="F47" s="65"/>
      <c r="G47" s="65"/>
      <c r="H47" s="65"/>
      <c r="I47" s="65"/>
      <c r="J47" s="65"/>
      <c r="K47" s="65"/>
      <c r="L47" s="65"/>
      <c r="M47" s="65"/>
    </row>
    <row r="48" customFormat="1" spans="1:13">
      <c r="A48" s="19">
        <v>46</v>
      </c>
      <c r="B48" s="64">
        <v>722.2</v>
      </c>
      <c r="C48" s="53"/>
      <c r="D48" s="65"/>
      <c r="E48"/>
      <c r="F48" s="65"/>
      <c r="G48" s="65"/>
      <c r="H48" s="65"/>
      <c r="I48" s="65"/>
      <c r="J48" s="65"/>
      <c r="K48" s="65"/>
      <c r="L48" s="65"/>
      <c r="M48" s="65"/>
    </row>
    <row r="49" customFormat="1" spans="1:13">
      <c r="A49" s="19">
        <v>47</v>
      </c>
      <c r="B49" s="64">
        <v>414.1</v>
      </c>
      <c r="C49" s="53"/>
      <c r="D49" s="65"/>
      <c r="E49"/>
      <c r="F49" s="65"/>
      <c r="G49" s="65"/>
      <c r="H49" s="65"/>
      <c r="I49" s="65"/>
      <c r="J49" s="65"/>
      <c r="K49" s="65"/>
      <c r="L49" s="65"/>
      <c r="M49" s="65"/>
    </row>
    <row r="50" customFormat="1" spans="1:13">
      <c r="A50" s="19">
        <v>48</v>
      </c>
      <c r="B50" s="64">
        <v>371.3</v>
      </c>
      <c r="C50" s="53"/>
      <c r="D50" s="65"/>
      <c r="E50"/>
      <c r="F50" s="65"/>
      <c r="G50" s="65"/>
      <c r="H50" s="65"/>
      <c r="I50" s="65"/>
      <c r="J50" s="65"/>
      <c r="K50" s="65"/>
      <c r="L50" s="65"/>
      <c r="M50" s="65"/>
    </row>
    <row r="51" spans="1:13">
      <c r="A51" s="19">
        <v>49</v>
      </c>
      <c r="B51" s="64">
        <v>295.8</v>
      </c>
      <c r="D51" s="65"/>
      <c r="E51"/>
      <c r="F51" s="65"/>
      <c r="G51" s="65"/>
      <c r="H51" s="65"/>
      <c r="I51" s="65"/>
      <c r="J51" s="65"/>
      <c r="K51" s="65"/>
      <c r="L51" s="65"/>
      <c r="M51" s="65"/>
    </row>
    <row r="52" spans="1:13">
      <c r="A52" s="19">
        <v>50</v>
      </c>
      <c r="B52" s="64">
        <v>172</v>
      </c>
      <c r="D52" s="65"/>
      <c r="E52"/>
      <c r="F52" s="65"/>
      <c r="G52" s="65"/>
      <c r="H52" s="65"/>
      <c r="I52" s="65"/>
      <c r="J52" s="65"/>
      <c r="K52" s="65"/>
      <c r="L52" s="65"/>
      <c r="M52" s="65"/>
    </row>
    <row r="53" spans="1:13">
      <c r="A53" s="19">
        <v>51</v>
      </c>
      <c r="B53" s="64">
        <v>419.1</v>
      </c>
      <c r="D53" s="65"/>
      <c r="E53"/>
      <c r="F53" s="65"/>
      <c r="G53" s="65"/>
      <c r="H53" s="65"/>
      <c r="I53" s="65"/>
      <c r="J53" s="65"/>
      <c r="K53" s="65"/>
      <c r="L53" s="65"/>
      <c r="M53" s="65"/>
    </row>
    <row r="54" spans="1:13">
      <c r="A54" s="19">
        <v>52</v>
      </c>
      <c r="B54" s="64">
        <v>114.7</v>
      </c>
      <c r="D54" s="65"/>
      <c r="E54"/>
      <c r="F54" s="65"/>
      <c r="G54" s="65"/>
      <c r="H54" s="65"/>
      <c r="I54" s="65"/>
      <c r="J54" s="65"/>
      <c r="K54" s="65"/>
      <c r="L54" s="65"/>
      <c r="M54" s="65"/>
    </row>
    <row r="55" spans="1:13">
      <c r="A55" s="19">
        <v>53</v>
      </c>
      <c r="B55" s="64">
        <v>407.1</v>
      </c>
      <c r="D55" s="65"/>
      <c r="E55"/>
      <c r="F55" s="65"/>
      <c r="G55" s="65"/>
      <c r="H55" s="65"/>
      <c r="I55" s="65"/>
      <c r="J55" s="65"/>
      <c r="K55" s="65"/>
      <c r="L55" s="65"/>
      <c r="M55" s="65"/>
    </row>
    <row r="56" spans="1:13">
      <c r="A56" s="19">
        <v>54</v>
      </c>
      <c r="B56" s="64">
        <v>108.9</v>
      </c>
      <c r="D56" s="65"/>
      <c r="E56"/>
      <c r="F56" s="65"/>
      <c r="G56" s="65"/>
      <c r="H56" s="65"/>
      <c r="I56" s="65"/>
      <c r="J56" s="65"/>
      <c r="K56" s="65"/>
      <c r="L56" s="65"/>
      <c r="M56" s="65"/>
    </row>
    <row r="57" spans="1:13">
      <c r="A57" s="19">
        <v>55</v>
      </c>
      <c r="B57" s="64">
        <v>34.4</v>
      </c>
      <c r="D57" s="65"/>
      <c r="E57"/>
      <c r="F57" s="65"/>
      <c r="G57" s="65"/>
      <c r="H57" s="65"/>
      <c r="I57" s="65"/>
      <c r="J57" s="65"/>
      <c r="K57" s="65"/>
      <c r="L57" s="65"/>
      <c r="M57" s="65"/>
    </row>
    <row r="58" spans="1:13">
      <c r="A58" s="19">
        <v>56</v>
      </c>
      <c r="B58" s="64">
        <v>640.9</v>
      </c>
      <c r="D58" s="65"/>
      <c r="E58"/>
      <c r="F58" s="65"/>
      <c r="G58" s="65"/>
      <c r="H58" s="65"/>
      <c r="I58" s="65"/>
      <c r="J58" s="65"/>
      <c r="K58" s="65"/>
      <c r="L58" s="65"/>
      <c r="M58" s="65"/>
    </row>
    <row r="59" spans="1:13">
      <c r="A59" s="19">
        <v>57</v>
      </c>
      <c r="B59" s="64">
        <v>32.3</v>
      </c>
      <c r="D59" s="65"/>
      <c r="E59"/>
      <c r="F59" s="65"/>
      <c r="G59" s="65"/>
      <c r="H59" s="65"/>
      <c r="I59" s="65"/>
      <c r="J59" s="65"/>
      <c r="K59" s="65"/>
      <c r="L59" s="65"/>
      <c r="M59" s="65"/>
    </row>
    <row r="60" spans="1:13">
      <c r="A60" s="19">
        <v>58</v>
      </c>
      <c r="B60" s="64">
        <v>237.1</v>
      </c>
      <c r="D60" s="65"/>
      <c r="E60"/>
      <c r="F60" s="65"/>
      <c r="G60" s="65"/>
      <c r="H60" s="65"/>
      <c r="I60" s="65"/>
      <c r="J60" s="65"/>
      <c r="K60" s="65"/>
      <c r="L60" s="65"/>
      <c r="M60" s="65"/>
    </row>
    <row r="61" spans="1:13">
      <c r="A61" s="19">
        <v>59</v>
      </c>
      <c r="B61" s="64">
        <v>347.6</v>
      </c>
      <c r="D61" s="65"/>
      <c r="E61"/>
      <c r="F61" s="65"/>
      <c r="G61" s="65"/>
      <c r="H61" s="65"/>
      <c r="I61" s="65"/>
      <c r="J61" s="65"/>
      <c r="K61" s="65"/>
      <c r="L61" s="65"/>
      <c r="M61" s="65"/>
    </row>
    <row r="62" spans="1:13">
      <c r="A62" s="19">
        <v>60</v>
      </c>
      <c r="B62" s="64">
        <v>145.5</v>
      </c>
      <c r="D62" s="65"/>
      <c r="E62"/>
      <c r="F62" s="65"/>
      <c r="G62" s="65"/>
      <c r="H62" s="65"/>
      <c r="I62" s="65"/>
      <c r="J62" s="65"/>
      <c r="K62" s="65"/>
      <c r="L62" s="65"/>
      <c r="M62" s="65"/>
    </row>
    <row r="63" spans="1:13">
      <c r="A63" s="19">
        <v>61</v>
      </c>
      <c r="B63" s="64">
        <v>616.3</v>
      </c>
      <c r="D63" s="65"/>
      <c r="E63"/>
      <c r="F63" s="65"/>
      <c r="G63" s="65"/>
      <c r="H63" s="65"/>
      <c r="I63" s="65"/>
      <c r="J63" s="65"/>
      <c r="K63" s="65"/>
      <c r="L63" s="65"/>
      <c r="M63" s="65"/>
    </row>
    <row r="64" spans="1:13">
      <c r="A64" s="19">
        <v>62</v>
      </c>
      <c r="B64" s="64">
        <v>357</v>
      </c>
      <c r="D64" s="65"/>
      <c r="E64"/>
      <c r="F64" s="65"/>
      <c r="G64" s="65"/>
      <c r="H64" s="65"/>
      <c r="I64" s="65"/>
      <c r="J64" s="65"/>
      <c r="K64" s="65"/>
      <c r="L64" s="65"/>
      <c r="M64" s="65"/>
    </row>
    <row r="65" spans="1:13">
      <c r="A65" s="19">
        <v>63</v>
      </c>
      <c r="B65" s="64">
        <v>529.3</v>
      </c>
      <c r="D65" s="65"/>
      <c r="E65"/>
      <c r="F65" s="65"/>
      <c r="G65" s="65"/>
      <c r="H65" s="65"/>
      <c r="I65" s="65"/>
      <c r="J65" s="65"/>
      <c r="K65" s="65"/>
      <c r="L65" s="65"/>
      <c r="M65" s="65"/>
    </row>
    <row r="66" spans="1:13">
      <c r="A66" s="19">
        <v>64</v>
      </c>
      <c r="B66" s="64">
        <v>458.8</v>
      </c>
      <c r="D66" s="65"/>
      <c r="E66"/>
      <c r="F66" s="65"/>
      <c r="G66" s="65"/>
      <c r="H66" s="65"/>
      <c r="I66" s="65"/>
      <c r="J66" s="65"/>
      <c r="K66" s="65"/>
      <c r="L66" s="65"/>
      <c r="M66" s="65"/>
    </row>
    <row r="67" spans="1:13">
      <c r="A67" s="19">
        <v>65</v>
      </c>
      <c r="B67" s="64">
        <v>188.5</v>
      </c>
      <c r="D67" s="65"/>
      <c r="E67"/>
      <c r="F67" s="65"/>
      <c r="G67" s="65"/>
      <c r="H67" s="65"/>
      <c r="I67" s="65"/>
      <c r="J67" s="65"/>
      <c r="K67" s="65"/>
      <c r="L67" s="65"/>
      <c r="M67" s="65"/>
    </row>
    <row r="68" spans="1:13">
      <c r="A68" s="19">
        <v>66</v>
      </c>
      <c r="B68" s="64">
        <v>2290.8</v>
      </c>
      <c r="D68" s="65"/>
      <c r="E68"/>
      <c r="F68" s="65"/>
      <c r="G68" s="65"/>
      <c r="H68" s="65"/>
      <c r="I68" s="65"/>
      <c r="J68" s="65"/>
      <c r="K68" s="65"/>
      <c r="L68" s="65"/>
      <c r="M68" s="65"/>
    </row>
    <row r="69" spans="1:13">
      <c r="A69" s="19">
        <v>67</v>
      </c>
      <c r="B69" s="64">
        <v>476</v>
      </c>
      <c r="D69" s="65"/>
      <c r="E69"/>
      <c r="F69" s="65"/>
      <c r="G69" s="65"/>
      <c r="H69" s="65"/>
      <c r="I69" s="65"/>
      <c r="J69" s="65"/>
      <c r="K69" s="65"/>
      <c r="L69" s="65"/>
      <c r="M69" s="65"/>
    </row>
    <row r="70" spans="1:13">
      <c r="A70" s="19">
        <v>68</v>
      </c>
      <c r="B70" s="64">
        <v>98.6</v>
      </c>
      <c r="D70" s="65"/>
      <c r="E70"/>
      <c r="F70" s="65"/>
      <c r="G70" s="65"/>
      <c r="H70" s="65"/>
      <c r="I70" s="65"/>
      <c r="J70" s="65"/>
      <c r="K70" s="65"/>
      <c r="L70" s="65"/>
      <c r="M70" s="65"/>
    </row>
    <row r="71" spans="1:13">
      <c r="A71" s="19">
        <v>69</v>
      </c>
      <c r="B71" s="64">
        <v>296.8</v>
      </c>
      <c r="D71" s="65"/>
      <c r="E71"/>
      <c r="F71" s="65"/>
      <c r="G71" s="65"/>
      <c r="H71" s="65"/>
      <c r="I71" s="65"/>
      <c r="J71" s="65"/>
      <c r="K71" s="65"/>
      <c r="L71" s="65"/>
      <c r="M71" s="65"/>
    </row>
    <row r="72" spans="1:13">
      <c r="A72" s="19">
        <v>70</v>
      </c>
      <c r="B72" s="64">
        <v>197.6</v>
      </c>
      <c r="D72" s="65"/>
      <c r="E72"/>
      <c r="F72" s="65"/>
      <c r="G72" s="65"/>
      <c r="H72" s="65"/>
      <c r="I72" s="65"/>
      <c r="J72" s="65"/>
      <c r="K72" s="65"/>
      <c r="L72" s="65"/>
      <c r="M72" s="65"/>
    </row>
    <row r="73" spans="1:13">
      <c r="A73" s="19">
        <v>71</v>
      </c>
      <c r="B73" s="64">
        <v>221.8</v>
      </c>
      <c r="D73" s="65"/>
      <c r="E73"/>
      <c r="F73" s="65"/>
      <c r="G73" s="65"/>
      <c r="H73" s="65"/>
      <c r="I73" s="65"/>
      <c r="J73" s="65"/>
      <c r="K73" s="65"/>
      <c r="L73" s="65"/>
      <c r="M73" s="65"/>
    </row>
    <row r="74" spans="1:13">
      <c r="A74" s="19">
        <v>72</v>
      </c>
      <c r="B74" s="64">
        <v>339.6</v>
      </c>
      <c r="D74" s="65"/>
      <c r="E74"/>
      <c r="F74" s="65"/>
      <c r="G74" s="65"/>
      <c r="H74" s="65"/>
      <c r="I74" s="65"/>
      <c r="J74" s="65"/>
      <c r="K74" s="65"/>
      <c r="L74" s="65"/>
      <c r="M74" s="65"/>
    </row>
    <row r="75" spans="1:13">
      <c r="A75" s="19">
        <v>73</v>
      </c>
      <c r="B75" s="64">
        <v>443.8</v>
      </c>
      <c r="D75" s="65"/>
      <c r="E75"/>
      <c r="F75" s="65"/>
      <c r="G75" s="65"/>
      <c r="H75" s="65"/>
      <c r="I75" s="65"/>
      <c r="J75" s="65"/>
      <c r="K75" s="65"/>
      <c r="L75" s="65"/>
      <c r="M75" s="65"/>
    </row>
    <row r="76" spans="1:13">
      <c r="A76" s="19">
        <v>74</v>
      </c>
      <c r="B76" s="64">
        <v>93.1</v>
      </c>
      <c r="D76" s="65"/>
      <c r="E76"/>
      <c r="F76" s="65"/>
      <c r="G76" s="65"/>
      <c r="H76" s="65"/>
      <c r="I76" s="65"/>
      <c r="J76" s="65"/>
      <c r="K76" s="65"/>
      <c r="L76" s="65"/>
      <c r="M76" s="65"/>
    </row>
    <row r="77" spans="1:13">
      <c r="A77" s="19">
        <v>75</v>
      </c>
      <c r="B77" s="64">
        <v>79.6</v>
      </c>
      <c r="D77" s="65"/>
      <c r="E77"/>
      <c r="F77" s="65"/>
      <c r="G77" s="65"/>
      <c r="H77" s="65"/>
      <c r="I77" s="65"/>
      <c r="J77" s="65"/>
      <c r="K77" s="65"/>
      <c r="L77" s="65"/>
      <c r="M77" s="65"/>
    </row>
    <row r="78" spans="1:13">
      <c r="A78" s="19">
        <v>76</v>
      </c>
      <c r="B78" s="64">
        <v>157.7</v>
      </c>
      <c r="D78" s="65"/>
      <c r="E78"/>
      <c r="F78" s="65"/>
      <c r="G78" s="65"/>
      <c r="H78" s="65"/>
      <c r="I78" s="65"/>
      <c r="J78" s="65"/>
      <c r="K78" s="65"/>
      <c r="L78" s="65"/>
      <c r="M78" s="65"/>
    </row>
    <row r="79" spans="1:13">
      <c r="A79" s="19">
        <v>77</v>
      </c>
      <c r="B79" s="64">
        <v>100.3</v>
      </c>
      <c r="D79" s="65"/>
      <c r="E79"/>
      <c r="F79" s="65"/>
      <c r="G79" s="65"/>
      <c r="H79" s="65"/>
      <c r="I79" s="65"/>
      <c r="J79" s="65"/>
      <c r="K79" s="65"/>
      <c r="L79" s="65"/>
      <c r="M79" s="65"/>
    </row>
    <row r="80" spans="1:13">
      <c r="A80" s="19">
        <v>78</v>
      </c>
      <c r="B80" s="64">
        <v>838.1</v>
      </c>
      <c r="D80" s="65"/>
      <c r="E80"/>
      <c r="F80" s="65"/>
      <c r="G80" s="65"/>
      <c r="H80" s="65"/>
      <c r="I80" s="65"/>
      <c r="J80" s="65"/>
      <c r="K80" s="65"/>
      <c r="L80" s="65"/>
      <c r="M80" s="65"/>
    </row>
    <row r="81" spans="1:13">
      <c r="A81" s="19">
        <v>79</v>
      </c>
      <c r="B81" s="64">
        <v>26.2</v>
      </c>
      <c r="D81" s="65"/>
      <c r="E81"/>
      <c r="F81" s="65"/>
      <c r="G81" s="65"/>
      <c r="H81" s="65"/>
      <c r="I81" s="65"/>
      <c r="J81" s="65"/>
      <c r="K81" s="65"/>
      <c r="L81" s="65"/>
      <c r="M81" s="65"/>
    </row>
    <row r="82" spans="1:13">
      <c r="A82" s="19">
        <v>80</v>
      </c>
      <c r="B82" s="64">
        <v>91.6</v>
      </c>
      <c r="D82" s="65"/>
      <c r="E82"/>
      <c r="F82" s="65"/>
      <c r="G82" s="65"/>
      <c r="H82" s="65"/>
      <c r="I82" s="65"/>
      <c r="J82" s="65"/>
      <c r="K82" s="65"/>
      <c r="L82" s="65"/>
      <c r="M82" s="65"/>
    </row>
    <row r="83" spans="1:13">
      <c r="A83" s="19">
        <v>81</v>
      </c>
      <c r="B83" s="64">
        <v>711.4</v>
      </c>
      <c r="D83" s="65"/>
      <c r="E83"/>
      <c r="F83" s="65"/>
      <c r="G83" s="65"/>
      <c r="H83" s="65"/>
      <c r="I83" s="65"/>
      <c r="J83" s="65"/>
      <c r="K83" s="65"/>
      <c r="L83" s="65"/>
      <c r="M83" s="65"/>
    </row>
    <row r="84" spans="1:13">
      <c r="A84" s="19">
        <v>82</v>
      </c>
      <c r="B84" s="64">
        <v>352.5</v>
      </c>
      <c r="D84" s="65"/>
      <c r="E84"/>
      <c r="F84" s="65"/>
      <c r="G84" s="65"/>
      <c r="H84" s="65"/>
      <c r="I84" s="65"/>
      <c r="J84" s="65"/>
      <c r="K84" s="65"/>
      <c r="L84" s="65"/>
      <c r="M84" s="65"/>
    </row>
    <row r="85" spans="1:13">
      <c r="A85" s="19">
        <v>83</v>
      </c>
      <c r="B85" s="64">
        <v>371.6</v>
      </c>
      <c r="D85" s="65"/>
      <c r="E85"/>
      <c r="F85" s="65"/>
      <c r="G85" s="65"/>
      <c r="H85" s="65"/>
      <c r="I85" s="65"/>
      <c r="J85" s="65"/>
      <c r="K85" s="65"/>
      <c r="L85" s="65"/>
      <c r="M85" s="65"/>
    </row>
    <row r="86" spans="1:13">
      <c r="A86" s="53"/>
      <c r="B86" s="53"/>
      <c r="D86" s="65"/>
      <c r="E86" s="65"/>
      <c r="F86" s="65"/>
      <c r="G86" s="65"/>
      <c r="H86" s="65"/>
      <c r="I86" s="65"/>
      <c r="J86" s="65"/>
      <c r="K86" s="65"/>
      <c r="L86" s="65"/>
      <c r="M86" s="65"/>
    </row>
    <row r="87" spans="1:13">
      <c r="A87" s="53"/>
      <c r="B87" s="53"/>
      <c r="D87" s="65"/>
      <c r="E87" s="65"/>
      <c r="F87" s="65"/>
      <c r="G87" s="65"/>
      <c r="H87" s="65"/>
      <c r="I87" s="65"/>
      <c r="J87" s="65"/>
      <c r="K87" s="65"/>
      <c r="L87" s="65"/>
      <c r="M87" s="65"/>
    </row>
    <row r="88" spans="1:13">
      <c r="A88" s="53"/>
      <c r="B88" s="53"/>
      <c r="D88" s="65"/>
      <c r="E88" s="65"/>
      <c r="F88" s="65"/>
      <c r="G88" s="65"/>
      <c r="H88" s="65"/>
      <c r="I88" s="65"/>
      <c r="J88" s="65"/>
      <c r="K88" s="65"/>
      <c r="L88" s="65"/>
      <c r="M88" s="65"/>
    </row>
    <row r="89" spans="1:13">
      <c r="A89" s="53"/>
      <c r="B89" s="53"/>
      <c r="D89" s="65"/>
      <c r="E89" s="65"/>
      <c r="F89" s="65"/>
      <c r="G89" s="65"/>
      <c r="H89" s="65"/>
      <c r="I89" s="65"/>
      <c r="J89" s="65"/>
      <c r="K89" s="65"/>
      <c r="L89" s="65"/>
      <c r="M89" s="65"/>
    </row>
    <row r="90" spans="1:13">
      <c r="A90" s="53"/>
      <c r="B90" s="53"/>
      <c r="D90" s="65"/>
      <c r="E90" s="65"/>
      <c r="F90" s="65"/>
      <c r="G90" s="65"/>
      <c r="H90" s="65"/>
      <c r="I90" s="65"/>
      <c r="J90" s="65"/>
      <c r="K90" s="65"/>
      <c r="L90" s="65"/>
      <c r="M90" s="65"/>
    </row>
    <row r="91" spans="1:13">
      <c r="A91" s="53"/>
      <c r="B91" s="53"/>
      <c r="D91" s="65"/>
      <c r="E91" s="65"/>
      <c r="F91" s="65"/>
      <c r="G91" s="65"/>
      <c r="H91" s="65"/>
      <c r="I91" s="65"/>
      <c r="J91" s="65"/>
      <c r="K91" s="65"/>
      <c r="L91" s="65"/>
      <c r="M91" s="65"/>
    </row>
    <row r="92" spans="1:13">
      <c r="A92" s="53"/>
      <c r="B92" s="53"/>
      <c r="D92" s="65"/>
      <c r="E92" s="65"/>
      <c r="F92" s="65"/>
      <c r="G92" s="65"/>
      <c r="H92" s="65"/>
      <c r="I92" s="65"/>
      <c r="J92" s="65"/>
      <c r="K92" s="65"/>
      <c r="L92" s="65"/>
      <c r="M92" s="65"/>
    </row>
    <row r="93" spans="1:13">
      <c r="A93" s="53"/>
      <c r="B93" s="53"/>
      <c r="D93" s="65"/>
      <c r="E93" s="65"/>
      <c r="F93" s="65"/>
      <c r="G93" s="65"/>
      <c r="H93" s="65"/>
      <c r="I93" s="65"/>
      <c r="J93" s="65"/>
      <c r="K93" s="65"/>
      <c r="L93" s="65"/>
      <c r="M93" s="65"/>
    </row>
    <row r="94" spans="1:13">
      <c r="A94" s="53"/>
      <c r="B94" s="53"/>
      <c r="D94" s="65"/>
      <c r="E94" s="65"/>
      <c r="F94" s="65"/>
      <c r="G94" s="65"/>
      <c r="H94" s="65"/>
      <c r="I94" s="65"/>
      <c r="J94" s="65"/>
      <c r="K94" s="65"/>
      <c r="L94" s="65"/>
      <c r="M94" s="65"/>
    </row>
    <row r="95" spans="1:13">
      <c r="A95" s="53"/>
      <c r="B95" s="53"/>
      <c r="D95" s="65"/>
      <c r="E95" s="65"/>
      <c r="F95" s="65"/>
      <c r="G95" s="65"/>
      <c r="H95" s="65"/>
      <c r="I95" s="65"/>
      <c r="J95" s="65"/>
      <c r="K95" s="65"/>
      <c r="L95" s="65"/>
      <c r="M95" s="65"/>
    </row>
    <row r="96" spans="1:13">
      <c r="A96" s="53"/>
      <c r="B96" s="53"/>
      <c r="D96" s="65"/>
      <c r="E96" s="65"/>
      <c r="F96" s="65"/>
      <c r="G96" s="65"/>
      <c r="H96" s="65"/>
      <c r="I96" s="65"/>
      <c r="J96" s="65"/>
      <c r="K96" s="65"/>
      <c r="L96" s="65"/>
      <c r="M96" s="65"/>
    </row>
    <row r="97" spans="1:13">
      <c r="A97" s="53"/>
      <c r="B97" s="53"/>
      <c r="D97" s="65"/>
      <c r="E97" s="65"/>
      <c r="F97" s="65"/>
      <c r="G97" s="65"/>
      <c r="H97" s="65"/>
      <c r="I97" s="65"/>
      <c r="J97" s="65"/>
      <c r="K97" s="65"/>
      <c r="L97" s="65"/>
      <c r="M97" s="65"/>
    </row>
    <row r="98" spans="1:13">
      <c r="A98" s="53"/>
      <c r="B98" s="53"/>
      <c r="D98" s="65"/>
      <c r="E98" s="65"/>
      <c r="F98" s="65"/>
      <c r="G98" s="65"/>
      <c r="H98" s="65"/>
      <c r="I98" s="65"/>
      <c r="J98" s="65"/>
      <c r="K98" s="65"/>
      <c r="L98" s="65"/>
      <c r="M98" s="65"/>
    </row>
    <row r="99" spans="1:13">
      <c r="A99" s="53"/>
      <c r="B99" s="53"/>
      <c r="D99" s="65"/>
      <c r="E99" s="65"/>
      <c r="F99" s="65"/>
      <c r="G99" s="65"/>
      <c r="H99" s="65"/>
      <c r="I99" s="65"/>
      <c r="J99" s="65"/>
      <c r="K99" s="65"/>
      <c r="L99" s="65"/>
      <c r="M99" s="65"/>
    </row>
    <row r="100" spans="1:13">
      <c r="A100" s="53"/>
      <c r="B100" s="53"/>
      <c r="D100" s="65"/>
      <c r="E100" s="65"/>
      <c r="F100" s="65"/>
      <c r="G100" s="65"/>
      <c r="H100" s="65"/>
      <c r="I100" s="65"/>
      <c r="J100" s="65"/>
      <c r="K100" s="65"/>
      <c r="L100" s="65"/>
      <c r="M100" s="65"/>
    </row>
    <row r="101" spans="1:13">
      <c r="A101" s="53"/>
      <c r="B101" s="53"/>
      <c r="D101" s="65"/>
      <c r="E101" s="65"/>
      <c r="F101" s="65"/>
      <c r="G101" s="65"/>
      <c r="H101" s="65"/>
      <c r="I101" s="65"/>
      <c r="J101" s="65"/>
      <c r="K101" s="65"/>
      <c r="L101" s="65"/>
      <c r="M101" s="65"/>
    </row>
    <row r="102" spans="1:13">
      <c r="A102" s="53"/>
      <c r="B102" s="53"/>
      <c r="D102" s="65"/>
      <c r="E102" s="65"/>
      <c r="F102" s="65"/>
      <c r="G102" s="65"/>
      <c r="H102" s="65"/>
      <c r="I102" s="65"/>
      <c r="J102" s="65"/>
      <c r="K102" s="65"/>
      <c r="L102" s="65"/>
      <c r="M102" s="65"/>
    </row>
    <row r="103" spans="1:13">
      <c r="A103" s="53"/>
      <c r="B103" s="53"/>
      <c r="D103" s="65"/>
      <c r="E103" s="65"/>
      <c r="F103" s="65"/>
      <c r="G103" s="65"/>
      <c r="H103" s="65"/>
      <c r="I103" s="65"/>
      <c r="J103" s="65"/>
      <c r="K103" s="65"/>
      <c r="L103" s="65"/>
      <c r="M103" s="65"/>
    </row>
    <row r="104" spans="1:13">
      <c r="A104" s="53"/>
      <c r="B104" s="53"/>
      <c r="D104" s="65"/>
      <c r="E104" s="65"/>
      <c r="F104" s="65"/>
      <c r="G104" s="65"/>
      <c r="H104" s="65"/>
      <c r="I104" s="65"/>
      <c r="J104" s="65"/>
      <c r="K104" s="65"/>
      <c r="L104" s="65"/>
      <c r="M104" s="65"/>
    </row>
    <row r="105" spans="1:13">
      <c r="A105" s="53"/>
      <c r="B105" s="53"/>
      <c r="D105" s="65"/>
      <c r="E105" s="65"/>
      <c r="F105" s="65"/>
      <c r="G105" s="65"/>
      <c r="H105" s="65"/>
      <c r="I105" s="65"/>
      <c r="J105" s="65"/>
      <c r="K105" s="65"/>
      <c r="L105" s="65"/>
      <c r="M105" s="65"/>
    </row>
    <row r="106" spans="1:13">
      <c r="A106" s="53"/>
      <c r="B106" s="53"/>
      <c r="D106" s="65"/>
      <c r="E106" s="65"/>
      <c r="F106" s="65"/>
      <c r="G106" s="65"/>
      <c r="H106" s="65"/>
      <c r="I106" s="65"/>
      <c r="J106" s="65"/>
      <c r="K106" s="65"/>
      <c r="L106" s="65"/>
      <c r="M106" s="65"/>
    </row>
    <row r="107" spans="1:13">
      <c r="A107" s="53"/>
      <c r="B107" s="53"/>
      <c r="D107" s="65"/>
      <c r="E107" s="65"/>
      <c r="F107" s="65"/>
      <c r="G107" s="65"/>
      <c r="H107" s="65"/>
      <c r="I107" s="65"/>
      <c r="J107" s="65"/>
      <c r="K107" s="65"/>
      <c r="L107" s="65"/>
      <c r="M107" s="65"/>
    </row>
    <row r="108" spans="1:13">
      <c r="A108" s="53"/>
      <c r="B108" s="53"/>
      <c r="D108" s="65"/>
      <c r="E108" s="65"/>
      <c r="F108" s="65"/>
      <c r="G108" s="65"/>
      <c r="H108" s="65"/>
      <c r="I108" s="65"/>
      <c r="J108" s="65"/>
      <c r="K108" s="65"/>
      <c r="L108" s="65"/>
      <c r="M108" s="65"/>
    </row>
    <row r="109" spans="1:13">
      <c r="A109" s="53"/>
      <c r="B109" s="53"/>
      <c r="D109" s="65"/>
      <c r="E109" s="65"/>
      <c r="F109" s="65"/>
      <c r="G109" s="65"/>
      <c r="H109" s="65"/>
      <c r="I109" s="65"/>
      <c r="J109" s="65"/>
      <c r="K109" s="65"/>
      <c r="L109" s="65"/>
      <c r="M109" s="65"/>
    </row>
    <row r="110" spans="1:13">
      <c r="A110" s="53"/>
      <c r="B110" s="53"/>
      <c r="D110" s="65"/>
      <c r="E110" s="65"/>
      <c r="F110" s="65"/>
      <c r="G110" s="65"/>
      <c r="H110" s="65"/>
      <c r="I110" s="65"/>
      <c r="J110" s="65"/>
      <c r="K110" s="65"/>
      <c r="L110" s="65"/>
      <c r="M110" s="65"/>
    </row>
    <row r="111" spans="1:13">
      <c r="A111" s="53"/>
      <c r="B111" s="53"/>
      <c r="D111" s="65"/>
      <c r="E111" s="65"/>
      <c r="F111" s="65"/>
      <c r="G111" s="65"/>
      <c r="H111" s="65"/>
      <c r="I111" s="65"/>
      <c r="J111" s="65"/>
      <c r="K111" s="65"/>
      <c r="L111" s="65"/>
      <c r="M111" s="65"/>
    </row>
    <row r="112" spans="1:13">
      <c r="A112" s="53"/>
      <c r="B112" s="53"/>
      <c r="D112" s="65"/>
      <c r="E112" s="65"/>
      <c r="F112" s="65"/>
      <c r="G112" s="65"/>
      <c r="H112" s="65"/>
      <c r="I112" s="65"/>
      <c r="J112" s="65"/>
      <c r="K112" s="65"/>
      <c r="L112" s="65"/>
      <c r="M112" s="65"/>
    </row>
    <row r="113" spans="1:13">
      <c r="A113" s="53"/>
      <c r="B113" s="53"/>
      <c r="D113" s="65"/>
      <c r="E113" s="65"/>
      <c r="F113" s="65"/>
      <c r="G113" s="65"/>
      <c r="H113" s="65"/>
      <c r="I113" s="65"/>
      <c r="J113" s="65"/>
      <c r="K113" s="65"/>
      <c r="L113" s="65"/>
      <c r="M113" s="65"/>
    </row>
    <row r="114" spans="1:13">
      <c r="A114" s="53"/>
      <c r="B114" s="53"/>
      <c r="D114" s="65"/>
      <c r="E114" s="65"/>
      <c r="F114" s="65"/>
      <c r="G114" s="65"/>
      <c r="H114" s="65"/>
      <c r="I114" s="65"/>
      <c r="J114" s="65"/>
      <c r="K114" s="65"/>
      <c r="L114" s="65"/>
      <c r="M114" s="65"/>
    </row>
    <row r="115" spans="1:13">
      <c r="A115" s="53"/>
      <c r="B115" s="53"/>
      <c r="D115" s="65"/>
      <c r="E115" s="65"/>
      <c r="F115" s="65"/>
      <c r="G115" s="65"/>
      <c r="H115" s="65"/>
      <c r="I115" s="65"/>
      <c r="J115" s="65"/>
      <c r="K115" s="65"/>
      <c r="L115" s="65"/>
      <c r="M115" s="65"/>
    </row>
    <row r="116" spans="1:13">
      <c r="A116" s="53"/>
      <c r="B116" s="53"/>
      <c r="D116" s="65"/>
      <c r="E116" s="65"/>
      <c r="F116" s="65"/>
      <c r="G116" s="65"/>
      <c r="H116" s="65"/>
      <c r="I116" s="65"/>
      <c r="J116" s="65"/>
      <c r="K116" s="65"/>
      <c r="L116" s="65"/>
      <c r="M116" s="65"/>
    </row>
    <row r="117" spans="1:13">
      <c r="A117" s="53"/>
      <c r="B117" s="53"/>
      <c r="D117" s="65"/>
      <c r="E117" s="65"/>
      <c r="F117" s="65"/>
      <c r="G117" s="65"/>
      <c r="H117" s="65"/>
      <c r="I117" s="65"/>
      <c r="J117" s="65"/>
      <c r="K117" s="65"/>
      <c r="L117" s="65"/>
      <c r="M117" s="65"/>
    </row>
    <row r="118" spans="1:13">
      <c r="A118" s="53"/>
      <c r="B118" s="53"/>
      <c r="D118" s="65"/>
      <c r="E118" s="65"/>
      <c r="F118" s="65"/>
      <c r="G118" s="65"/>
      <c r="H118" s="65"/>
      <c r="I118" s="65"/>
      <c r="J118" s="65"/>
      <c r="K118" s="65"/>
      <c r="L118" s="65"/>
      <c r="M118" s="65"/>
    </row>
    <row r="119" spans="1:13">
      <c r="A119" s="53"/>
      <c r="B119" s="53"/>
      <c r="D119" s="65"/>
      <c r="E119" s="65"/>
      <c r="F119" s="65"/>
      <c r="G119" s="65"/>
      <c r="H119" s="65"/>
      <c r="I119" s="65"/>
      <c r="J119" s="65"/>
      <c r="K119" s="65"/>
      <c r="L119" s="65"/>
      <c r="M119" s="65"/>
    </row>
    <row r="120" spans="1:13">
      <c r="A120" s="53"/>
      <c r="B120" s="53"/>
      <c r="D120" s="65"/>
      <c r="E120" s="65"/>
      <c r="F120" s="65"/>
      <c r="G120" s="65"/>
      <c r="H120" s="65"/>
      <c r="I120" s="65"/>
      <c r="J120" s="65"/>
      <c r="K120" s="65"/>
      <c r="L120" s="65"/>
      <c r="M120" s="65"/>
    </row>
    <row r="121" spans="1:13">
      <c r="A121" s="53"/>
      <c r="B121" s="53"/>
      <c r="D121" s="65"/>
      <c r="E121" s="65"/>
      <c r="F121" s="65"/>
      <c r="G121" s="65"/>
      <c r="H121" s="65"/>
      <c r="I121" s="65"/>
      <c r="J121" s="65"/>
      <c r="K121" s="65"/>
      <c r="L121" s="65"/>
      <c r="M121" s="65"/>
    </row>
    <row r="122" spans="1:13">
      <c r="A122" s="53"/>
      <c r="B122" s="53"/>
      <c r="D122" s="65"/>
      <c r="E122" s="65"/>
      <c r="F122" s="65"/>
      <c r="G122" s="65"/>
      <c r="H122" s="65"/>
      <c r="I122" s="65"/>
      <c r="J122" s="65"/>
      <c r="K122" s="65"/>
      <c r="L122" s="65"/>
      <c r="M122" s="65"/>
    </row>
    <row r="123" spans="1:13">
      <c r="A123" s="53"/>
      <c r="B123" s="53"/>
      <c r="D123" s="65"/>
      <c r="E123" s="65"/>
      <c r="F123" s="65"/>
      <c r="G123" s="65"/>
      <c r="H123" s="65"/>
      <c r="I123" s="65"/>
      <c r="J123" s="65"/>
      <c r="K123" s="65"/>
      <c r="L123" s="65"/>
      <c r="M123" s="65"/>
    </row>
    <row r="124" spans="1:13">
      <c r="A124" s="53"/>
      <c r="B124" s="53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>
      <c r="A125" s="53"/>
      <c r="B125" s="53"/>
      <c r="D125" s="65"/>
      <c r="E125" s="65"/>
      <c r="F125" s="65"/>
      <c r="G125" s="65"/>
      <c r="H125" s="65"/>
      <c r="I125" s="65"/>
      <c r="J125" s="65"/>
      <c r="K125" s="65"/>
      <c r="L125" s="65"/>
      <c r="M125" s="65"/>
    </row>
    <row r="126" spans="1:13">
      <c r="A126" s="53"/>
      <c r="B126" s="53"/>
      <c r="D126" s="65"/>
      <c r="E126" s="65"/>
      <c r="F126" s="65"/>
      <c r="G126" s="65"/>
      <c r="H126" s="65"/>
      <c r="I126" s="65"/>
      <c r="J126" s="65"/>
      <c r="K126" s="65"/>
      <c r="L126" s="65"/>
      <c r="M126" s="65"/>
    </row>
    <row r="127" spans="1:13">
      <c r="A127" s="53"/>
      <c r="B127" s="53"/>
      <c r="D127" s="65"/>
      <c r="E127" s="65"/>
      <c r="F127" s="65"/>
      <c r="G127" s="65"/>
      <c r="H127" s="65"/>
      <c r="I127" s="65"/>
      <c r="J127" s="65"/>
      <c r="K127" s="65"/>
      <c r="L127" s="65"/>
      <c r="M127" s="65"/>
    </row>
    <row r="128" spans="1:13">
      <c r="A128" s="53"/>
      <c r="B128" s="53"/>
      <c r="D128" s="65"/>
      <c r="E128" s="65"/>
      <c r="F128" s="65"/>
      <c r="G128" s="65"/>
      <c r="H128" s="65"/>
      <c r="I128" s="65"/>
      <c r="J128" s="65"/>
      <c r="K128" s="65"/>
      <c r="L128" s="65"/>
      <c r="M128" s="65"/>
    </row>
    <row r="129" spans="1:13">
      <c r="A129" s="53"/>
      <c r="B129" s="53"/>
      <c r="D129" s="65"/>
      <c r="E129" s="65"/>
      <c r="F129" s="65"/>
      <c r="G129" s="65"/>
      <c r="H129" s="65"/>
      <c r="I129" s="65"/>
      <c r="J129" s="65"/>
      <c r="K129" s="65"/>
      <c r="L129" s="65"/>
      <c r="M129" s="65"/>
    </row>
    <row r="130" spans="1:13">
      <c r="A130" s="53"/>
      <c r="B130" s="53"/>
      <c r="D130" s="65"/>
      <c r="E130" s="65"/>
      <c r="F130" s="65"/>
      <c r="G130" s="65"/>
      <c r="H130" s="65"/>
      <c r="I130" s="65"/>
      <c r="J130" s="65"/>
      <c r="K130" s="65"/>
      <c r="L130" s="65"/>
      <c r="M130" s="65"/>
    </row>
    <row r="131" spans="1:13">
      <c r="A131" s="53"/>
      <c r="B131" s="53"/>
      <c r="D131" s="65"/>
      <c r="E131" s="65"/>
      <c r="F131" s="65"/>
      <c r="G131" s="65"/>
      <c r="H131" s="65"/>
      <c r="I131" s="65"/>
      <c r="J131" s="65"/>
      <c r="K131" s="65"/>
      <c r="L131" s="65"/>
      <c r="M131" s="65"/>
    </row>
    <row r="132" spans="1:13">
      <c r="A132" s="53"/>
      <c r="B132" s="53"/>
      <c r="D132" s="65"/>
      <c r="E132" s="65"/>
      <c r="F132" s="65"/>
      <c r="G132" s="65"/>
      <c r="H132" s="65"/>
      <c r="I132" s="65"/>
      <c r="J132" s="65"/>
      <c r="K132" s="65"/>
      <c r="L132" s="65"/>
      <c r="M132" s="65"/>
    </row>
    <row r="133" spans="1:13">
      <c r="A133" s="53"/>
      <c r="B133" s="53"/>
      <c r="D133" s="65"/>
      <c r="E133" s="65"/>
      <c r="F133" s="65"/>
      <c r="G133" s="65"/>
      <c r="H133" s="65"/>
      <c r="I133" s="65"/>
      <c r="J133" s="65"/>
      <c r="K133" s="65"/>
      <c r="L133" s="65"/>
      <c r="M133" s="65"/>
    </row>
    <row r="134" spans="1:13">
      <c r="A134" s="53"/>
      <c r="B134" s="53"/>
      <c r="D134" s="65"/>
      <c r="E134" s="65"/>
      <c r="F134" s="65"/>
      <c r="G134" s="65"/>
      <c r="H134" s="65"/>
      <c r="I134" s="65"/>
      <c r="J134" s="65"/>
      <c r="K134" s="65"/>
      <c r="L134" s="65"/>
      <c r="M134" s="65"/>
    </row>
    <row r="135" spans="1:13">
      <c r="A135" s="53"/>
      <c r="B135" s="53"/>
      <c r="D135" s="65"/>
      <c r="E135" s="65"/>
      <c r="F135" s="65"/>
      <c r="G135" s="65"/>
      <c r="H135" s="65"/>
      <c r="I135" s="65"/>
      <c r="J135" s="65"/>
      <c r="K135" s="65"/>
      <c r="L135" s="65"/>
      <c r="M135" s="65"/>
    </row>
    <row r="136" spans="1:13">
      <c r="A136" s="53"/>
      <c r="B136" s="53"/>
      <c r="D136" s="65"/>
      <c r="E136" s="65"/>
      <c r="F136" s="65"/>
      <c r="G136" s="65"/>
      <c r="H136" s="65"/>
      <c r="I136" s="65"/>
      <c r="J136" s="65"/>
      <c r="K136" s="65"/>
      <c r="L136" s="65"/>
      <c r="M136" s="65"/>
    </row>
    <row r="137" spans="1:13">
      <c r="A137" s="53"/>
      <c r="B137" s="53"/>
      <c r="D137" s="65"/>
      <c r="E137" s="65"/>
      <c r="F137" s="65"/>
      <c r="G137" s="65"/>
      <c r="H137" s="65"/>
      <c r="I137" s="65"/>
      <c r="J137" s="65"/>
      <c r="K137" s="65"/>
      <c r="L137" s="65"/>
      <c r="M137" s="65"/>
    </row>
    <row r="138" spans="1:13">
      <c r="A138" s="53"/>
      <c r="B138" s="53"/>
    </row>
  </sheetData>
  <mergeCells count="2"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0"/>
  <sheetViews>
    <sheetView topLeftCell="H107" workbookViewId="0">
      <selection activeCell="Q1" sqref="Q1:Z136"/>
    </sheetView>
  </sheetViews>
  <sheetFormatPr defaultColWidth="9.14166666666667" defaultRowHeight="13.5"/>
  <cols>
    <col min="2" max="2" width="12" customWidth="1"/>
    <col min="13" max="13" width="13.5666666666667" customWidth="1"/>
    <col min="14" max="14" width="19.425" customWidth="1"/>
    <col min="15" max="15" width="11.8583333333333" customWidth="1"/>
    <col min="16" max="16" width="9.425" customWidth="1"/>
    <col min="17" max="17" width="11.8583333333333" customWidth="1"/>
    <col min="23" max="23" width="9.425" customWidth="1"/>
  </cols>
  <sheetData>
    <row r="1" spans="1:2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L1" s="57"/>
      <c r="M1" s="34"/>
      <c r="N1" s="58"/>
      <c r="Q1" s="51" t="s">
        <v>13</v>
      </c>
      <c r="R1" s="51" t="s">
        <v>14</v>
      </c>
      <c r="S1" s="51" t="s">
        <v>15</v>
      </c>
      <c r="T1" s="51" t="s">
        <v>16</v>
      </c>
      <c r="U1" s="51" t="s">
        <v>17</v>
      </c>
      <c r="V1" s="51" t="s">
        <v>18</v>
      </c>
      <c r="W1" s="51" t="s">
        <v>19</v>
      </c>
      <c r="X1" s="51" t="s">
        <v>20</v>
      </c>
      <c r="Y1" s="51" t="s">
        <v>21</v>
      </c>
      <c r="Z1" s="51" t="s">
        <v>22</v>
      </c>
    </row>
    <row r="2" spans="1:26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L2" s="57"/>
      <c r="M2" s="59"/>
      <c r="N2" s="58"/>
      <c r="Q2" s="60">
        <v>259</v>
      </c>
      <c r="R2" s="60">
        <f>Q2*1.05</f>
        <v>271.95</v>
      </c>
      <c r="S2" s="60">
        <f>Q2*1.1</f>
        <v>284.9</v>
      </c>
      <c r="T2" s="60">
        <f>Q2*1.15</f>
        <v>297.85</v>
      </c>
      <c r="U2" s="60">
        <f>Q2*1.2</f>
        <v>310.8</v>
      </c>
      <c r="V2" s="60">
        <f>Q2*1.25</f>
        <v>323.75</v>
      </c>
      <c r="W2" s="60">
        <f>Q2*1.3</f>
        <v>336.7</v>
      </c>
      <c r="X2" s="60">
        <f>Q2*1.35</f>
        <v>349.65</v>
      </c>
      <c r="Y2" s="60">
        <f>Q2*1.4</f>
        <v>362.6</v>
      </c>
      <c r="Z2" s="60">
        <f>Q2*1.45</f>
        <v>375.55</v>
      </c>
    </row>
    <row r="3" spans="1:26">
      <c r="A3" t="s">
        <v>23</v>
      </c>
      <c r="L3" s="57"/>
      <c r="M3" s="59"/>
      <c r="N3" s="58"/>
      <c r="Q3" s="60">
        <v>51.4224705843661</v>
      </c>
      <c r="R3" s="60">
        <f t="shared" ref="R3:R66" si="0">Q3*1.05</f>
        <v>53.9935941135844</v>
      </c>
      <c r="S3" s="60">
        <f t="shared" ref="S3:S14" si="1">Q3*1.1</f>
        <v>56.5647176428027</v>
      </c>
      <c r="T3" s="60">
        <f t="shared" ref="T3:T14" si="2">Q3*1.15</f>
        <v>59.135841172021</v>
      </c>
      <c r="U3" s="60">
        <f t="shared" ref="U3:U14" si="3">Q3*1.2</f>
        <v>61.7069647012393</v>
      </c>
      <c r="V3" s="60">
        <f t="shared" ref="V3:V14" si="4">Q3*1.25</f>
        <v>64.2780882304576</v>
      </c>
      <c r="W3" s="60">
        <f t="shared" ref="W3:W14" si="5">Q3*1.3</f>
        <v>66.8492117596759</v>
      </c>
      <c r="X3" s="60">
        <f t="shared" ref="X3:X14" si="6">Q3*1.35</f>
        <v>69.4203352888942</v>
      </c>
      <c r="Y3" s="60">
        <f t="shared" ref="Y3:Y14" si="7">Q3*1.4</f>
        <v>71.9914588181125</v>
      </c>
      <c r="Z3" s="60">
        <f t="shared" ref="Z3:Z14" si="8">Q3*1.45</f>
        <v>74.5625823473308</v>
      </c>
    </row>
    <row r="4" spans="1:26">
      <c r="A4">
        <v>201</v>
      </c>
      <c r="B4" t="s">
        <v>27</v>
      </c>
      <c r="C4">
        <v>1</v>
      </c>
      <c r="D4">
        <v>1</v>
      </c>
      <c r="E4">
        <v>0</v>
      </c>
      <c r="F4">
        <v>0</v>
      </c>
      <c r="G4">
        <v>0</v>
      </c>
      <c r="L4" s="57"/>
      <c r="M4" s="59"/>
      <c r="N4" s="58"/>
      <c r="O4" s="21"/>
      <c r="Q4" s="60">
        <v>45.7949630636383</v>
      </c>
      <c r="R4" s="60">
        <f t="shared" si="0"/>
        <v>48.0847112168203</v>
      </c>
      <c r="S4" s="60">
        <f t="shared" si="1"/>
        <v>50.3744593700022</v>
      </c>
      <c r="T4" s="60">
        <f t="shared" si="2"/>
        <v>52.6642075231841</v>
      </c>
      <c r="U4" s="60">
        <f t="shared" si="3"/>
        <v>54.953955676366</v>
      </c>
      <c r="V4" s="60">
        <f t="shared" si="4"/>
        <v>57.2437038295479</v>
      </c>
      <c r="W4" s="60">
        <f t="shared" si="5"/>
        <v>59.5334519827298</v>
      </c>
      <c r="X4" s="60">
        <f t="shared" si="6"/>
        <v>61.8232001359118</v>
      </c>
      <c r="Y4" s="60">
        <f t="shared" si="7"/>
        <v>64.1129482890937</v>
      </c>
      <c r="Z4" s="60">
        <f t="shared" si="8"/>
        <v>66.4026964422756</v>
      </c>
    </row>
    <row r="5" spans="1:26">
      <c r="A5">
        <v>202</v>
      </c>
      <c r="B5" t="s">
        <v>28</v>
      </c>
      <c r="C5">
        <v>1</v>
      </c>
      <c r="D5">
        <v>1</v>
      </c>
      <c r="E5">
        <v>0</v>
      </c>
      <c r="F5">
        <v>0</v>
      </c>
      <c r="G5">
        <v>0</v>
      </c>
      <c r="L5" s="57"/>
      <c r="M5" s="59"/>
      <c r="N5" s="58"/>
      <c r="O5" s="21"/>
      <c r="Q5" s="60">
        <v>93.6563471848011</v>
      </c>
      <c r="R5" s="60">
        <f t="shared" si="0"/>
        <v>98.3391645440412</v>
      </c>
      <c r="S5" s="60">
        <f t="shared" si="1"/>
        <v>103.021981903281</v>
      </c>
      <c r="T5" s="60">
        <f t="shared" si="2"/>
        <v>107.704799262521</v>
      </c>
      <c r="U5" s="60">
        <f t="shared" si="3"/>
        <v>112.387616621761</v>
      </c>
      <c r="V5" s="60">
        <f t="shared" si="4"/>
        <v>117.070433981001</v>
      </c>
      <c r="W5" s="60">
        <f t="shared" si="5"/>
        <v>121.753251340241</v>
      </c>
      <c r="X5" s="60">
        <f t="shared" si="6"/>
        <v>126.436068699481</v>
      </c>
      <c r="Y5" s="60">
        <f t="shared" si="7"/>
        <v>131.118886058722</v>
      </c>
      <c r="Z5" s="60">
        <f t="shared" si="8"/>
        <v>135.801703417962</v>
      </c>
    </row>
    <row r="6" spans="1:26">
      <c r="A6">
        <v>2</v>
      </c>
      <c r="B6" t="s">
        <v>29</v>
      </c>
      <c r="C6">
        <v>0</v>
      </c>
      <c r="D6">
        <v>1</v>
      </c>
      <c r="E6">
        <v>0</v>
      </c>
      <c r="F6">
        <v>0</v>
      </c>
      <c r="G6">
        <v>0</v>
      </c>
      <c r="L6" s="57"/>
      <c r="M6" s="59"/>
      <c r="N6" s="58"/>
      <c r="O6" s="21"/>
      <c r="Q6" s="60">
        <v>335.045095024535</v>
      </c>
      <c r="R6" s="60">
        <f t="shared" si="0"/>
        <v>351.797349775762</v>
      </c>
      <c r="S6" s="60">
        <f t="shared" si="1"/>
        <v>368.549604526989</v>
      </c>
      <c r="T6" s="60">
        <f t="shared" si="2"/>
        <v>385.301859278216</v>
      </c>
      <c r="U6" s="60">
        <f t="shared" si="3"/>
        <v>402.054114029443</v>
      </c>
      <c r="V6" s="60">
        <f t="shared" si="4"/>
        <v>418.806368780669</v>
      </c>
      <c r="W6" s="60">
        <f t="shared" si="5"/>
        <v>435.558623531896</v>
      </c>
      <c r="X6" s="60">
        <f t="shared" si="6"/>
        <v>452.310878283123</v>
      </c>
      <c r="Y6" s="60">
        <f t="shared" si="7"/>
        <v>469.06313303435</v>
      </c>
      <c r="Z6" s="60">
        <f t="shared" si="8"/>
        <v>485.815387785576</v>
      </c>
    </row>
    <row r="7" spans="1:26">
      <c r="A7">
        <v>3</v>
      </c>
      <c r="B7" t="s">
        <v>30</v>
      </c>
      <c r="C7">
        <v>0</v>
      </c>
      <c r="D7">
        <v>1</v>
      </c>
      <c r="E7">
        <v>0</v>
      </c>
      <c r="F7">
        <v>47.78</v>
      </c>
      <c r="G7">
        <v>19.009</v>
      </c>
      <c r="L7" s="57"/>
      <c r="M7" s="59"/>
      <c r="N7" s="58"/>
      <c r="O7" s="21"/>
      <c r="Q7" s="60">
        <v>160.219327435862</v>
      </c>
      <c r="R7" s="60">
        <f t="shared" si="0"/>
        <v>168.230293807655</v>
      </c>
      <c r="S7" s="60">
        <f t="shared" si="1"/>
        <v>176.241260179448</v>
      </c>
      <c r="T7" s="60">
        <f t="shared" si="2"/>
        <v>184.252226551241</v>
      </c>
      <c r="U7" s="60">
        <f t="shared" si="3"/>
        <v>192.263192923035</v>
      </c>
      <c r="V7" s="60">
        <f t="shared" si="4"/>
        <v>200.274159294828</v>
      </c>
      <c r="W7" s="60">
        <f t="shared" si="5"/>
        <v>208.285125666621</v>
      </c>
      <c r="X7" s="60">
        <f t="shared" si="6"/>
        <v>216.296092038414</v>
      </c>
      <c r="Y7" s="60">
        <f t="shared" si="7"/>
        <v>224.307058410207</v>
      </c>
      <c r="Z7" s="60">
        <f t="shared" si="8"/>
        <v>232.318024782</v>
      </c>
    </row>
    <row r="8" spans="1:26">
      <c r="A8">
        <v>4</v>
      </c>
      <c r="B8" t="s">
        <v>31</v>
      </c>
      <c r="C8">
        <v>0</v>
      </c>
      <c r="D8">
        <v>1</v>
      </c>
      <c r="E8">
        <v>0</v>
      </c>
      <c r="F8">
        <v>42.551</v>
      </c>
      <c r="G8">
        <v>16.929</v>
      </c>
      <c r="L8" s="57"/>
      <c r="M8" s="59"/>
      <c r="N8" s="58"/>
      <c r="O8" s="21"/>
      <c r="Q8" s="60">
        <v>256.86574476952</v>
      </c>
      <c r="R8" s="60">
        <f t="shared" si="0"/>
        <v>269.709032007996</v>
      </c>
      <c r="S8" s="60">
        <f t="shared" si="1"/>
        <v>282.552319246472</v>
      </c>
      <c r="T8" s="60">
        <f t="shared" si="2"/>
        <v>295.395606484948</v>
      </c>
      <c r="U8" s="60">
        <f t="shared" si="3"/>
        <v>308.238893723424</v>
      </c>
      <c r="V8" s="60">
        <f t="shared" si="4"/>
        <v>321.082180961899</v>
      </c>
      <c r="W8" s="60">
        <f t="shared" si="5"/>
        <v>333.925468200376</v>
      </c>
      <c r="X8" s="60">
        <f t="shared" si="6"/>
        <v>346.768755438851</v>
      </c>
      <c r="Y8" s="60">
        <f t="shared" si="7"/>
        <v>359.612042677327</v>
      </c>
      <c r="Z8" s="60">
        <f t="shared" si="8"/>
        <v>372.455329915803</v>
      </c>
    </row>
    <row r="9" spans="1:26">
      <c r="A9">
        <v>5</v>
      </c>
      <c r="B9" t="s">
        <v>32</v>
      </c>
      <c r="C9">
        <v>0</v>
      </c>
      <c r="D9">
        <v>1</v>
      </c>
      <c r="E9">
        <v>0</v>
      </c>
      <c r="F9">
        <v>87.022</v>
      </c>
      <c r="G9">
        <v>34.622</v>
      </c>
      <c r="L9" s="57"/>
      <c r="M9" s="59"/>
      <c r="N9" s="58"/>
      <c r="O9" s="21"/>
      <c r="Q9" s="60">
        <v>67.0485734150996</v>
      </c>
      <c r="R9" s="60">
        <f t="shared" si="0"/>
        <v>70.4010020858546</v>
      </c>
      <c r="S9" s="60">
        <f t="shared" si="1"/>
        <v>73.7534307566096</v>
      </c>
      <c r="T9" s="60">
        <f t="shared" si="2"/>
        <v>77.1058594273645</v>
      </c>
      <c r="U9" s="60">
        <f t="shared" si="3"/>
        <v>80.4582880981195</v>
      </c>
      <c r="V9" s="60">
        <f t="shared" si="4"/>
        <v>83.8107167688745</v>
      </c>
      <c r="W9" s="60">
        <f t="shared" si="5"/>
        <v>87.1631454396295</v>
      </c>
      <c r="X9" s="60">
        <f t="shared" si="6"/>
        <v>90.5155741103845</v>
      </c>
      <c r="Y9" s="60">
        <f t="shared" si="7"/>
        <v>93.8680027811394</v>
      </c>
      <c r="Z9" s="60">
        <f t="shared" si="8"/>
        <v>97.2204314518944</v>
      </c>
    </row>
    <row r="10" spans="1:26">
      <c r="A10">
        <v>6</v>
      </c>
      <c r="B10" t="s">
        <v>33</v>
      </c>
      <c r="C10">
        <v>0</v>
      </c>
      <c r="D10">
        <v>1</v>
      </c>
      <c r="E10">
        <v>0</v>
      </c>
      <c r="F10">
        <v>311.31</v>
      </c>
      <c r="G10">
        <v>123.86</v>
      </c>
      <c r="L10" s="57"/>
      <c r="M10" s="59"/>
      <c r="N10" s="58"/>
      <c r="O10" s="21"/>
      <c r="Q10" s="60">
        <v>134.089343875641</v>
      </c>
      <c r="R10" s="60">
        <f t="shared" si="0"/>
        <v>140.793811069423</v>
      </c>
      <c r="S10" s="60">
        <f t="shared" si="1"/>
        <v>147.498278263206</v>
      </c>
      <c r="T10" s="60">
        <f t="shared" si="2"/>
        <v>154.202745456988</v>
      </c>
      <c r="U10" s="60">
        <f t="shared" si="3"/>
        <v>160.90721265077</v>
      </c>
      <c r="V10" s="60">
        <f t="shared" si="4"/>
        <v>167.611679844552</v>
      </c>
      <c r="W10" s="60">
        <f t="shared" si="5"/>
        <v>174.316147038334</v>
      </c>
      <c r="X10" s="60">
        <f t="shared" si="6"/>
        <v>181.020614232116</v>
      </c>
      <c r="Y10" s="60">
        <f t="shared" si="7"/>
        <v>187.725081425898</v>
      </c>
      <c r="Z10" s="60">
        <f t="shared" si="8"/>
        <v>194.42954861968</v>
      </c>
    </row>
    <row r="11" spans="1:26">
      <c r="A11">
        <v>7</v>
      </c>
      <c r="B11" t="s">
        <v>34</v>
      </c>
      <c r="C11">
        <v>0</v>
      </c>
      <c r="D11">
        <v>1</v>
      </c>
      <c r="E11">
        <v>0</v>
      </c>
      <c r="F11">
        <v>148.87</v>
      </c>
      <c r="G11">
        <v>59.228</v>
      </c>
      <c r="L11" s="57"/>
      <c r="M11" s="59"/>
      <c r="N11" s="58"/>
      <c r="O11" s="21"/>
      <c r="Q11" s="60">
        <v>150.847258589608</v>
      </c>
      <c r="R11" s="60">
        <f t="shared" si="0"/>
        <v>158.389621519088</v>
      </c>
      <c r="S11" s="60">
        <f t="shared" si="1"/>
        <v>165.931984448569</v>
      </c>
      <c r="T11" s="60">
        <f t="shared" si="2"/>
        <v>173.474347378049</v>
      </c>
      <c r="U11" s="60">
        <f t="shared" si="3"/>
        <v>181.016710307529</v>
      </c>
      <c r="V11" s="60">
        <f t="shared" si="4"/>
        <v>188.55907323701</v>
      </c>
      <c r="W11" s="60">
        <f t="shared" si="5"/>
        <v>196.10143616649</v>
      </c>
      <c r="X11" s="60">
        <f t="shared" si="6"/>
        <v>203.643799095971</v>
      </c>
      <c r="Y11" s="60">
        <f t="shared" si="7"/>
        <v>211.186162025451</v>
      </c>
      <c r="Z11" s="60">
        <f t="shared" si="8"/>
        <v>218.728524954931</v>
      </c>
    </row>
    <row r="12" spans="1:26">
      <c r="A12">
        <v>8</v>
      </c>
      <c r="B12" t="s">
        <v>35</v>
      </c>
      <c r="C12">
        <v>0</v>
      </c>
      <c r="D12">
        <v>1</v>
      </c>
      <c r="E12">
        <v>0</v>
      </c>
      <c r="F12">
        <v>238.67</v>
      </c>
      <c r="G12">
        <v>94.956</v>
      </c>
      <c r="L12" s="57"/>
      <c r="M12" s="59"/>
      <c r="N12" s="58"/>
      <c r="O12" s="21"/>
      <c r="Q12" s="60">
        <v>125.715586845864</v>
      </c>
      <c r="R12" s="60">
        <f t="shared" si="0"/>
        <v>132.001366188157</v>
      </c>
      <c r="S12" s="60">
        <f t="shared" si="1"/>
        <v>138.287145530451</v>
      </c>
      <c r="T12" s="60">
        <f t="shared" si="2"/>
        <v>144.572924872744</v>
      </c>
      <c r="U12" s="60">
        <f t="shared" si="3"/>
        <v>150.858704215037</v>
      </c>
      <c r="V12" s="60">
        <f t="shared" si="4"/>
        <v>157.14448355733</v>
      </c>
      <c r="W12" s="60">
        <f t="shared" si="5"/>
        <v>163.430262899623</v>
      </c>
      <c r="X12" s="60">
        <f t="shared" si="6"/>
        <v>169.716042241917</v>
      </c>
      <c r="Y12" s="60">
        <f t="shared" si="7"/>
        <v>176.00182158421</v>
      </c>
      <c r="Z12" s="60">
        <f t="shared" si="8"/>
        <v>182.287600926503</v>
      </c>
    </row>
    <row r="13" spans="1:26">
      <c r="A13">
        <v>9</v>
      </c>
      <c r="B13" t="s">
        <v>36</v>
      </c>
      <c r="C13">
        <v>0</v>
      </c>
      <c r="D13">
        <v>1</v>
      </c>
      <c r="E13">
        <v>0</v>
      </c>
      <c r="F13">
        <v>62.299</v>
      </c>
      <c r="G13">
        <v>24.786</v>
      </c>
      <c r="L13" s="57"/>
      <c r="M13" s="59"/>
      <c r="N13" s="58"/>
      <c r="O13" s="21"/>
      <c r="Q13" s="60">
        <v>268.198379982057</v>
      </c>
      <c r="R13" s="60">
        <f t="shared" si="0"/>
        <v>281.60829898116</v>
      </c>
      <c r="S13" s="60">
        <f t="shared" si="1"/>
        <v>295.018217980263</v>
      </c>
      <c r="T13" s="60">
        <f t="shared" si="2"/>
        <v>308.428136979366</v>
      </c>
      <c r="U13" s="60">
        <f t="shared" si="3"/>
        <v>321.838055978469</v>
      </c>
      <c r="V13" s="60">
        <f t="shared" si="4"/>
        <v>335.247974977572</v>
      </c>
      <c r="W13" s="60">
        <f t="shared" si="5"/>
        <v>348.657893976675</v>
      </c>
      <c r="X13" s="60">
        <f t="shared" si="6"/>
        <v>362.067812975777</v>
      </c>
      <c r="Y13" s="60">
        <f t="shared" si="7"/>
        <v>375.47773197488</v>
      </c>
      <c r="Z13" s="60">
        <f t="shared" si="8"/>
        <v>388.887650973983</v>
      </c>
    </row>
    <row r="14" spans="1:26">
      <c r="A14">
        <v>10</v>
      </c>
      <c r="B14" t="s">
        <v>37</v>
      </c>
      <c r="C14">
        <v>0</v>
      </c>
      <c r="D14">
        <v>1</v>
      </c>
      <c r="E14">
        <v>0</v>
      </c>
      <c r="F14">
        <v>124.59</v>
      </c>
      <c r="G14">
        <v>49.571</v>
      </c>
      <c r="L14" s="57"/>
      <c r="M14" s="59"/>
      <c r="N14" s="58"/>
      <c r="O14" s="21"/>
      <c r="Q14" s="60">
        <v>313.534927240969</v>
      </c>
      <c r="R14" s="60">
        <f t="shared" si="0"/>
        <v>329.211673603018</v>
      </c>
      <c r="S14" s="60">
        <f t="shared" si="1"/>
        <v>344.888419965066</v>
      </c>
      <c r="T14" s="60">
        <f t="shared" si="2"/>
        <v>360.565166327115</v>
      </c>
      <c r="U14" s="60">
        <f t="shared" si="3"/>
        <v>376.241912689163</v>
      </c>
      <c r="V14" s="60">
        <f t="shared" si="4"/>
        <v>391.918659051212</v>
      </c>
      <c r="W14" s="60">
        <f t="shared" si="5"/>
        <v>407.59540541326</v>
      </c>
      <c r="X14" s="60">
        <f t="shared" si="6"/>
        <v>423.272151775309</v>
      </c>
      <c r="Y14" s="60">
        <f t="shared" si="7"/>
        <v>438.948898137357</v>
      </c>
      <c r="Z14" s="60">
        <f t="shared" si="8"/>
        <v>454.625644499406</v>
      </c>
    </row>
    <row r="15" spans="1:26">
      <c r="A15">
        <v>11</v>
      </c>
      <c r="B15" t="s">
        <v>38</v>
      </c>
      <c r="C15">
        <v>0</v>
      </c>
      <c r="D15">
        <v>1</v>
      </c>
      <c r="E15">
        <v>0</v>
      </c>
      <c r="F15">
        <v>140.16</v>
      </c>
      <c r="G15">
        <v>55.768</v>
      </c>
      <c r="L15" s="57"/>
      <c r="M15" s="59"/>
      <c r="N15" s="58"/>
      <c r="O15" s="21"/>
      <c r="Q15" s="60">
        <v>326.876343591885</v>
      </c>
      <c r="R15" s="60">
        <f t="shared" si="0"/>
        <v>343.220160771479</v>
      </c>
      <c r="S15" s="60">
        <f t="shared" ref="S15:S78" si="9">Q15*1.1</f>
        <v>359.563977951073</v>
      </c>
      <c r="T15" s="60">
        <f t="shared" ref="T15:T78" si="10">Q15*1.15</f>
        <v>375.907795130668</v>
      </c>
      <c r="U15" s="60">
        <f t="shared" ref="U15:U78" si="11">Q15*1.2</f>
        <v>392.251612310262</v>
      </c>
      <c r="V15" s="60">
        <f t="shared" ref="V15:V78" si="12">Q15*1.25</f>
        <v>408.595429489856</v>
      </c>
      <c r="W15" s="60">
        <f t="shared" ref="W15:W78" si="13">Q15*1.3</f>
        <v>424.93924666945</v>
      </c>
      <c r="X15" s="60">
        <f t="shared" ref="X15:X78" si="14">Q15*1.35</f>
        <v>441.283063849045</v>
      </c>
      <c r="Y15" s="60">
        <f t="shared" ref="Y15:Y78" si="15">Q15*1.4</f>
        <v>457.626881028639</v>
      </c>
      <c r="Z15" s="60">
        <f t="shared" ref="Z15:Z78" si="16">Q15*1.45</f>
        <v>473.970698208233</v>
      </c>
    </row>
    <row r="16" spans="1:26">
      <c r="A16">
        <v>12</v>
      </c>
      <c r="B16" t="s">
        <v>39</v>
      </c>
      <c r="C16">
        <v>0</v>
      </c>
      <c r="D16">
        <v>1</v>
      </c>
      <c r="E16">
        <v>0</v>
      </c>
      <c r="F16">
        <v>116.81</v>
      </c>
      <c r="G16">
        <v>46.474</v>
      </c>
      <c r="L16" s="57"/>
      <c r="M16" s="59"/>
      <c r="N16" s="58"/>
      <c r="O16" s="21"/>
      <c r="Q16" s="60">
        <v>231.811313625975</v>
      </c>
      <c r="R16" s="60">
        <f t="shared" si="0"/>
        <v>243.401879307273</v>
      </c>
      <c r="S16" s="60">
        <f t="shared" si="9"/>
        <v>254.992444988572</v>
      </c>
      <c r="T16" s="60">
        <f t="shared" si="10"/>
        <v>266.583010669871</v>
      </c>
      <c r="U16" s="60">
        <f t="shared" si="11"/>
        <v>278.17357635117</v>
      </c>
      <c r="V16" s="60">
        <f t="shared" si="12"/>
        <v>289.764142032468</v>
      </c>
      <c r="W16" s="60">
        <f t="shared" si="13"/>
        <v>301.354707713767</v>
      </c>
      <c r="X16" s="60">
        <f t="shared" si="14"/>
        <v>312.945273395066</v>
      </c>
      <c r="Y16" s="60">
        <f t="shared" si="15"/>
        <v>324.535839076364</v>
      </c>
      <c r="Z16" s="60">
        <f t="shared" si="16"/>
        <v>336.126404757663</v>
      </c>
    </row>
    <row r="17" spans="1:26">
      <c r="A17">
        <v>13</v>
      </c>
      <c r="B17" t="s">
        <v>40</v>
      </c>
      <c r="C17">
        <v>0</v>
      </c>
      <c r="D17">
        <v>1</v>
      </c>
      <c r="E17">
        <v>0</v>
      </c>
      <c r="F17">
        <v>249.2</v>
      </c>
      <c r="G17">
        <v>99.145</v>
      </c>
      <c r="L17" s="57"/>
      <c r="M17" s="59"/>
      <c r="N17" s="58"/>
      <c r="O17" s="21"/>
      <c r="Q17" s="60">
        <v>213.729020371591</v>
      </c>
      <c r="R17" s="60">
        <f t="shared" si="0"/>
        <v>224.415471390171</v>
      </c>
      <c r="S17" s="60">
        <f t="shared" si="9"/>
        <v>235.10192240875</v>
      </c>
      <c r="T17" s="60">
        <f t="shared" si="10"/>
        <v>245.78837342733</v>
      </c>
      <c r="U17" s="60">
        <f t="shared" si="11"/>
        <v>256.474824445909</v>
      </c>
      <c r="V17" s="60">
        <f t="shared" si="12"/>
        <v>267.161275464489</v>
      </c>
      <c r="W17" s="60">
        <f t="shared" si="13"/>
        <v>277.847726483068</v>
      </c>
      <c r="X17" s="60">
        <f t="shared" si="14"/>
        <v>288.534177501648</v>
      </c>
      <c r="Y17" s="60">
        <f t="shared" si="15"/>
        <v>299.220628520228</v>
      </c>
      <c r="Z17" s="60">
        <f t="shared" si="16"/>
        <v>309.907079538807</v>
      </c>
    </row>
    <row r="18" spans="1:26">
      <c r="A18">
        <v>14</v>
      </c>
      <c r="B18" t="s">
        <v>41</v>
      </c>
      <c r="C18">
        <v>0</v>
      </c>
      <c r="D18">
        <v>1</v>
      </c>
      <c r="E18">
        <v>0</v>
      </c>
      <c r="F18">
        <v>291.45</v>
      </c>
      <c r="G18">
        <v>115.59</v>
      </c>
      <c r="L18" s="57"/>
      <c r="M18" s="59"/>
      <c r="N18" s="58"/>
      <c r="Q18" s="60">
        <v>429</v>
      </c>
      <c r="R18" s="60">
        <f t="shared" si="0"/>
        <v>450.45</v>
      </c>
      <c r="S18" s="60">
        <f t="shared" si="9"/>
        <v>471.9</v>
      </c>
      <c r="T18" s="60">
        <f t="shared" si="10"/>
        <v>493.35</v>
      </c>
      <c r="U18" s="60">
        <f t="shared" si="11"/>
        <v>514.8</v>
      </c>
      <c r="V18" s="60">
        <f t="shared" si="12"/>
        <v>536.25</v>
      </c>
      <c r="W18" s="60">
        <f t="shared" si="13"/>
        <v>557.7</v>
      </c>
      <c r="X18" s="60">
        <f t="shared" si="14"/>
        <v>579.15</v>
      </c>
      <c r="Y18" s="60">
        <f t="shared" si="15"/>
        <v>600.6</v>
      </c>
      <c r="Z18" s="60">
        <f t="shared" si="16"/>
        <v>622.05</v>
      </c>
    </row>
    <row r="19" spans="1:26">
      <c r="A19">
        <v>15</v>
      </c>
      <c r="B19" t="s">
        <v>42</v>
      </c>
      <c r="C19">
        <v>0</v>
      </c>
      <c r="D19">
        <v>1</v>
      </c>
      <c r="E19">
        <v>0</v>
      </c>
      <c r="F19">
        <v>303.72</v>
      </c>
      <c r="G19">
        <v>120.84</v>
      </c>
      <c r="L19" s="57"/>
      <c r="M19" s="59"/>
      <c r="N19" s="58"/>
      <c r="Q19" s="60">
        <v>158</v>
      </c>
      <c r="R19" s="60">
        <f t="shared" si="0"/>
        <v>165.9</v>
      </c>
      <c r="S19" s="60">
        <f t="shared" si="9"/>
        <v>173.8</v>
      </c>
      <c r="T19" s="60">
        <f t="shared" si="10"/>
        <v>181.7</v>
      </c>
      <c r="U19" s="60">
        <f t="shared" si="11"/>
        <v>189.6</v>
      </c>
      <c r="V19" s="60">
        <f t="shared" si="12"/>
        <v>197.5</v>
      </c>
      <c r="W19" s="60">
        <f t="shared" si="13"/>
        <v>205.4</v>
      </c>
      <c r="X19" s="60">
        <f t="shared" si="14"/>
        <v>213.3</v>
      </c>
      <c r="Y19" s="60">
        <f t="shared" si="15"/>
        <v>221.2</v>
      </c>
      <c r="Z19" s="60">
        <f t="shared" si="16"/>
        <v>229.1</v>
      </c>
    </row>
    <row r="20" spans="1:26">
      <c r="A20">
        <v>16</v>
      </c>
      <c r="B20" t="s">
        <v>43</v>
      </c>
      <c r="C20">
        <v>0</v>
      </c>
      <c r="D20">
        <v>1</v>
      </c>
      <c r="E20">
        <v>0</v>
      </c>
      <c r="F20">
        <v>215.39</v>
      </c>
      <c r="G20">
        <v>85.695</v>
      </c>
      <c r="L20" s="57"/>
      <c r="M20" s="59"/>
      <c r="N20" s="58"/>
      <c r="Q20" s="60">
        <v>75</v>
      </c>
      <c r="R20" s="60">
        <f t="shared" si="0"/>
        <v>78.75</v>
      </c>
      <c r="S20" s="60">
        <f t="shared" si="9"/>
        <v>82.5</v>
      </c>
      <c r="T20" s="60">
        <f t="shared" si="10"/>
        <v>86.25</v>
      </c>
      <c r="U20" s="60">
        <f t="shared" si="11"/>
        <v>90</v>
      </c>
      <c r="V20" s="60">
        <f t="shared" si="12"/>
        <v>93.75</v>
      </c>
      <c r="W20" s="60">
        <f t="shared" si="13"/>
        <v>97.5</v>
      </c>
      <c r="X20" s="60">
        <f t="shared" si="14"/>
        <v>101.25</v>
      </c>
      <c r="Y20" s="60">
        <f t="shared" si="15"/>
        <v>105</v>
      </c>
      <c r="Z20" s="60">
        <f t="shared" si="16"/>
        <v>108.75</v>
      </c>
    </row>
    <row r="21" spans="1:26">
      <c r="A21">
        <v>17</v>
      </c>
      <c r="B21" t="s">
        <v>44</v>
      </c>
      <c r="C21">
        <v>0</v>
      </c>
      <c r="D21">
        <v>1</v>
      </c>
      <c r="E21">
        <v>0</v>
      </c>
      <c r="F21">
        <v>198.59</v>
      </c>
      <c r="G21">
        <v>79.007</v>
      </c>
      <c r="L21" s="57"/>
      <c r="M21" s="59"/>
      <c r="N21" s="58"/>
      <c r="Q21" s="60">
        <v>33.5347516764326</v>
      </c>
      <c r="R21" s="60">
        <f t="shared" si="0"/>
        <v>35.2114892602542</v>
      </c>
      <c r="S21" s="60">
        <f t="shared" si="9"/>
        <v>36.8882268440759</v>
      </c>
      <c r="T21" s="60">
        <f t="shared" si="10"/>
        <v>38.5649644278975</v>
      </c>
      <c r="U21" s="60">
        <f t="shared" si="11"/>
        <v>40.2417020117191</v>
      </c>
      <c r="V21" s="60">
        <f t="shared" si="12"/>
        <v>41.9184395955408</v>
      </c>
      <c r="W21" s="60">
        <f t="shared" si="13"/>
        <v>43.5951771793624</v>
      </c>
      <c r="X21" s="60">
        <f t="shared" si="14"/>
        <v>45.271914763184</v>
      </c>
      <c r="Y21" s="60">
        <f t="shared" si="15"/>
        <v>46.9486523470057</v>
      </c>
      <c r="Z21" s="60">
        <f t="shared" si="16"/>
        <v>48.6253899308273</v>
      </c>
    </row>
    <row r="22" spans="1:26">
      <c r="A22">
        <v>18</v>
      </c>
      <c r="B22" t="s">
        <v>45</v>
      </c>
      <c r="C22">
        <v>0</v>
      </c>
      <c r="D22">
        <v>1</v>
      </c>
      <c r="E22">
        <v>0</v>
      </c>
      <c r="F22">
        <v>0</v>
      </c>
      <c r="G22">
        <v>0</v>
      </c>
      <c r="L22" s="57"/>
      <c r="M22" s="59"/>
      <c r="N22" s="58"/>
      <c r="Q22" s="60">
        <v>257.095443950296</v>
      </c>
      <c r="R22" s="60">
        <f t="shared" si="0"/>
        <v>269.950216147811</v>
      </c>
      <c r="S22" s="60">
        <f t="shared" si="9"/>
        <v>282.804988345326</v>
      </c>
      <c r="T22" s="60">
        <f t="shared" si="10"/>
        <v>295.659760542841</v>
      </c>
      <c r="U22" s="60">
        <f t="shared" si="11"/>
        <v>308.514532740356</v>
      </c>
      <c r="V22" s="60">
        <f t="shared" si="12"/>
        <v>321.36930493787</v>
      </c>
      <c r="W22" s="60">
        <f t="shared" si="13"/>
        <v>334.224077135385</v>
      </c>
      <c r="X22" s="60">
        <f t="shared" si="14"/>
        <v>347.0788493329</v>
      </c>
      <c r="Y22" s="60">
        <f t="shared" si="15"/>
        <v>359.933621530415</v>
      </c>
      <c r="Z22" s="60">
        <f t="shared" si="16"/>
        <v>372.78839372793</v>
      </c>
    </row>
    <row r="23" spans="1:26">
      <c r="A23">
        <v>19</v>
      </c>
      <c r="B23" t="s">
        <v>46</v>
      </c>
      <c r="C23">
        <v>0</v>
      </c>
      <c r="D23">
        <v>1</v>
      </c>
      <c r="E23">
        <v>0</v>
      </c>
      <c r="F23">
        <v>0</v>
      </c>
      <c r="G23">
        <v>0</v>
      </c>
      <c r="L23" s="57"/>
      <c r="M23" s="59"/>
      <c r="N23" s="58"/>
      <c r="Q23" s="60">
        <v>67.0717393318527</v>
      </c>
      <c r="R23" s="60">
        <f t="shared" si="0"/>
        <v>70.4253262984454</v>
      </c>
      <c r="S23" s="60">
        <f t="shared" si="9"/>
        <v>73.778913265038</v>
      </c>
      <c r="T23" s="60">
        <f t="shared" si="10"/>
        <v>77.1325002316306</v>
      </c>
      <c r="U23" s="60">
        <f t="shared" si="11"/>
        <v>80.4860871982233</v>
      </c>
      <c r="V23" s="60">
        <f t="shared" si="12"/>
        <v>83.8396741648159</v>
      </c>
      <c r="W23" s="60">
        <f t="shared" si="13"/>
        <v>87.1932611314085</v>
      </c>
      <c r="X23" s="60">
        <f t="shared" si="14"/>
        <v>90.5468480980012</v>
      </c>
      <c r="Y23" s="60">
        <f t="shared" si="15"/>
        <v>93.9004350645938</v>
      </c>
      <c r="Z23" s="60">
        <f t="shared" si="16"/>
        <v>97.2540220311865</v>
      </c>
    </row>
    <row r="24" spans="1:26">
      <c r="A24">
        <v>20</v>
      </c>
      <c r="B24" t="s">
        <v>47</v>
      </c>
      <c r="C24">
        <v>0</v>
      </c>
      <c r="D24">
        <v>1</v>
      </c>
      <c r="E24">
        <v>0</v>
      </c>
      <c r="F24">
        <v>0</v>
      </c>
      <c r="G24">
        <v>0</v>
      </c>
      <c r="L24" s="57"/>
      <c r="M24" s="59"/>
      <c r="N24" s="58"/>
      <c r="Q24" s="60">
        <v>257.095443950296</v>
      </c>
      <c r="R24" s="60">
        <f t="shared" si="0"/>
        <v>269.950216147811</v>
      </c>
      <c r="S24" s="60">
        <f t="shared" si="9"/>
        <v>282.804988345326</v>
      </c>
      <c r="T24" s="60">
        <f t="shared" si="10"/>
        <v>295.659760542841</v>
      </c>
      <c r="U24" s="60">
        <f t="shared" si="11"/>
        <v>308.514532740356</v>
      </c>
      <c r="V24" s="60">
        <f t="shared" si="12"/>
        <v>321.36930493787</v>
      </c>
      <c r="W24" s="60">
        <f t="shared" si="13"/>
        <v>334.224077135385</v>
      </c>
      <c r="X24" s="60">
        <f t="shared" si="14"/>
        <v>347.0788493329</v>
      </c>
      <c r="Y24" s="60">
        <f t="shared" si="15"/>
        <v>359.933621530415</v>
      </c>
      <c r="Z24" s="60">
        <f t="shared" si="16"/>
        <v>372.78839372793</v>
      </c>
    </row>
    <row r="25" spans="1:26">
      <c r="A25">
        <v>21</v>
      </c>
      <c r="B25" t="s">
        <v>48</v>
      </c>
      <c r="C25">
        <v>0</v>
      </c>
      <c r="D25">
        <v>1</v>
      </c>
      <c r="E25">
        <v>0</v>
      </c>
      <c r="F25">
        <v>30.127</v>
      </c>
      <c r="G25">
        <v>14.729</v>
      </c>
      <c r="L25" s="57"/>
      <c r="M25" s="59"/>
      <c r="N25" s="58"/>
      <c r="Q25" s="60">
        <v>134.140364264452</v>
      </c>
      <c r="R25" s="60">
        <f t="shared" si="0"/>
        <v>140.847382477675</v>
      </c>
      <c r="S25" s="60">
        <f t="shared" si="9"/>
        <v>147.554400690898</v>
      </c>
      <c r="T25" s="60">
        <f t="shared" si="10"/>
        <v>154.26141890412</v>
      </c>
      <c r="U25" s="60">
        <f t="shared" si="11"/>
        <v>160.968437117343</v>
      </c>
      <c r="V25" s="60">
        <f t="shared" si="12"/>
        <v>167.675455330566</v>
      </c>
      <c r="W25" s="60">
        <f t="shared" si="13"/>
        <v>174.382473543788</v>
      </c>
      <c r="X25" s="60">
        <f t="shared" si="14"/>
        <v>181.089491757011</v>
      </c>
      <c r="Y25" s="60">
        <f t="shared" si="15"/>
        <v>187.796509970233</v>
      </c>
      <c r="Z25" s="60">
        <f t="shared" si="16"/>
        <v>194.503528183456</v>
      </c>
    </row>
    <row r="26" spans="1:26">
      <c r="A26">
        <v>22</v>
      </c>
      <c r="B26" t="s">
        <v>49</v>
      </c>
      <c r="C26">
        <v>0</v>
      </c>
      <c r="D26">
        <v>1</v>
      </c>
      <c r="E26">
        <v>0</v>
      </c>
      <c r="F26">
        <v>230.97</v>
      </c>
      <c r="G26">
        <v>112.92</v>
      </c>
      <c r="L26" s="57"/>
      <c r="M26" s="59"/>
      <c r="N26" s="58"/>
      <c r="Q26" s="60">
        <v>269</v>
      </c>
      <c r="R26" s="60">
        <f t="shared" si="0"/>
        <v>282.45</v>
      </c>
      <c r="S26" s="60">
        <f t="shared" si="9"/>
        <v>295.9</v>
      </c>
      <c r="T26" s="60">
        <f t="shared" si="10"/>
        <v>309.35</v>
      </c>
      <c r="U26" s="60">
        <f t="shared" si="11"/>
        <v>322.8</v>
      </c>
      <c r="V26" s="60">
        <f t="shared" si="12"/>
        <v>336.25</v>
      </c>
      <c r="W26" s="60">
        <f t="shared" si="13"/>
        <v>349.7</v>
      </c>
      <c r="X26" s="60">
        <f t="shared" si="14"/>
        <v>363.15</v>
      </c>
      <c r="Y26" s="60">
        <f t="shared" si="15"/>
        <v>376.6</v>
      </c>
      <c r="Z26" s="60">
        <f t="shared" si="16"/>
        <v>390.05</v>
      </c>
    </row>
    <row r="27" spans="1:26">
      <c r="A27">
        <v>23</v>
      </c>
      <c r="B27" t="s">
        <v>50</v>
      </c>
      <c r="C27">
        <v>0</v>
      </c>
      <c r="D27">
        <v>1</v>
      </c>
      <c r="E27">
        <v>0</v>
      </c>
      <c r="F27">
        <v>60.256</v>
      </c>
      <c r="G27">
        <v>29.459</v>
      </c>
      <c r="L27" s="57"/>
      <c r="M27" s="59"/>
      <c r="N27" s="58"/>
      <c r="Q27" s="60">
        <v>63.4259159177067</v>
      </c>
      <c r="R27" s="60">
        <f t="shared" si="0"/>
        <v>66.597211713592</v>
      </c>
      <c r="S27" s="60">
        <f t="shared" si="9"/>
        <v>69.7685075094774</v>
      </c>
      <c r="T27" s="60">
        <f t="shared" si="10"/>
        <v>72.9398033053627</v>
      </c>
      <c r="U27" s="60">
        <f t="shared" si="11"/>
        <v>76.111099101248</v>
      </c>
      <c r="V27" s="60">
        <f t="shared" si="12"/>
        <v>79.2823948971334</v>
      </c>
      <c r="W27" s="60">
        <f t="shared" si="13"/>
        <v>82.4536906930187</v>
      </c>
      <c r="X27" s="60">
        <f t="shared" si="14"/>
        <v>85.624986488904</v>
      </c>
      <c r="Y27" s="60">
        <f t="shared" si="15"/>
        <v>88.7962822847894</v>
      </c>
      <c r="Z27" s="60">
        <f t="shared" si="16"/>
        <v>91.9675780806747</v>
      </c>
    </row>
    <row r="28" spans="1:26">
      <c r="A28">
        <v>24</v>
      </c>
      <c r="B28" t="s">
        <v>51</v>
      </c>
      <c r="C28">
        <v>0</v>
      </c>
      <c r="D28">
        <v>1</v>
      </c>
      <c r="E28">
        <v>0</v>
      </c>
      <c r="F28">
        <v>230.97</v>
      </c>
      <c r="G28">
        <v>112.92</v>
      </c>
      <c r="L28" s="57"/>
      <c r="M28" s="59"/>
      <c r="N28" s="58"/>
      <c r="Q28" s="60">
        <v>405.916207239869</v>
      </c>
      <c r="R28" s="60">
        <f t="shared" si="0"/>
        <v>426.212017601862</v>
      </c>
      <c r="S28" s="60">
        <f t="shared" si="9"/>
        <v>446.507827963856</v>
      </c>
      <c r="T28" s="60">
        <f t="shared" si="10"/>
        <v>466.803638325849</v>
      </c>
      <c r="U28" s="60">
        <f t="shared" si="11"/>
        <v>487.099448687842</v>
      </c>
      <c r="V28" s="60">
        <f t="shared" si="12"/>
        <v>507.395259049836</v>
      </c>
      <c r="W28" s="60">
        <f t="shared" si="13"/>
        <v>527.691069411829</v>
      </c>
      <c r="X28" s="60">
        <f t="shared" si="14"/>
        <v>547.986879773823</v>
      </c>
      <c r="Y28" s="60">
        <f t="shared" si="15"/>
        <v>568.282690135816</v>
      </c>
      <c r="Z28" s="60">
        <f t="shared" si="16"/>
        <v>588.57850049781</v>
      </c>
    </row>
    <row r="29" spans="1:26">
      <c r="A29">
        <v>25</v>
      </c>
      <c r="B29" t="s">
        <v>52</v>
      </c>
      <c r="C29">
        <v>0</v>
      </c>
      <c r="D29">
        <v>1</v>
      </c>
      <c r="E29">
        <v>0</v>
      </c>
      <c r="F29">
        <v>120.51</v>
      </c>
      <c r="G29">
        <v>58.915</v>
      </c>
      <c r="L29" s="57"/>
      <c r="M29" s="59"/>
      <c r="N29" s="58"/>
      <c r="Q29" s="60">
        <v>216</v>
      </c>
      <c r="R29" s="60">
        <f t="shared" si="0"/>
        <v>226.8</v>
      </c>
      <c r="S29" s="60">
        <f t="shared" si="9"/>
        <v>237.6</v>
      </c>
      <c r="T29" s="60">
        <f t="shared" si="10"/>
        <v>248.4</v>
      </c>
      <c r="U29" s="60">
        <f t="shared" si="11"/>
        <v>259.2</v>
      </c>
      <c r="V29" s="60">
        <f t="shared" si="12"/>
        <v>270</v>
      </c>
      <c r="W29" s="60">
        <f t="shared" si="13"/>
        <v>280.8</v>
      </c>
      <c r="X29" s="60">
        <f t="shared" si="14"/>
        <v>291.6</v>
      </c>
      <c r="Y29" s="60">
        <f t="shared" si="15"/>
        <v>302.4</v>
      </c>
      <c r="Z29" s="60">
        <f t="shared" si="16"/>
        <v>313.2</v>
      </c>
    </row>
    <row r="30" spans="1:26">
      <c r="A30">
        <v>26</v>
      </c>
      <c r="B30" t="s">
        <v>53</v>
      </c>
      <c r="C30">
        <v>0</v>
      </c>
      <c r="D30">
        <v>1</v>
      </c>
      <c r="E30">
        <v>0</v>
      </c>
      <c r="F30">
        <v>0</v>
      </c>
      <c r="G30">
        <v>0</v>
      </c>
      <c r="L30" s="57"/>
      <c r="M30" s="59"/>
      <c r="N30" s="58"/>
      <c r="Q30" s="60">
        <v>138.748636825736</v>
      </c>
      <c r="R30" s="60">
        <f t="shared" si="0"/>
        <v>145.686068667023</v>
      </c>
      <c r="S30" s="60">
        <f t="shared" si="9"/>
        <v>152.62350050831</v>
      </c>
      <c r="T30" s="60">
        <f t="shared" si="10"/>
        <v>159.560932349596</v>
      </c>
      <c r="U30" s="60">
        <f t="shared" si="11"/>
        <v>166.498364190883</v>
      </c>
      <c r="V30" s="60">
        <f t="shared" si="12"/>
        <v>173.43579603217</v>
      </c>
      <c r="W30" s="60">
        <f t="shared" si="13"/>
        <v>180.373227873457</v>
      </c>
      <c r="X30" s="60">
        <f t="shared" si="14"/>
        <v>187.310659714744</v>
      </c>
      <c r="Y30" s="60">
        <f t="shared" si="15"/>
        <v>194.24809155603</v>
      </c>
      <c r="Z30" s="60">
        <f t="shared" si="16"/>
        <v>201.185523397317</v>
      </c>
    </row>
    <row r="31" spans="1:26">
      <c r="A31">
        <v>27</v>
      </c>
      <c r="B31" t="s">
        <v>54</v>
      </c>
      <c r="C31">
        <v>0</v>
      </c>
      <c r="D31">
        <v>1</v>
      </c>
      <c r="E31">
        <v>0</v>
      </c>
      <c r="F31">
        <v>56.981</v>
      </c>
      <c r="G31">
        <v>27.857</v>
      </c>
      <c r="L31" s="57"/>
      <c r="M31" s="59"/>
      <c r="N31" s="58"/>
      <c r="Q31" s="60">
        <v>63.4259159177067</v>
      </c>
      <c r="R31" s="60">
        <f t="shared" si="0"/>
        <v>66.597211713592</v>
      </c>
      <c r="S31" s="60">
        <f t="shared" si="9"/>
        <v>69.7685075094774</v>
      </c>
      <c r="T31" s="60">
        <f t="shared" si="10"/>
        <v>72.9398033053627</v>
      </c>
      <c r="U31" s="60">
        <f t="shared" si="11"/>
        <v>76.111099101248</v>
      </c>
      <c r="V31" s="60">
        <f t="shared" si="12"/>
        <v>79.2823948971334</v>
      </c>
      <c r="W31" s="60">
        <f t="shared" si="13"/>
        <v>82.4536906930187</v>
      </c>
      <c r="X31" s="60">
        <f t="shared" si="14"/>
        <v>85.624986488904</v>
      </c>
      <c r="Y31" s="60">
        <f t="shared" si="15"/>
        <v>88.7962822847894</v>
      </c>
      <c r="Z31" s="60">
        <f t="shared" si="16"/>
        <v>91.9675780806747</v>
      </c>
    </row>
    <row r="32" spans="1:26">
      <c r="A32">
        <v>28</v>
      </c>
      <c r="B32" t="s">
        <v>55</v>
      </c>
      <c r="C32">
        <v>0</v>
      </c>
      <c r="D32">
        <v>1</v>
      </c>
      <c r="E32">
        <v>0</v>
      </c>
      <c r="F32">
        <v>364.67</v>
      </c>
      <c r="G32">
        <v>178.28</v>
      </c>
      <c r="L32" s="57"/>
      <c r="M32" s="59"/>
      <c r="N32" s="58"/>
      <c r="Q32" s="60">
        <v>377</v>
      </c>
      <c r="R32" s="60">
        <f t="shared" si="0"/>
        <v>395.85</v>
      </c>
      <c r="S32" s="60">
        <f t="shared" si="9"/>
        <v>414.7</v>
      </c>
      <c r="T32" s="60">
        <f t="shared" si="10"/>
        <v>433.55</v>
      </c>
      <c r="U32" s="60">
        <f t="shared" si="11"/>
        <v>452.4</v>
      </c>
      <c r="V32" s="60">
        <f t="shared" si="12"/>
        <v>471.25</v>
      </c>
      <c r="W32" s="60">
        <f t="shared" si="13"/>
        <v>490.1</v>
      </c>
      <c r="X32" s="60">
        <f t="shared" si="14"/>
        <v>508.95</v>
      </c>
      <c r="Y32" s="60">
        <f t="shared" si="15"/>
        <v>527.8</v>
      </c>
      <c r="Z32" s="60">
        <f t="shared" si="16"/>
        <v>546.65</v>
      </c>
    </row>
    <row r="33" spans="1:26">
      <c r="A33">
        <v>29</v>
      </c>
      <c r="B33" t="s">
        <v>56</v>
      </c>
      <c r="C33">
        <v>0</v>
      </c>
      <c r="D33">
        <v>1</v>
      </c>
      <c r="E33">
        <v>0</v>
      </c>
      <c r="F33">
        <v>0</v>
      </c>
      <c r="G33">
        <v>0</v>
      </c>
      <c r="L33" s="57"/>
      <c r="M33" s="59"/>
      <c r="N33" s="58"/>
      <c r="Q33" s="60">
        <v>95.1408802671071</v>
      </c>
      <c r="R33" s="60">
        <f t="shared" si="0"/>
        <v>99.8979242804624</v>
      </c>
      <c r="S33" s="60">
        <f t="shared" si="9"/>
        <v>104.654968293818</v>
      </c>
      <c r="T33" s="60">
        <f t="shared" si="10"/>
        <v>109.412012307173</v>
      </c>
      <c r="U33" s="60">
        <f t="shared" si="11"/>
        <v>114.169056320528</v>
      </c>
      <c r="V33" s="60">
        <f t="shared" si="12"/>
        <v>118.926100333884</v>
      </c>
      <c r="W33" s="60">
        <f t="shared" si="13"/>
        <v>123.683144347239</v>
      </c>
      <c r="X33" s="60">
        <f t="shared" si="14"/>
        <v>128.440188360595</v>
      </c>
      <c r="Y33" s="60">
        <f t="shared" si="15"/>
        <v>133.19723237395</v>
      </c>
      <c r="Z33" s="60">
        <f t="shared" si="16"/>
        <v>137.954276387305</v>
      </c>
    </row>
    <row r="34" spans="1:26">
      <c r="A34">
        <v>30</v>
      </c>
      <c r="B34" t="s">
        <v>57</v>
      </c>
      <c r="C34">
        <v>0</v>
      </c>
      <c r="D34">
        <v>1</v>
      </c>
      <c r="E34">
        <v>0</v>
      </c>
      <c r="F34">
        <v>124.65</v>
      </c>
      <c r="G34">
        <v>60.939</v>
      </c>
      <c r="L34" s="57"/>
      <c r="M34" s="59"/>
      <c r="N34" s="58"/>
      <c r="Q34" s="60">
        <v>171</v>
      </c>
      <c r="R34" s="60">
        <f t="shared" si="0"/>
        <v>179.55</v>
      </c>
      <c r="S34" s="60">
        <f t="shared" si="9"/>
        <v>188.1</v>
      </c>
      <c r="T34" s="60">
        <f t="shared" si="10"/>
        <v>196.65</v>
      </c>
      <c r="U34" s="60">
        <f t="shared" si="11"/>
        <v>205.2</v>
      </c>
      <c r="V34" s="60">
        <f t="shared" si="12"/>
        <v>213.75</v>
      </c>
      <c r="W34" s="60">
        <f t="shared" si="13"/>
        <v>222.3</v>
      </c>
      <c r="X34" s="60">
        <f t="shared" si="14"/>
        <v>230.85</v>
      </c>
      <c r="Y34" s="60">
        <f t="shared" si="15"/>
        <v>239.4</v>
      </c>
      <c r="Z34" s="60">
        <f t="shared" si="16"/>
        <v>247.95</v>
      </c>
    </row>
    <row r="35" spans="1:26">
      <c r="A35">
        <v>31</v>
      </c>
      <c r="B35" t="s">
        <v>58</v>
      </c>
      <c r="C35">
        <v>0</v>
      </c>
      <c r="D35">
        <v>1</v>
      </c>
      <c r="E35">
        <v>0</v>
      </c>
      <c r="F35">
        <v>56.981</v>
      </c>
      <c r="G35">
        <v>27.857</v>
      </c>
      <c r="L35" s="57"/>
      <c r="M35" s="59"/>
      <c r="N35" s="58"/>
      <c r="Q35" s="60">
        <v>441.61420855765</v>
      </c>
      <c r="R35" s="60">
        <f t="shared" si="0"/>
        <v>463.694918985533</v>
      </c>
      <c r="S35" s="60">
        <f t="shared" si="9"/>
        <v>485.775629413416</v>
      </c>
      <c r="T35" s="60">
        <f t="shared" si="10"/>
        <v>507.856339841298</v>
      </c>
      <c r="U35" s="60">
        <f t="shared" si="11"/>
        <v>529.937050269181</v>
      </c>
      <c r="V35" s="60">
        <f t="shared" si="12"/>
        <v>552.017760697063</v>
      </c>
      <c r="W35" s="60">
        <f t="shared" si="13"/>
        <v>574.098471124946</v>
      </c>
      <c r="X35" s="60">
        <f t="shared" si="14"/>
        <v>596.179181552828</v>
      </c>
      <c r="Y35" s="60">
        <f t="shared" si="15"/>
        <v>618.259891980711</v>
      </c>
      <c r="Z35" s="60">
        <f t="shared" si="16"/>
        <v>640.340602408593</v>
      </c>
    </row>
    <row r="36" spans="1:26">
      <c r="A36">
        <v>32</v>
      </c>
      <c r="B36" t="s">
        <v>59</v>
      </c>
      <c r="C36">
        <v>0</v>
      </c>
      <c r="D36">
        <v>1</v>
      </c>
      <c r="E36">
        <v>0</v>
      </c>
      <c r="F36">
        <v>0</v>
      </c>
      <c r="G36">
        <v>0</v>
      </c>
      <c r="L36" s="57"/>
      <c r="M36" s="59"/>
      <c r="N36" s="58"/>
      <c r="Q36" s="60">
        <v>373</v>
      </c>
      <c r="R36" s="60">
        <f t="shared" si="0"/>
        <v>391.65</v>
      </c>
      <c r="S36" s="60">
        <f t="shared" si="9"/>
        <v>410.3</v>
      </c>
      <c r="T36" s="60">
        <f t="shared" si="10"/>
        <v>428.95</v>
      </c>
      <c r="U36" s="60">
        <f t="shared" si="11"/>
        <v>447.6</v>
      </c>
      <c r="V36" s="60">
        <f t="shared" si="12"/>
        <v>466.25</v>
      </c>
      <c r="W36" s="60">
        <f t="shared" si="13"/>
        <v>484.9</v>
      </c>
      <c r="X36" s="60">
        <f t="shared" si="14"/>
        <v>503.55</v>
      </c>
      <c r="Y36" s="60">
        <f t="shared" si="15"/>
        <v>522.2</v>
      </c>
      <c r="Z36" s="60">
        <f t="shared" si="16"/>
        <v>540.85</v>
      </c>
    </row>
    <row r="37" spans="1:26">
      <c r="A37">
        <v>33</v>
      </c>
      <c r="B37" t="s">
        <v>60</v>
      </c>
      <c r="C37">
        <v>0</v>
      </c>
      <c r="D37">
        <v>1</v>
      </c>
      <c r="E37">
        <v>0</v>
      </c>
      <c r="F37">
        <v>85.473</v>
      </c>
      <c r="G37">
        <v>41.787</v>
      </c>
      <c r="L37" s="57"/>
      <c r="M37" s="59"/>
      <c r="N37" s="58"/>
      <c r="Q37" s="60">
        <v>201.640093902478</v>
      </c>
      <c r="R37" s="60">
        <f t="shared" si="0"/>
        <v>211.722098597602</v>
      </c>
      <c r="S37" s="60">
        <f t="shared" si="9"/>
        <v>221.804103292725</v>
      </c>
      <c r="T37" s="60">
        <f t="shared" si="10"/>
        <v>231.886107987849</v>
      </c>
      <c r="U37" s="60">
        <f t="shared" si="11"/>
        <v>241.968112682973</v>
      </c>
      <c r="V37" s="60">
        <f t="shared" si="12"/>
        <v>252.050117378097</v>
      </c>
      <c r="W37" s="60">
        <f t="shared" si="13"/>
        <v>262.132122073221</v>
      </c>
      <c r="X37" s="60">
        <f t="shared" si="14"/>
        <v>272.214126768345</v>
      </c>
      <c r="Y37" s="60">
        <f t="shared" si="15"/>
        <v>282.296131463469</v>
      </c>
      <c r="Z37" s="60">
        <f t="shared" si="16"/>
        <v>292.378136158593</v>
      </c>
    </row>
    <row r="38" spans="1:26">
      <c r="A38">
        <v>34</v>
      </c>
      <c r="B38" t="s">
        <v>61</v>
      </c>
      <c r="C38">
        <v>0</v>
      </c>
      <c r="D38">
        <v>1</v>
      </c>
      <c r="E38">
        <v>0</v>
      </c>
      <c r="F38">
        <v>0</v>
      </c>
      <c r="G38">
        <v>0</v>
      </c>
      <c r="L38" s="57"/>
      <c r="M38" s="59"/>
      <c r="N38" s="58"/>
      <c r="Q38" s="60">
        <v>269.559828238556</v>
      </c>
      <c r="R38" s="60">
        <f t="shared" si="0"/>
        <v>283.037819650484</v>
      </c>
      <c r="S38" s="60">
        <f t="shared" si="9"/>
        <v>296.515811062412</v>
      </c>
      <c r="T38" s="60">
        <f t="shared" si="10"/>
        <v>309.99380247434</v>
      </c>
      <c r="U38" s="60">
        <f t="shared" si="11"/>
        <v>323.471793886268</v>
      </c>
      <c r="V38" s="60">
        <f t="shared" si="12"/>
        <v>336.949785298195</v>
      </c>
      <c r="W38" s="60">
        <f t="shared" si="13"/>
        <v>350.427776710123</v>
      </c>
      <c r="X38" s="60">
        <f t="shared" si="14"/>
        <v>363.905768122051</v>
      </c>
      <c r="Y38" s="60">
        <f t="shared" si="15"/>
        <v>377.383759533979</v>
      </c>
      <c r="Z38" s="60">
        <f t="shared" si="16"/>
        <v>390.861750945907</v>
      </c>
    </row>
    <row r="39" spans="1:26">
      <c r="A39">
        <v>35</v>
      </c>
      <c r="B39" t="s">
        <v>62</v>
      </c>
      <c r="C39">
        <v>0</v>
      </c>
      <c r="D39">
        <v>1</v>
      </c>
      <c r="E39">
        <v>0</v>
      </c>
      <c r="F39">
        <v>396.74</v>
      </c>
      <c r="G39">
        <v>193.96</v>
      </c>
      <c r="L39" s="57"/>
      <c r="M39" s="59"/>
      <c r="N39" s="58"/>
      <c r="Q39" s="60">
        <v>83.834872797661</v>
      </c>
      <c r="R39" s="60">
        <f t="shared" si="0"/>
        <v>88.026616437544</v>
      </c>
      <c r="S39" s="60">
        <f t="shared" si="9"/>
        <v>92.2183600774271</v>
      </c>
      <c r="T39" s="60">
        <f t="shared" si="10"/>
        <v>96.4101037173101</v>
      </c>
      <c r="U39" s="60">
        <f t="shared" si="11"/>
        <v>100.601847357193</v>
      </c>
      <c r="V39" s="60">
        <f t="shared" si="12"/>
        <v>104.793590997076</v>
      </c>
      <c r="W39" s="60">
        <f t="shared" si="13"/>
        <v>108.985334636959</v>
      </c>
      <c r="X39" s="60">
        <f t="shared" si="14"/>
        <v>113.177078276842</v>
      </c>
      <c r="Y39" s="60">
        <f t="shared" si="15"/>
        <v>117.368821916725</v>
      </c>
      <c r="Z39" s="60">
        <f t="shared" si="16"/>
        <v>121.560565556608</v>
      </c>
    </row>
    <row r="40" spans="1:26">
      <c r="A40">
        <v>36</v>
      </c>
      <c r="B40" t="s">
        <v>63</v>
      </c>
      <c r="C40">
        <v>0</v>
      </c>
      <c r="D40">
        <v>1</v>
      </c>
      <c r="E40">
        <v>0</v>
      </c>
      <c r="F40">
        <v>0</v>
      </c>
      <c r="G40">
        <v>0</v>
      </c>
      <c r="L40" s="57"/>
      <c r="M40" s="59"/>
      <c r="N40" s="58"/>
      <c r="Q40" s="60">
        <v>143</v>
      </c>
      <c r="R40" s="60">
        <f t="shared" si="0"/>
        <v>150.15</v>
      </c>
      <c r="S40" s="60">
        <f t="shared" si="9"/>
        <v>157.3</v>
      </c>
      <c r="T40" s="60">
        <f t="shared" si="10"/>
        <v>164.45</v>
      </c>
      <c r="U40" s="60">
        <f t="shared" si="11"/>
        <v>171.6</v>
      </c>
      <c r="V40" s="60">
        <f t="shared" si="12"/>
        <v>178.75</v>
      </c>
      <c r="W40" s="60">
        <f t="shared" si="13"/>
        <v>185.9</v>
      </c>
      <c r="X40" s="60">
        <f t="shared" si="14"/>
        <v>193.05</v>
      </c>
      <c r="Y40" s="60">
        <f t="shared" si="15"/>
        <v>200.2</v>
      </c>
      <c r="Z40" s="60">
        <f t="shared" si="16"/>
        <v>207.35</v>
      </c>
    </row>
    <row r="41" spans="1:26">
      <c r="A41">
        <v>37</v>
      </c>
      <c r="B41" t="s">
        <v>64</v>
      </c>
      <c r="C41">
        <v>0</v>
      </c>
      <c r="D41">
        <v>1</v>
      </c>
      <c r="E41">
        <v>0</v>
      </c>
      <c r="F41">
        <v>181.15</v>
      </c>
      <c r="G41">
        <v>88.563</v>
      </c>
      <c r="L41" s="57"/>
      <c r="M41" s="59"/>
      <c r="N41" s="58"/>
      <c r="Q41" s="60">
        <v>1.36179183431243</v>
      </c>
      <c r="R41" s="60">
        <f t="shared" si="0"/>
        <v>1.42988142602805</v>
      </c>
      <c r="S41" s="60">
        <f t="shared" si="9"/>
        <v>1.49797101774367</v>
      </c>
      <c r="T41" s="60">
        <f t="shared" si="10"/>
        <v>1.56606060945929</v>
      </c>
      <c r="U41" s="60">
        <f t="shared" si="11"/>
        <v>1.63415020117491</v>
      </c>
      <c r="V41" s="60">
        <f t="shared" si="12"/>
        <v>1.70223979289053</v>
      </c>
      <c r="W41" s="60">
        <f t="shared" si="13"/>
        <v>1.77032938460615</v>
      </c>
      <c r="X41" s="60">
        <f t="shared" si="14"/>
        <v>1.83841897632177</v>
      </c>
      <c r="Y41" s="60">
        <f t="shared" si="15"/>
        <v>1.9065085680374</v>
      </c>
      <c r="Z41" s="60">
        <f t="shared" si="16"/>
        <v>1.97459815975302</v>
      </c>
    </row>
    <row r="42" spans="1:26">
      <c r="A42">
        <v>38</v>
      </c>
      <c r="B42" t="s">
        <v>65</v>
      </c>
      <c r="C42">
        <v>0</v>
      </c>
      <c r="D42">
        <v>1</v>
      </c>
      <c r="E42">
        <v>0</v>
      </c>
      <c r="F42">
        <v>242.17</v>
      </c>
      <c r="G42">
        <v>118.39</v>
      </c>
      <c r="L42" s="57"/>
      <c r="M42" s="59"/>
      <c r="N42" s="58"/>
      <c r="Q42" s="60">
        <v>6.8145928711846</v>
      </c>
      <c r="R42" s="60">
        <f t="shared" si="0"/>
        <v>7.15532251474383</v>
      </c>
      <c r="S42" s="60">
        <f t="shared" si="9"/>
        <v>7.49605215830306</v>
      </c>
      <c r="T42" s="60">
        <f t="shared" si="10"/>
        <v>7.83678180186229</v>
      </c>
      <c r="U42" s="60">
        <f t="shared" si="11"/>
        <v>8.17751144542152</v>
      </c>
      <c r="V42" s="60">
        <f t="shared" si="12"/>
        <v>8.51824108898075</v>
      </c>
      <c r="W42" s="60">
        <f t="shared" si="13"/>
        <v>8.85897073253998</v>
      </c>
      <c r="X42" s="60">
        <f t="shared" si="14"/>
        <v>9.19970037609921</v>
      </c>
      <c r="Y42" s="60">
        <f t="shared" si="15"/>
        <v>9.54043001965844</v>
      </c>
      <c r="Z42" s="60">
        <f t="shared" si="16"/>
        <v>9.88115966321767</v>
      </c>
    </row>
    <row r="43" spans="1:26">
      <c r="A43">
        <v>39</v>
      </c>
      <c r="B43" t="s">
        <v>66</v>
      </c>
      <c r="C43">
        <v>0</v>
      </c>
      <c r="D43">
        <v>1</v>
      </c>
      <c r="E43">
        <v>0</v>
      </c>
      <c r="F43">
        <v>75.316</v>
      </c>
      <c r="G43">
        <v>36.821</v>
      </c>
      <c r="L43" s="57"/>
      <c r="M43" s="59"/>
      <c r="N43" s="58"/>
      <c r="Q43" s="60">
        <v>171</v>
      </c>
      <c r="R43" s="60">
        <f t="shared" si="0"/>
        <v>179.55</v>
      </c>
      <c r="S43" s="60">
        <f t="shared" si="9"/>
        <v>188.1</v>
      </c>
      <c r="T43" s="60">
        <f t="shared" si="10"/>
        <v>196.65</v>
      </c>
      <c r="U43" s="60">
        <f t="shared" si="11"/>
        <v>205.2</v>
      </c>
      <c r="V43" s="60">
        <f t="shared" si="12"/>
        <v>213.75</v>
      </c>
      <c r="W43" s="60">
        <f t="shared" si="13"/>
        <v>222.3</v>
      </c>
      <c r="X43" s="60">
        <f t="shared" si="14"/>
        <v>230.85</v>
      </c>
      <c r="Y43" s="60">
        <f t="shared" si="15"/>
        <v>239.4</v>
      </c>
      <c r="Z43" s="60">
        <f t="shared" si="16"/>
        <v>247.95</v>
      </c>
    </row>
    <row r="44" spans="1:26">
      <c r="A44">
        <v>40</v>
      </c>
      <c r="B44" t="s">
        <v>67</v>
      </c>
      <c r="C44">
        <v>0</v>
      </c>
      <c r="D44">
        <v>1</v>
      </c>
      <c r="E44">
        <v>0</v>
      </c>
      <c r="F44">
        <v>0</v>
      </c>
      <c r="G44">
        <v>0</v>
      </c>
      <c r="L44" s="57"/>
      <c r="M44" s="59"/>
      <c r="N44" s="58"/>
      <c r="Q44" s="60">
        <v>128.034351800601</v>
      </c>
      <c r="R44" s="60">
        <f t="shared" si="0"/>
        <v>134.436069390631</v>
      </c>
      <c r="S44" s="60">
        <f t="shared" si="9"/>
        <v>140.837786980661</v>
      </c>
      <c r="T44" s="60">
        <f t="shared" si="10"/>
        <v>147.239504570691</v>
      </c>
      <c r="U44" s="60">
        <f t="shared" si="11"/>
        <v>153.641222160721</v>
      </c>
      <c r="V44" s="60">
        <f t="shared" si="12"/>
        <v>160.042939750751</v>
      </c>
      <c r="W44" s="60">
        <f t="shared" si="13"/>
        <v>166.444657340781</v>
      </c>
      <c r="X44" s="60">
        <f t="shared" si="14"/>
        <v>172.846374930811</v>
      </c>
      <c r="Y44" s="60">
        <f t="shared" si="15"/>
        <v>179.248092520841</v>
      </c>
      <c r="Z44" s="60">
        <f t="shared" si="16"/>
        <v>185.649810110871</v>
      </c>
    </row>
    <row r="45" spans="1:26">
      <c r="A45">
        <v>41</v>
      </c>
      <c r="B45" t="s">
        <v>68</v>
      </c>
      <c r="C45">
        <v>0</v>
      </c>
      <c r="D45">
        <v>1</v>
      </c>
      <c r="E45">
        <v>0</v>
      </c>
      <c r="F45">
        <v>1.254</v>
      </c>
      <c r="G45">
        <v>0.531</v>
      </c>
      <c r="L45" s="57"/>
      <c r="M45" s="59"/>
      <c r="N45" s="58"/>
      <c r="Q45" s="60">
        <v>67.6823358048464</v>
      </c>
      <c r="R45" s="60">
        <f t="shared" si="0"/>
        <v>71.0664525950888</v>
      </c>
      <c r="S45" s="60">
        <f t="shared" si="9"/>
        <v>74.4505693853311</v>
      </c>
      <c r="T45" s="60">
        <f t="shared" si="10"/>
        <v>77.8346861755734</v>
      </c>
      <c r="U45" s="60">
        <f t="shared" si="11"/>
        <v>81.2188029658157</v>
      </c>
      <c r="V45" s="60">
        <f t="shared" si="12"/>
        <v>84.6029197560581</v>
      </c>
      <c r="W45" s="60">
        <f t="shared" si="13"/>
        <v>87.9870365463004</v>
      </c>
      <c r="X45" s="60">
        <f t="shared" si="14"/>
        <v>91.3711533365427</v>
      </c>
      <c r="Y45" s="60">
        <f t="shared" si="15"/>
        <v>94.755270126785</v>
      </c>
      <c r="Z45" s="60">
        <f t="shared" si="16"/>
        <v>98.1393869170273</v>
      </c>
    </row>
    <row r="46" spans="1:26">
      <c r="A46">
        <v>42</v>
      </c>
      <c r="B46" t="s">
        <v>69</v>
      </c>
      <c r="C46">
        <v>0</v>
      </c>
      <c r="D46">
        <v>1</v>
      </c>
      <c r="E46">
        <v>0</v>
      </c>
      <c r="F46">
        <v>6.274</v>
      </c>
      <c r="G46">
        <v>2.66</v>
      </c>
      <c r="L46" s="57"/>
      <c r="M46" s="59"/>
      <c r="N46" s="58"/>
      <c r="Q46" s="60">
        <v>187.130460524202</v>
      </c>
      <c r="R46" s="60">
        <f t="shared" si="0"/>
        <v>196.486983550412</v>
      </c>
      <c r="S46" s="60">
        <f t="shared" si="9"/>
        <v>205.843506576622</v>
      </c>
      <c r="T46" s="60">
        <f t="shared" si="10"/>
        <v>215.200029602833</v>
      </c>
      <c r="U46" s="60">
        <f t="shared" si="11"/>
        <v>224.556552629043</v>
      </c>
      <c r="V46" s="60">
        <f t="shared" si="12"/>
        <v>233.913075655253</v>
      </c>
      <c r="W46" s="60">
        <f t="shared" si="13"/>
        <v>243.269598681463</v>
      </c>
      <c r="X46" s="60">
        <f t="shared" si="14"/>
        <v>252.626121707673</v>
      </c>
      <c r="Y46" s="60">
        <f t="shared" si="15"/>
        <v>261.982644733883</v>
      </c>
      <c r="Z46" s="60">
        <f t="shared" si="16"/>
        <v>271.339167760093</v>
      </c>
    </row>
    <row r="47" spans="1:26">
      <c r="A47">
        <v>43</v>
      </c>
      <c r="B47" t="s">
        <v>70</v>
      </c>
      <c r="C47">
        <v>0</v>
      </c>
      <c r="D47">
        <v>1</v>
      </c>
      <c r="E47">
        <v>0</v>
      </c>
      <c r="F47">
        <v>0</v>
      </c>
      <c r="G47">
        <v>0</v>
      </c>
      <c r="L47" s="57"/>
      <c r="M47" s="59"/>
      <c r="N47" s="58"/>
      <c r="Q47" s="60">
        <v>498.060985924415</v>
      </c>
      <c r="R47" s="60">
        <f t="shared" si="0"/>
        <v>522.964035220635</v>
      </c>
      <c r="S47" s="60">
        <f t="shared" si="9"/>
        <v>547.867084516856</v>
      </c>
      <c r="T47" s="60">
        <f t="shared" si="10"/>
        <v>572.770133813077</v>
      </c>
      <c r="U47" s="60">
        <f t="shared" si="11"/>
        <v>597.673183109298</v>
      </c>
      <c r="V47" s="60">
        <f t="shared" si="12"/>
        <v>622.576232405518</v>
      </c>
      <c r="W47" s="60">
        <f t="shared" si="13"/>
        <v>647.479281701739</v>
      </c>
      <c r="X47" s="60">
        <f t="shared" si="14"/>
        <v>672.38233099796</v>
      </c>
      <c r="Y47" s="60">
        <f t="shared" si="15"/>
        <v>697.285380294181</v>
      </c>
      <c r="Z47" s="60">
        <f t="shared" si="16"/>
        <v>722.188429590401</v>
      </c>
    </row>
    <row r="48" spans="1:26">
      <c r="A48">
        <v>44</v>
      </c>
      <c r="B48" t="s">
        <v>71</v>
      </c>
      <c r="C48">
        <v>0</v>
      </c>
      <c r="D48">
        <v>1</v>
      </c>
      <c r="E48">
        <v>0</v>
      </c>
      <c r="F48">
        <v>117.88</v>
      </c>
      <c r="G48">
        <v>49.971</v>
      </c>
      <c r="L48" s="57"/>
      <c r="M48" s="59"/>
      <c r="N48" s="58"/>
      <c r="Q48" s="60">
        <v>285.61078848671</v>
      </c>
      <c r="R48" s="60">
        <f t="shared" si="0"/>
        <v>299.891327911045</v>
      </c>
      <c r="S48" s="60">
        <f t="shared" si="9"/>
        <v>314.171867335381</v>
      </c>
      <c r="T48" s="60">
        <f t="shared" si="10"/>
        <v>328.452406759716</v>
      </c>
      <c r="U48" s="60">
        <f t="shared" si="11"/>
        <v>342.732946184052</v>
      </c>
      <c r="V48" s="60">
        <f t="shared" si="12"/>
        <v>357.013485608387</v>
      </c>
      <c r="W48" s="60">
        <f t="shared" si="13"/>
        <v>371.294025032723</v>
      </c>
      <c r="X48" s="60">
        <f t="shared" si="14"/>
        <v>385.574564457058</v>
      </c>
      <c r="Y48" s="60">
        <f t="shared" si="15"/>
        <v>399.855103881393</v>
      </c>
      <c r="Z48" s="60">
        <f t="shared" si="16"/>
        <v>414.135643305729</v>
      </c>
    </row>
    <row r="49" spans="1:26">
      <c r="A49">
        <v>45</v>
      </c>
      <c r="B49" t="s">
        <v>72</v>
      </c>
      <c r="C49">
        <v>0</v>
      </c>
      <c r="D49">
        <v>1</v>
      </c>
      <c r="E49">
        <v>0</v>
      </c>
      <c r="F49">
        <v>62.668</v>
      </c>
      <c r="G49">
        <v>25.566</v>
      </c>
      <c r="L49" s="57"/>
      <c r="M49" s="59"/>
      <c r="N49" s="58"/>
      <c r="Q49" s="60">
        <v>256.068703601202</v>
      </c>
      <c r="R49" s="60">
        <f t="shared" si="0"/>
        <v>268.872138781262</v>
      </c>
      <c r="S49" s="60">
        <f t="shared" si="9"/>
        <v>281.675573961322</v>
      </c>
      <c r="T49" s="60">
        <f t="shared" si="10"/>
        <v>294.479009141382</v>
      </c>
      <c r="U49" s="60">
        <f t="shared" si="11"/>
        <v>307.282444321442</v>
      </c>
      <c r="V49" s="60">
        <f t="shared" si="12"/>
        <v>320.085879501502</v>
      </c>
      <c r="W49" s="60">
        <f t="shared" si="13"/>
        <v>332.889314681562</v>
      </c>
      <c r="X49" s="60">
        <f t="shared" si="14"/>
        <v>345.692749861622</v>
      </c>
      <c r="Y49" s="60">
        <f t="shared" si="15"/>
        <v>358.496185041682</v>
      </c>
      <c r="Z49" s="60">
        <f t="shared" si="16"/>
        <v>371.299620221742</v>
      </c>
    </row>
    <row r="50" spans="1:26">
      <c r="A50">
        <v>46</v>
      </c>
      <c r="B50" t="s">
        <v>73</v>
      </c>
      <c r="C50">
        <v>0</v>
      </c>
      <c r="D50">
        <v>1</v>
      </c>
      <c r="E50">
        <v>0</v>
      </c>
      <c r="F50">
        <v>172.29</v>
      </c>
      <c r="G50">
        <v>73.034</v>
      </c>
      <c r="L50" s="57"/>
      <c r="M50" s="59"/>
      <c r="N50" s="58"/>
      <c r="Q50" s="60">
        <v>204</v>
      </c>
      <c r="R50" s="60">
        <f t="shared" si="0"/>
        <v>214.2</v>
      </c>
      <c r="S50" s="60">
        <f t="shared" si="9"/>
        <v>224.4</v>
      </c>
      <c r="T50" s="60">
        <f t="shared" si="10"/>
        <v>234.6</v>
      </c>
      <c r="U50" s="60">
        <f t="shared" si="11"/>
        <v>244.8</v>
      </c>
      <c r="V50" s="60">
        <f t="shared" si="12"/>
        <v>255</v>
      </c>
      <c r="W50" s="60">
        <f t="shared" si="13"/>
        <v>265.2</v>
      </c>
      <c r="X50" s="60">
        <f t="shared" si="14"/>
        <v>275.4</v>
      </c>
      <c r="Y50" s="60">
        <f t="shared" si="15"/>
        <v>285.6</v>
      </c>
      <c r="Z50" s="60">
        <f t="shared" si="16"/>
        <v>295.8</v>
      </c>
    </row>
    <row r="51" spans="1:26">
      <c r="A51">
        <v>47</v>
      </c>
      <c r="B51" t="s">
        <v>74</v>
      </c>
      <c r="C51">
        <v>0</v>
      </c>
      <c r="D51">
        <v>1</v>
      </c>
      <c r="E51">
        <v>0</v>
      </c>
      <c r="F51">
        <v>458.56</v>
      </c>
      <c r="G51">
        <v>194.39</v>
      </c>
      <c r="L51" s="57"/>
      <c r="M51" s="59"/>
      <c r="N51" s="58"/>
      <c r="Q51" s="60">
        <v>118.627624118499</v>
      </c>
      <c r="R51" s="60">
        <f t="shared" si="0"/>
        <v>124.559005324424</v>
      </c>
      <c r="S51" s="60">
        <f t="shared" si="9"/>
        <v>130.490386530349</v>
      </c>
      <c r="T51" s="60">
        <f t="shared" si="10"/>
        <v>136.421767736274</v>
      </c>
      <c r="U51" s="60">
        <f t="shared" si="11"/>
        <v>142.353148942199</v>
      </c>
      <c r="V51" s="60">
        <f t="shared" si="12"/>
        <v>148.284530148124</v>
      </c>
      <c r="W51" s="60">
        <f t="shared" si="13"/>
        <v>154.215911354049</v>
      </c>
      <c r="X51" s="60">
        <f t="shared" si="14"/>
        <v>160.147292559974</v>
      </c>
      <c r="Y51" s="60">
        <f t="shared" si="15"/>
        <v>166.078673765899</v>
      </c>
      <c r="Z51" s="60">
        <f t="shared" si="16"/>
        <v>172.010054971824</v>
      </c>
    </row>
    <row r="52" spans="1:26">
      <c r="A52">
        <v>48</v>
      </c>
      <c r="B52" t="s">
        <v>75</v>
      </c>
      <c r="C52">
        <v>0</v>
      </c>
      <c r="D52">
        <v>1</v>
      </c>
      <c r="E52">
        <v>0</v>
      </c>
      <c r="F52">
        <v>262.96</v>
      </c>
      <c r="G52">
        <v>111.47</v>
      </c>
      <c r="L52" s="57"/>
      <c r="M52" s="59"/>
      <c r="N52" s="58"/>
      <c r="Q52" s="60">
        <v>289</v>
      </c>
      <c r="R52" s="60">
        <f t="shared" si="0"/>
        <v>303.45</v>
      </c>
      <c r="S52" s="60">
        <f t="shared" si="9"/>
        <v>317.9</v>
      </c>
      <c r="T52" s="60">
        <f t="shared" si="10"/>
        <v>332.35</v>
      </c>
      <c r="U52" s="60">
        <f t="shared" si="11"/>
        <v>346.8</v>
      </c>
      <c r="V52" s="60">
        <f t="shared" si="12"/>
        <v>361.25</v>
      </c>
      <c r="W52" s="60">
        <f t="shared" si="13"/>
        <v>375.7</v>
      </c>
      <c r="X52" s="60">
        <f t="shared" si="14"/>
        <v>390.15</v>
      </c>
      <c r="Y52" s="60">
        <f t="shared" si="15"/>
        <v>404.6</v>
      </c>
      <c r="Z52" s="60">
        <f t="shared" si="16"/>
        <v>419.05</v>
      </c>
    </row>
    <row r="53" spans="1:26">
      <c r="A53">
        <v>49</v>
      </c>
      <c r="B53" t="s">
        <v>76</v>
      </c>
      <c r="C53">
        <v>0</v>
      </c>
      <c r="D53">
        <v>1</v>
      </c>
      <c r="E53">
        <v>0</v>
      </c>
      <c r="F53">
        <v>235.76</v>
      </c>
      <c r="G53">
        <v>99.942</v>
      </c>
      <c r="L53" s="57"/>
      <c r="M53" s="59"/>
      <c r="N53" s="58"/>
      <c r="Q53" s="60">
        <v>79.0809629809855</v>
      </c>
      <c r="R53" s="60">
        <f t="shared" si="0"/>
        <v>83.0350111300348</v>
      </c>
      <c r="S53" s="60">
        <f t="shared" si="9"/>
        <v>86.9890592790841</v>
      </c>
      <c r="T53" s="60">
        <f t="shared" si="10"/>
        <v>90.9431074281333</v>
      </c>
      <c r="U53" s="60">
        <f t="shared" si="11"/>
        <v>94.8971555771826</v>
      </c>
      <c r="V53" s="60">
        <f t="shared" si="12"/>
        <v>98.8512037262319</v>
      </c>
      <c r="W53" s="60">
        <f t="shared" si="13"/>
        <v>102.805251875281</v>
      </c>
      <c r="X53" s="60">
        <f t="shared" si="14"/>
        <v>106.75930002433</v>
      </c>
      <c r="Y53" s="60">
        <f t="shared" si="15"/>
        <v>110.71334817338</v>
      </c>
      <c r="Z53" s="60">
        <f t="shared" si="16"/>
        <v>114.667396322429</v>
      </c>
    </row>
    <row r="54" spans="1:26">
      <c r="A54">
        <v>50</v>
      </c>
      <c r="B54" t="s">
        <v>77</v>
      </c>
      <c r="C54">
        <v>0</v>
      </c>
      <c r="D54">
        <v>1</v>
      </c>
      <c r="E54">
        <v>0</v>
      </c>
      <c r="F54">
        <v>0</v>
      </c>
      <c r="G54">
        <v>0</v>
      </c>
      <c r="L54" s="57"/>
      <c r="M54" s="59"/>
      <c r="N54" s="58"/>
      <c r="Q54" s="60">
        <v>280.735330516129</v>
      </c>
      <c r="R54" s="60">
        <f t="shared" si="0"/>
        <v>294.772097041935</v>
      </c>
      <c r="S54" s="60">
        <f t="shared" si="9"/>
        <v>308.808863567742</v>
      </c>
      <c r="T54" s="60">
        <f t="shared" si="10"/>
        <v>322.845630093548</v>
      </c>
      <c r="U54" s="60">
        <f t="shared" si="11"/>
        <v>336.882396619354</v>
      </c>
      <c r="V54" s="60">
        <f t="shared" si="12"/>
        <v>350.919163145161</v>
      </c>
      <c r="W54" s="60">
        <f t="shared" si="13"/>
        <v>364.955929670967</v>
      </c>
      <c r="X54" s="60">
        <f t="shared" si="14"/>
        <v>378.992696196774</v>
      </c>
      <c r="Y54" s="60">
        <f t="shared" si="15"/>
        <v>393.02946272258</v>
      </c>
      <c r="Z54" s="60">
        <f t="shared" si="16"/>
        <v>407.066229248387</v>
      </c>
    </row>
    <row r="55" spans="1:26">
      <c r="A55">
        <v>51</v>
      </c>
      <c r="B55" t="s">
        <v>78</v>
      </c>
      <c r="C55">
        <v>0</v>
      </c>
      <c r="D55">
        <v>1</v>
      </c>
      <c r="E55">
        <v>0</v>
      </c>
      <c r="F55">
        <v>109.22</v>
      </c>
      <c r="G55">
        <v>46.298</v>
      </c>
      <c r="L55" s="57"/>
      <c r="M55" s="59"/>
      <c r="N55" s="58"/>
      <c r="Q55" s="60">
        <v>75.1274267162133</v>
      </c>
      <c r="R55" s="60">
        <f t="shared" si="0"/>
        <v>78.883798052024</v>
      </c>
      <c r="S55" s="60">
        <f t="shared" si="9"/>
        <v>82.6401693878346</v>
      </c>
      <c r="T55" s="60">
        <f t="shared" si="10"/>
        <v>86.3965407236453</v>
      </c>
      <c r="U55" s="60">
        <f t="shared" si="11"/>
        <v>90.1529120594559</v>
      </c>
      <c r="V55" s="60">
        <f t="shared" si="12"/>
        <v>93.9092833952666</v>
      </c>
      <c r="W55" s="60">
        <f t="shared" si="13"/>
        <v>97.6656547310773</v>
      </c>
      <c r="X55" s="60">
        <f t="shared" si="14"/>
        <v>101.422026066888</v>
      </c>
      <c r="Y55" s="60">
        <f t="shared" si="15"/>
        <v>105.178397402699</v>
      </c>
      <c r="Z55" s="60">
        <f t="shared" si="16"/>
        <v>108.934768738509</v>
      </c>
    </row>
    <row r="56" spans="1:26">
      <c r="A56">
        <v>52</v>
      </c>
      <c r="B56" t="s">
        <v>79</v>
      </c>
      <c r="C56">
        <v>0</v>
      </c>
      <c r="D56">
        <v>1</v>
      </c>
      <c r="E56">
        <v>0</v>
      </c>
      <c r="F56">
        <v>0</v>
      </c>
      <c r="G56">
        <v>0</v>
      </c>
      <c r="L56" s="57"/>
      <c r="M56" s="59"/>
      <c r="N56" s="58"/>
      <c r="Q56" s="60">
        <v>23.7247602516864</v>
      </c>
      <c r="R56" s="60">
        <f t="shared" si="0"/>
        <v>24.9109982642707</v>
      </c>
      <c r="S56" s="60">
        <f t="shared" si="9"/>
        <v>26.0972362768551</v>
      </c>
      <c r="T56" s="60">
        <f t="shared" si="10"/>
        <v>27.2834742894394</v>
      </c>
      <c r="U56" s="60">
        <f t="shared" si="11"/>
        <v>28.4697123020237</v>
      </c>
      <c r="V56" s="60">
        <f t="shared" si="12"/>
        <v>29.655950314608</v>
      </c>
      <c r="W56" s="60">
        <f t="shared" si="13"/>
        <v>30.8421883271923</v>
      </c>
      <c r="X56" s="60">
        <f t="shared" si="14"/>
        <v>32.0284263397767</v>
      </c>
      <c r="Y56" s="60">
        <f t="shared" si="15"/>
        <v>33.214664352361</v>
      </c>
      <c r="Z56" s="60">
        <f t="shared" si="16"/>
        <v>34.4009023649453</v>
      </c>
    </row>
    <row r="57" spans="1:26">
      <c r="A57">
        <v>53</v>
      </c>
      <c r="B57" t="s">
        <v>80</v>
      </c>
      <c r="C57">
        <v>0</v>
      </c>
      <c r="D57">
        <v>1</v>
      </c>
      <c r="E57">
        <v>0</v>
      </c>
      <c r="F57">
        <v>72.809</v>
      </c>
      <c r="G57">
        <v>30.865</v>
      </c>
      <c r="L57" s="57"/>
      <c r="M57" s="59"/>
      <c r="N57" s="58"/>
      <c r="Q57" s="60">
        <v>442</v>
      </c>
      <c r="R57" s="60">
        <f t="shared" si="0"/>
        <v>464.1</v>
      </c>
      <c r="S57" s="60">
        <f t="shared" si="9"/>
        <v>486.2</v>
      </c>
      <c r="T57" s="60">
        <f t="shared" si="10"/>
        <v>508.3</v>
      </c>
      <c r="U57" s="60">
        <f t="shared" si="11"/>
        <v>530.4</v>
      </c>
      <c r="V57" s="60">
        <f t="shared" si="12"/>
        <v>552.5</v>
      </c>
      <c r="W57" s="60">
        <f t="shared" si="13"/>
        <v>574.6</v>
      </c>
      <c r="X57" s="60">
        <f t="shared" si="14"/>
        <v>596.7</v>
      </c>
      <c r="Y57" s="60">
        <f t="shared" si="15"/>
        <v>618.8</v>
      </c>
      <c r="Z57" s="60">
        <f t="shared" si="16"/>
        <v>640.9</v>
      </c>
    </row>
    <row r="58" spans="1:26">
      <c r="A58">
        <v>54</v>
      </c>
      <c r="B58" t="s">
        <v>81</v>
      </c>
      <c r="C58">
        <v>0</v>
      </c>
      <c r="D58">
        <v>1</v>
      </c>
      <c r="E58">
        <v>0</v>
      </c>
      <c r="F58">
        <v>258.47</v>
      </c>
      <c r="G58">
        <v>109.57</v>
      </c>
      <c r="L58" s="57"/>
      <c r="M58" s="59"/>
      <c r="N58" s="58"/>
      <c r="Q58" s="60">
        <v>22.2953477882719</v>
      </c>
      <c r="R58" s="60">
        <f t="shared" si="0"/>
        <v>23.4101151776855</v>
      </c>
      <c r="S58" s="60">
        <f t="shared" si="9"/>
        <v>24.5248825670991</v>
      </c>
      <c r="T58" s="60">
        <f t="shared" si="10"/>
        <v>25.6396499565127</v>
      </c>
      <c r="U58" s="60">
        <f t="shared" si="11"/>
        <v>26.7544173459263</v>
      </c>
      <c r="V58" s="60">
        <f t="shared" si="12"/>
        <v>27.8691847353399</v>
      </c>
      <c r="W58" s="60">
        <f t="shared" si="13"/>
        <v>28.9839521247535</v>
      </c>
      <c r="X58" s="60">
        <f t="shared" si="14"/>
        <v>30.098719514167</v>
      </c>
      <c r="Y58" s="60">
        <f t="shared" si="15"/>
        <v>31.2134869035806</v>
      </c>
      <c r="Z58" s="60">
        <f t="shared" si="16"/>
        <v>32.3282542929942</v>
      </c>
    </row>
    <row r="59" spans="1:26">
      <c r="A59">
        <v>55</v>
      </c>
      <c r="B59" t="s">
        <v>82</v>
      </c>
      <c r="C59">
        <v>0</v>
      </c>
      <c r="D59">
        <v>1</v>
      </c>
      <c r="E59">
        <v>0</v>
      </c>
      <c r="F59">
        <v>69.169</v>
      </c>
      <c r="G59">
        <v>29.322</v>
      </c>
      <c r="L59" s="57"/>
      <c r="M59" s="59"/>
      <c r="N59" s="58"/>
      <c r="Q59" s="60">
        <v>163.518094598121</v>
      </c>
      <c r="R59" s="60">
        <f t="shared" si="0"/>
        <v>171.693999328027</v>
      </c>
      <c r="S59" s="60">
        <f t="shared" si="9"/>
        <v>179.869904057933</v>
      </c>
      <c r="T59" s="60">
        <f t="shared" si="10"/>
        <v>188.045808787839</v>
      </c>
      <c r="U59" s="60">
        <f t="shared" si="11"/>
        <v>196.221713517745</v>
      </c>
      <c r="V59" s="60">
        <f t="shared" si="12"/>
        <v>204.397618247651</v>
      </c>
      <c r="W59" s="60">
        <f t="shared" si="13"/>
        <v>212.573522977557</v>
      </c>
      <c r="X59" s="60">
        <f t="shared" si="14"/>
        <v>220.749427707463</v>
      </c>
      <c r="Y59" s="60">
        <f t="shared" si="15"/>
        <v>228.925332437369</v>
      </c>
      <c r="Z59" s="60">
        <f t="shared" si="16"/>
        <v>237.101237167275</v>
      </c>
    </row>
    <row r="60" spans="1:26">
      <c r="A60">
        <v>56</v>
      </c>
      <c r="B60" t="s">
        <v>83</v>
      </c>
      <c r="C60">
        <v>0</v>
      </c>
      <c r="D60">
        <v>1</v>
      </c>
      <c r="E60">
        <v>0</v>
      </c>
      <c r="F60">
        <v>21.843</v>
      </c>
      <c r="G60">
        <v>9.26</v>
      </c>
      <c r="L60" s="57"/>
      <c r="M60" s="59"/>
      <c r="N60" s="58"/>
      <c r="Q60" s="60">
        <v>239.699922411335</v>
      </c>
      <c r="R60" s="60">
        <f t="shared" si="0"/>
        <v>251.684918531902</v>
      </c>
      <c r="S60" s="60">
        <f t="shared" si="9"/>
        <v>263.669914652468</v>
      </c>
      <c r="T60" s="60">
        <f t="shared" si="10"/>
        <v>275.654910773035</v>
      </c>
      <c r="U60" s="60">
        <f t="shared" si="11"/>
        <v>287.639906893602</v>
      </c>
      <c r="V60" s="60">
        <f t="shared" si="12"/>
        <v>299.624903014169</v>
      </c>
      <c r="W60" s="60">
        <f t="shared" si="13"/>
        <v>311.609899134735</v>
      </c>
      <c r="X60" s="60">
        <f t="shared" si="14"/>
        <v>323.594895255302</v>
      </c>
      <c r="Y60" s="60">
        <f t="shared" si="15"/>
        <v>335.579891375869</v>
      </c>
      <c r="Z60" s="60">
        <f t="shared" si="16"/>
        <v>347.564887496436</v>
      </c>
    </row>
    <row r="61" spans="1:26">
      <c r="A61">
        <v>57</v>
      </c>
      <c r="B61" t="s">
        <v>84</v>
      </c>
      <c r="C61">
        <v>0</v>
      </c>
      <c r="D61">
        <v>1</v>
      </c>
      <c r="E61">
        <v>0</v>
      </c>
      <c r="F61">
        <v>0</v>
      </c>
      <c r="G61">
        <v>0</v>
      </c>
      <c r="L61" s="57"/>
      <c r="M61" s="59"/>
      <c r="N61" s="58"/>
      <c r="Q61" s="60">
        <v>100.342134843743</v>
      </c>
      <c r="R61" s="60">
        <f t="shared" si="0"/>
        <v>105.359241585931</v>
      </c>
      <c r="S61" s="60">
        <f t="shared" si="9"/>
        <v>110.376348328118</v>
      </c>
      <c r="T61" s="60">
        <f t="shared" si="10"/>
        <v>115.393455070305</v>
      </c>
      <c r="U61" s="60">
        <f t="shared" si="11"/>
        <v>120.410561812492</v>
      </c>
      <c r="V61" s="60">
        <f t="shared" si="12"/>
        <v>125.427668554679</v>
      </c>
      <c r="W61" s="60">
        <f t="shared" si="13"/>
        <v>130.444775296867</v>
      </c>
      <c r="X61" s="60">
        <f t="shared" si="14"/>
        <v>135.461882039054</v>
      </c>
      <c r="Y61" s="60">
        <f t="shared" si="15"/>
        <v>140.478988781241</v>
      </c>
      <c r="Z61" s="60">
        <f t="shared" si="16"/>
        <v>145.496095523428</v>
      </c>
    </row>
    <row r="62" spans="1:26">
      <c r="A62">
        <v>58</v>
      </c>
      <c r="B62" t="s">
        <v>85</v>
      </c>
      <c r="C62">
        <v>0</v>
      </c>
      <c r="D62">
        <v>1</v>
      </c>
      <c r="E62">
        <v>0</v>
      </c>
      <c r="F62">
        <v>20.527</v>
      </c>
      <c r="G62">
        <v>8.702</v>
      </c>
      <c r="L62" s="57"/>
      <c r="M62" s="59"/>
      <c r="N62" s="58"/>
      <c r="Q62" s="60">
        <v>425</v>
      </c>
      <c r="R62" s="60">
        <f t="shared" si="0"/>
        <v>446.25</v>
      </c>
      <c r="S62" s="60">
        <f t="shared" si="9"/>
        <v>467.5</v>
      </c>
      <c r="T62" s="60">
        <f t="shared" si="10"/>
        <v>488.75</v>
      </c>
      <c r="U62" s="60">
        <f t="shared" si="11"/>
        <v>510</v>
      </c>
      <c r="V62" s="60">
        <f t="shared" si="12"/>
        <v>531.25</v>
      </c>
      <c r="W62" s="60">
        <f t="shared" si="13"/>
        <v>552.5</v>
      </c>
      <c r="X62" s="60">
        <f t="shared" si="14"/>
        <v>573.75</v>
      </c>
      <c r="Y62" s="60">
        <f t="shared" si="15"/>
        <v>595</v>
      </c>
      <c r="Z62" s="60">
        <f t="shared" si="16"/>
        <v>616.25</v>
      </c>
    </row>
    <row r="63" spans="1:26">
      <c r="A63">
        <v>59</v>
      </c>
      <c r="B63" t="s">
        <v>86</v>
      </c>
      <c r="C63">
        <v>0</v>
      </c>
      <c r="D63">
        <v>1</v>
      </c>
      <c r="E63">
        <v>0</v>
      </c>
      <c r="F63">
        <v>150.55</v>
      </c>
      <c r="G63">
        <v>63.819</v>
      </c>
      <c r="L63" s="57"/>
      <c r="M63" s="59"/>
      <c r="N63" s="58"/>
      <c r="Q63" s="60">
        <v>246.217752617475</v>
      </c>
      <c r="R63" s="60">
        <f t="shared" si="0"/>
        <v>258.528640248348</v>
      </c>
      <c r="S63" s="60">
        <f t="shared" si="9"/>
        <v>270.839527879222</v>
      </c>
      <c r="T63" s="60">
        <f t="shared" si="10"/>
        <v>283.150415510096</v>
      </c>
      <c r="U63" s="60">
        <f t="shared" si="11"/>
        <v>295.46130314097</v>
      </c>
      <c r="V63" s="60">
        <f t="shared" si="12"/>
        <v>307.772190771843</v>
      </c>
      <c r="W63" s="60">
        <f t="shared" si="13"/>
        <v>320.083078402717</v>
      </c>
      <c r="X63" s="60">
        <f t="shared" si="14"/>
        <v>332.393966033591</v>
      </c>
      <c r="Y63" s="60">
        <f t="shared" si="15"/>
        <v>344.704853664465</v>
      </c>
      <c r="Z63" s="60">
        <f t="shared" si="16"/>
        <v>357.015741295338</v>
      </c>
    </row>
    <row r="64" spans="1:26">
      <c r="A64">
        <v>60</v>
      </c>
      <c r="B64" t="s">
        <v>87</v>
      </c>
      <c r="C64">
        <v>0</v>
      </c>
      <c r="D64">
        <v>1</v>
      </c>
      <c r="E64">
        <v>0</v>
      </c>
      <c r="F64">
        <v>220.69</v>
      </c>
      <c r="G64">
        <v>93.552</v>
      </c>
      <c r="L64" s="57"/>
      <c r="M64" s="59"/>
      <c r="N64" s="58"/>
      <c r="Q64" s="60">
        <v>365</v>
      </c>
      <c r="R64" s="60">
        <f t="shared" si="0"/>
        <v>383.25</v>
      </c>
      <c r="S64" s="60">
        <f t="shared" si="9"/>
        <v>401.5</v>
      </c>
      <c r="T64" s="60">
        <f t="shared" si="10"/>
        <v>419.75</v>
      </c>
      <c r="U64" s="60">
        <f t="shared" si="11"/>
        <v>438</v>
      </c>
      <c r="V64" s="60">
        <f t="shared" si="12"/>
        <v>456.25</v>
      </c>
      <c r="W64" s="60">
        <f t="shared" si="13"/>
        <v>474.5</v>
      </c>
      <c r="X64" s="60">
        <f t="shared" si="14"/>
        <v>492.75</v>
      </c>
      <c r="Y64" s="60">
        <f t="shared" si="15"/>
        <v>511</v>
      </c>
      <c r="Z64" s="60">
        <f t="shared" si="16"/>
        <v>529.25</v>
      </c>
    </row>
    <row r="65" spans="1:26">
      <c r="A65">
        <v>61</v>
      </c>
      <c r="B65" t="s">
        <v>88</v>
      </c>
      <c r="C65">
        <v>0</v>
      </c>
      <c r="D65">
        <v>1</v>
      </c>
      <c r="E65">
        <v>0</v>
      </c>
      <c r="F65">
        <v>92.384</v>
      </c>
      <c r="G65">
        <v>39.163</v>
      </c>
      <c r="L65" s="57"/>
      <c r="M65" s="59"/>
      <c r="N65" s="58"/>
      <c r="Q65" s="60">
        <v>316.432838529758</v>
      </c>
      <c r="R65" s="60">
        <f t="shared" si="0"/>
        <v>332.254480456246</v>
      </c>
      <c r="S65" s="60">
        <f t="shared" si="9"/>
        <v>348.076122382734</v>
      </c>
      <c r="T65" s="60">
        <f t="shared" si="10"/>
        <v>363.897764309222</v>
      </c>
      <c r="U65" s="60">
        <f t="shared" si="11"/>
        <v>379.71940623571</v>
      </c>
      <c r="V65" s="60">
        <f t="shared" si="12"/>
        <v>395.541048162198</v>
      </c>
      <c r="W65" s="60">
        <f t="shared" si="13"/>
        <v>411.362690088686</v>
      </c>
      <c r="X65" s="60">
        <f t="shared" si="14"/>
        <v>427.184332015173</v>
      </c>
      <c r="Y65" s="60">
        <f t="shared" si="15"/>
        <v>443.005973941661</v>
      </c>
      <c r="Z65" s="60">
        <f t="shared" si="16"/>
        <v>458.827615868149</v>
      </c>
    </row>
    <row r="66" spans="1:26">
      <c r="A66">
        <v>62</v>
      </c>
      <c r="B66" t="s">
        <v>89</v>
      </c>
      <c r="C66">
        <v>0</v>
      </c>
      <c r="D66">
        <v>1</v>
      </c>
      <c r="E66">
        <v>0</v>
      </c>
      <c r="F66">
        <v>0</v>
      </c>
      <c r="G66">
        <v>0</v>
      </c>
      <c r="L66" s="57"/>
      <c r="M66" s="59"/>
      <c r="N66" s="58"/>
      <c r="Q66" s="60">
        <v>89.3439366101584</v>
      </c>
      <c r="R66" s="60">
        <f t="shared" si="0"/>
        <v>93.8111334406663</v>
      </c>
      <c r="S66" s="60">
        <f t="shared" si="9"/>
        <v>98.2783302711742</v>
      </c>
      <c r="T66" s="60">
        <f t="shared" si="10"/>
        <v>102.745527101682</v>
      </c>
      <c r="U66" s="60">
        <f t="shared" si="11"/>
        <v>107.21272393219</v>
      </c>
      <c r="V66" s="60">
        <f t="shared" si="12"/>
        <v>111.679920762698</v>
      </c>
      <c r="W66" s="60">
        <f t="shared" si="13"/>
        <v>116.147117593206</v>
      </c>
      <c r="X66" s="60">
        <f t="shared" si="14"/>
        <v>120.614314423714</v>
      </c>
      <c r="Y66" s="60">
        <f t="shared" si="15"/>
        <v>125.081511254222</v>
      </c>
      <c r="Z66" s="60">
        <f t="shared" si="16"/>
        <v>129.54870808473</v>
      </c>
    </row>
    <row r="67" spans="1:26">
      <c r="A67">
        <v>63</v>
      </c>
      <c r="B67" t="s">
        <v>90</v>
      </c>
      <c r="C67">
        <v>0</v>
      </c>
      <c r="D67">
        <v>1</v>
      </c>
      <c r="E67">
        <v>0</v>
      </c>
      <c r="F67">
        <v>226.69</v>
      </c>
      <c r="G67">
        <v>96.098</v>
      </c>
      <c r="L67" s="57"/>
      <c r="M67" s="59"/>
      <c r="N67" s="58"/>
      <c r="Q67" s="60">
        <v>89.3439366101584</v>
      </c>
      <c r="R67" s="60">
        <f t="shared" ref="R67:R104" si="17">Q67*1.05</f>
        <v>93.8111334406663</v>
      </c>
      <c r="S67" s="60">
        <f t="shared" si="9"/>
        <v>98.2783302711742</v>
      </c>
      <c r="T67" s="60">
        <f t="shared" si="10"/>
        <v>102.745527101682</v>
      </c>
      <c r="U67" s="60">
        <f t="shared" si="11"/>
        <v>107.21272393219</v>
      </c>
      <c r="V67" s="60">
        <f t="shared" si="12"/>
        <v>111.679920762698</v>
      </c>
      <c r="W67" s="60">
        <f t="shared" si="13"/>
        <v>116.147117593206</v>
      </c>
      <c r="X67" s="60">
        <f t="shared" si="14"/>
        <v>120.614314423714</v>
      </c>
      <c r="Y67" s="60">
        <f t="shared" si="15"/>
        <v>125.081511254222</v>
      </c>
      <c r="Z67" s="60">
        <f t="shared" si="16"/>
        <v>129.54870808473</v>
      </c>
    </row>
    <row r="68" spans="1:26">
      <c r="A68">
        <v>64</v>
      </c>
      <c r="B68" t="s">
        <v>91</v>
      </c>
      <c r="C68">
        <v>0</v>
      </c>
      <c r="D68">
        <v>1</v>
      </c>
      <c r="E68">
        <v>0</v>
      </c>
      <c r="F68">
        <v>0</v>
      </c>
      <c r="G68">
        <v>0</v>
      </c>
      <c r="L68" s="57"/>
      <c r="M68" s="59"/>
      <c r="N68" s="58"/>
      <c r="Q68" s="60">
        <v>111.681082216282</v>
      </c>
      <c r="R68" s="60">
        <f t="shared" si="17"/>
        <v>117.265136327096</v>
      </c>
      <c r="S68" s="60">
        <f t="shared" si="9"/>
        <v>122.84919043791</v>
      </c>
      <c r="T68" s="60">
        <f t="shared" si="10"/>
        <v>128.433244548725</v>
      </c>
      <c r="U68" s="60">
        <f t="shared" si="11"/>
        <v>134.017298659539</v>
      </c>
      <c r="V68" s="60">
        <f t="shared" si="12"/>
        <v>139.601352770353</v>
      </c>
      <c r="W68" s="60">
        <f t="shared" si="13"/>
        <v>145.185406881167</v>
      </c>
      <c r="X68" s="60">
        <f t="shared" si="14"/>
        <v>150.769460991981</v>
      </c>
      <c r="Y68" s="60">
        <f t="shared" si="15"/>
        <v>156.353515102795</v>
      </c>
      <c r="Z68" s="60">
        <f t="shared" si="16"/>
        <v>161.937569213609</v>
      </c>
    </row>
    <row r="69" spans="1:26">
      <c r="A69">
        <v>65</v>
      </c>
      <c r="B69" t="s">
        <v>92</v>
      </c>
      <c r="C69">
        <v>0</v>
      </c>
      <c r="D69">
        <v>1</v>
      </c>
      <c r="E69">
        <v>0</v>
      </c>
      <c r="F69">
        <v>294.02</v>
      </c>
      <c r="G69">
        <v>116.97</v>
      </c>
      <c r="L69" s="57"/>
      <c r="M69" s="59"/>
      <c r="N69" s="58"/>
      <c r="Q69" s="60">
        <v>189.858584098797</v>
      </c>
      <c r="R69" s="60">
        <f t="shared" si="17"/>
        <v>199.351513303737</v>
      </c>
      <c r="S69" s="60">
        <f t="shared" si="9"/>
        <v>208.844442508677</v>
      </c>
      <c r="T69" s="60">
        <f t="shared" si="10"/>
        <v>218.337371713617</v>
      </c>
      <c r="U69" s="60">
        <f t="shared" si="11"/>
        <v>227.830300918557</v>
      </c>
      <c r="V69" s="60">
        <f t="shared" si="12"/>
        <v>237.323230123496</v>
      </c>
      <c r="W69" s="60">
        <f t="shared" si="13"/>
        <v>246.816159328436</v>
      </c>
      <c r="X69" s="60">
        <f t="shared" si="14"/>
        <v>256.309088533376</v>
      </c>
      <c r="Y69" s="60">
        <f t="shared" si="15"/>
        <v>265.802017738316</v>
      </c>
      <c r="Z69" s="60">
        <f t="shared" si="16"/>
        <v>275.294946943256</v>
      </c>
    </row>
    <row r="70" spans="1:26">
      <c r="A70">
        <v>66</v>
      </c>
      <c r="B70" t="s">
        <v>93</v>
      </c>
      <c r="C70">
        <v>0</v>
      </c>
      <c r="D70">
        <v>1</v>
      </c>
      <c r="E70">
        <v>0</v>
      </c>
      <c r="F70">
        <v>83.015</v>
      </c>
      <c r="G70">
        <v>33.028</v>
      </c>
      <c r="L70" s="57"/>
      <c r="M70" s="59"/>
      <c r="N70" s="58"/>
      <c r="Q70" s="60">
        <v>89.3439366101584</v>
      </c>
      <c r="R70" s="60">
        <f t="shared" si="17"/>
        <v>93.8111334406663</v>
      </c>
      <c r="S70" s="60">
        <f t="shared" si="9"/>
        <v>98.2783302711742</v>
      </c>
      <c r="T70" s="60">
        <f t="shared" si="10"/>
        <v>102.745527101682</v>
      </c>
      <c r="U70" s="60">
        <f t="shared" si="11"/>
        <v>107.21272393219</v>
      </c>
      <c r="V70" s="60">
        <f t="shared" si="12"/>
        <v>111.679920762698</v>
      </c>
      <c r="W70" s="60">
        <f t="shared" si="13"/>
        <v>116.147117593206</v>
      </c>
      <c r="X70" s="60">
        <f t="shared" si="14"/>
        <v>120.614314423714</v>
      </c>
      <c r="Y70" s="60">
        <f t="shared" si="15"/>
        <v>125.081511254222</v>
      </c>
      <c r="Z70" s="60">
        <f t="shared" si="16"/>
        <v>129.54870808473</v>
      </c>
    </row>
    <row r="71" spans="1:26">
      <c r="A71">
        <v>67</v>
      </c>
      <c r="B71" t="s">
        <v>94</v>
      </c>
      <c r="C71">
        <v>0</v>
      </c>
      <c r="D71">
        <v>1</v>
      </c>
      <c r="E71">
        <v>0</v>
      </c>
      <c r="F71">
        <v>83.015</v>
      </c>
      <c r="G71">
        <v>33.028</v>
      </c>
      <c r="L71" s="57"/>
      <c r="M71" s="59"/>
      <c r="N71" s="58"/>
      <c r="Q71" s="60">
        <v>234.53287531602</v>
      </c>
      <c r="R71" s="60">
        <f t="shared" si="17"/>
        <v>246.259519081822</v>
      </c>
      <c r="S71" s="60">
        <f t="shared" si="9"/>
        <v>257.986162847623</v>
      </c>
      <c r="T71" s="60">
        <f t="shared" si="10"/>
        <v>269.712806613424</v>
      </c>
      <c r="U71" s="60">
        <f t="shared" si="11"/>
        <v>281.439450379225</v>
      </c>
      <c r="V71" s="60">
        <f t="shared" si="12"/>
        <v>293.166094145026</v>
      </c>
      <c r="W71" s="60">
        <f t="shared" si="13"/>
        <v>304.892737910827</v>
      </c>
      <c r="X71" s="60">
        <f t="shared" si="14"/>
        <v>316.619381676628</v>
      </c>
      <c r="Y71" s="60">
        <f t="shared" si="15"/>
        <v>328.346025442429</v>
      </c>
      <c r="Z71" s="60">
        <f t="shared" si="16"/>
        <v>340.07266920823</v>
      </c>
    </row>
    <row r="72" spans="1:26">
      <c r="A72">
        <v>68</v>
      </c>
      <c r="B72" t="s">
        <v>95</v>
      </c>
      <c r="C72">
        <v>0</v>
      </c>
      <c r="D72">
        <v>1</v>
      </c>
      <c r="E72">
        <v>0</v>
      </c>
      <c r="F72">
        <v>103.77</v>
      </c>
      <c r="G72">
        <v>41.285</v>
      </c>
      <c r="L72" s="57"/>
      <c r="M72" s="59"/>
      <c r="N72" s="58"/>
      <c r="Q72" s="60">
        <v>25.0696574567743</v>
      </c>
      <c r="R72" s="60">
        <f t="shared" si="17"/>
        <v>26.323140329613</v>
      </c>
      <c r="S72" s="60">
        <f t="shared" si="9"/>
        <v>27.5766232024517</v>
      </c>
      <c r="T72" s="60">
        <f t="shared" si="10"/>
        <v>28.8301060752905</v>
      </c>
      <c r="U72" s="60">
        <f t="shared" si="11"/>
        <v>30.0835889481292</v>
      </c>
      <c r="V72" s="60">
        <f t="shared" si="12"/>
        <v>31.3370718209679</v>
      </c>
      <c r="W72" s="60">
        <f t="shared" si="13"/>
        <v>32.5905546938066</v>
      </c>
      <c r="X72" s="60">
        <f t="shared" si="14"/>
        <v>33.8440375666453</v>
      </c>
      <c r="Y72" s="60">
        <f t="shared" si="15"/>
        <v>35.097520439484</v>
      </c>
      <c r="Z72" s="60">
        <f t="shared" si="16"/>
        <v>36.3510033123228</v>
      </c>
    </row>
    <row r="73" spans="1:26">
      <c r="A73">
        <v>69</v>
      </c>
      <c r="B73" t="s">
        <v>96</v>
      </c>
      <c r="C73">
        <v>0</v>
      </c>
      <c r="D73">
        <v>1</v>
      </c>
      <c r="E73">
        <v>0</v>
      </c>
      <c r="F73">
        <v>176.41</v>
      </c>
      <c r="G73">
        <v>70.184</v>
      </c>
      <c r="L73" s="57"/>
      <c r="M73" s="59"/>
      <c r="N73" s="58"/>
      <c r="Q73" s="60">
        <v>5.46186653077499</v>
      </c>
      <c r="R73" s="60">
        <f t="shared" si="17"/>
        <v>5.73495985731374</v>
      </c>
      <c r="S73" s="60">
        <f t="shared" si="9"/>
        <v>6.00805318385249</v>
      </c>
      <c r="T73" s="60">
        <f t="shared" si="10"/>
        <v>6.28114651039124</v>
      </c>
      <c r="U73" s="60">
        <f t="shared" si="11"/>
        <v>6.55423983692999</v>
      </c>
      <c r="V73" s="60">
        <f t="shared" si="12"/>
        <v>6.82733316346873</v>
      </c>
      <c r="W73" s="60">
        <f t="shared" si="13"/>
        <v>7.10042649000748</v>
      </c>
      <c r="X73" s="60">
        <f t="shared" si="14"/>
        <v>7.37351981654623</v>
      </c>
      <c r="Y73" s="60">
        <f t="shared" si="15"/>
        <v>7.64661314308498</v>
      </c>
      <c r="Z73" s="60">
        <f t="shared" si="16"/>
        <v>7.91970646962373</v>
      </c>
    </row>
    <row r="74" spans="1:26">
      <c r="A74">
        <v>70</v>
      </c>
      <c r="B74" t="s">
        <v>97</v>
      </c>
      <c r="C74">
        <v>0</v>
      </c>
      <c r="D74">
        <v>1</v>
      </c>
      <c r="E74">
        <v>0</v>
      </c>
      <c r="F74">
        <v>83.015</v>
      </c>
      <c r="G74">
        <v>33.028</v>
      </c>
      <c r="L74" s="57"/>
      <c r="M74" s="59"/>
      <c r="N74" s="58"/>
      <c r="Q74" s="60">
        <v>78.1756435534752</v>
      </c>
      <c r="R74" s="60">
        <f t="shared" si="17"/>
        <v>82.0844257311489</v>
      </c>
      <c r="S74" s="60">
        <f t="shared" si="9"/>
        <v>85.9932079088227</v>
      </c>
      <c r="T74" s="60">
        <f t="shared" si="10"/>
        <v>89.9019900864964</v>
      </c>
      <c r="U74" s="60">
        <f t="shared" si="11"/>
        <v>93.8107722641702</v>
      </c>
      <c r="V74" s="60">
        <f t="shared" si="12"/>
        <v>97.7195544418439</v>
      </c>
      <c r="W74" s="60">
        <f t="shared" si="13"/>
        <v>101.628336619518</v>
      </c>
      <c r="X74" s="60">
        <f t="shared" si="14"/>
        <v>105.537118797191</v>
      </c>
      <c r="Y74" s="60">
        <f t="shared" si="15"/>
        <v>109.445900974865</v>
      </c>
      <c r="Z74" s="60">
        <f t="shared" si="16"/>
        <v>113.354683152539</v>
      </c>
    </row>
    <row r="75" spans="1:26">
      <c r="A75">
        <v>71</v>
      </c>
      <c r="B75" t="s">
        <v>98</v>
      </c>
      <c r="C75">
        <v>0</v>
      </c>
      <c r="D75">
        <v>1</v>
      </c>
      <c r="E75">
        <v>0</v>
      </c>
      <c r="F75">
        <v>217.92</v>
      </c>
      <c r="G75">
        <v>86.698</v>
      </c>
      <c r="L75" s="57"/>
      <c r="M75" s="59"/>
      <c r="N75" s="58"/>
      <c r="Q75" s="60">
        <v>436.940030782257</v>
      </c>
      <c r="R75" s="60">
        <f t="shared" si="17"/>
        <v>458.78703232137</v>
      </c>
      <c r="S75" s="60">
        <f t="shared" si="9"/>
        <v>480.634033860483</v>
      </c>
      <c r="T75" s="60">
        <f t="shared" si="10"/>
        <v>502.481035399596</v>
      </c>
      <c r="U75" s="60">
        <f t="shared" si="11"/>
        <v>524.328036938709</v>
      </c>
      <c r="V75" s="60">
        <f t="shared" si="12"/>
        <v>546.175038477822</v>
      </c>
      <c r="W75" s="60">
        <f t="shared" si="13"/>
        <v>568.022040016935</v>
      </c>
      <c r="X75" s="60">
        <f t="shared" si="14"/>
        <v>589.869041556047</v>
      </c>
      <c r="Y75" s="60">
        <f t="shared" si="15"/>
        <v>611.71604309516</v>
      </c>
      <c r="Z75" s="60">
        <f t="shared" si="16"/>
        <v>633.563044634273</v>
      </c>
    </row>
    <row r="76" spans="1:26">
      <c r="A76">
        <v>72</v>
      </c>
      <c r="B76" t="s">
        <v>99</v>
      </c>
      <c r="C76">
        <v>0</v>
      </c>
      <c r="D76">
        <v>1</v>
      </c>
      <c r="E76">
        <v>0</v>
      </c>
      <c r="F76">
        <v>23.294</v>
      </c>
      <c r="G76">
        <v>9.267</v>
      </c>
      <c r="L76" s="57"/>
      <c r="M76" s="59"/>
      <c r="N76" s="58"/>
      <c r="Q76" s="60">
        <v>185</v>
      </c>
      <c r="R76" s="60">
        <f t="shared" si="17"/>
        <v>194.25</v>
      </c>
      <c r="S76" s="60">
        <f t="shared" si="9"/>
        <v>203.5</v>
      </c>
      <c r="T76" s="60">
        <f t="shared" si="10"/>
        <v>212.75</v>
      </c>
      <c r="U76" s="60">
        <f t="shared" si="11"/>
        <v>222</v>
      </c>
      <c r="V76" s="60">
        <f t="shared" si="12"/>
        <v>231.25</v>
      </c>
      <c r="W76" s="60">
        <f t="shared" si="13"/>
        <v>240.5</v>
      </c>
      <c r="X76" s="60">
        <f t="shared" si="14"/>
        <v>249.75</v>
      </c>
      <c r="Y76" s="60">
        <f t="shared" si="15"/>
        <v>259</v>
      </c>
      <c r="Z76" s="60">
        <f t="shared" si="16"/>
        <v>268.25</v>
      </c>
    </row>
    <row r="77" spans="1:26">
      <c r="A77">
        <v>73</v>
      </c>
      <c r="B77" t="s">
        <v>100</v>
      </c>
      <c r="C77">
        <v>0</v>
      </c>
      <c r="D77">
        <v>1</v>
      </c>
      <c r="E77">
        <v>0</v>
      </c>
      <c r="F77">
        <v>5.075</v>
      </c>
      <c r="G77">
        <v>2.019</v>
      </c>
      <c r="L77" s="57"/>
      <c r="M77" s="59"/>
      <c r="N77" s="58"/>
      <c r="Q77" s="60">
        <v>108.809757944773</v>
      </c>
      <c r="R77" s="60">
        <f t="shared" si="17"/>
        <v>114.250245842011</v>
      </c>
      <c r="S77" s="60">
        <f t="shared" si="9"/>
        <v>119.69073373925</v>
      </c>
      <c r="T77" s="60">
        <f t="shared" si="10"/>
        <v>125.131221636488</v>
      </c>
      <c r="U77" s="60">
        <f t="shared" si="11"/>
        <v>130.571709533727</v>
      </c>
      <c r="V77" s="60">
        <f t="shared" si="12"/>
        <v>136.012197430966</v>
      </c>
      <c r="W77" s="60">
        <f t="shared" si="13"/>
        <v>141.452685328204</v>
      </c>
      <c r="X77" s="60">
        <f t="shared" si="14"/>
        <v>146.893173225443</v>
      </c>
      <c r="Y77" s="60">
        <f t="shared" si="15"/>
        <v>152.333661122682</v>
      </c>
      <c r="Z77" s="60">
        <f t="shared" si="16"/>
        <v>157.77414901992</v>
      </c>
    </row>
    <row r="78" spans="1:26">
      <c r="A78">
        <v>74</v>
      </c>
      <c r="B78" t="s">
        <v>101</v>
      </c>
      <c r="C78">
        <v>0</v>
      </c>
      <c r="D78">
        <v>1</v>
      </c>
      <c r="E78">
        <v>0</v>
      </c>
      <c r="F78">
        <v>72.638</v>
      </c>
      <c r="G78">
        <v>28.899</v>
      </c>
      <c r="L78" s="57"/>
      <c r="M78" s="59"/>
      <c r="N78" s="58"/>
      <c r="Q78" s="60">
        <v>154.797171450256</v>
      </c>
      <c r="R78" s="60">
        <f t="shared" si="17"/>
        <v>162.537030022769</v>
      </c>
      <c r="S78" s="60">
        <f t="shared" si="9"/>
        <v>170.276888595282</v>
      </c>
      <c r="T78" s="60">
        <f t="shared" si="10"/>
        <v>178.016747167795</v>
      </c>
      <c r="U78" s="60">
        <f t="shared" si="11"/>
        <v>185.756605740307</v>
      </c>
      <c r="V78" s="60">
        <f t="shared" si="12"/>
        <v>193.49646431282</v>
      </c>
      <c r="W78" s="60">
        <f t="shared" si="13"/>
        <v>201.236322885333</v>
      </c>
      <c r="X78" s="60">
        <f t="shared" si="14"/>
        <v>208.976181457846</v>
      </c>
      <c r="Y78" s="60">
        <f t="shared" si="15"/>
        <v>216.716040030359</v>
      </c>
      <c r="Z78" s="60">
        <f t="shared" si="16"/>
        <v>224.455898602871</v>
      </c>
    </row>
    <row r="79" spans="1:26">
      <c r="A79">
        <v>75</v>
      </c>
      <c r="B79" t="s">
        <v>102</v>
      </c>
      <c r="C79">
        <v>0</v>
      </c>
      <c r="D79">
        <v>1</v>
      </c>
      <c r="E79">
        <v>0</v>
      </c>
      <c r="F79">
        <v>405.99</v>
      </c>
      <c r="G79">
        <v>161.52</v>
      </c>
      <c r="L79" s="57"/>
      <c r="M79" s="59"/>
      <c r="N79" s="58"/>
      <c r="Q79" s="60">
        <v>104.314975593152</v>
      </c>
      <c r="R79" s="60">
        <f t="shared" si="17"/>
        <v>109.53072437281</v>
      </c>
      <c r="S79" s="60">
        <f t="shared" ref="S79:S104" si="18">Q79*1.1</f>
        <v>114.746473152468</v>
      </c>
      <c r="T79" s="60">
        <f t="shared" ref="T79:T104" si="19">Q79*1.15</f>
        <v>119.962221932125</v>
      </c>
      <c r="U79" s="60">
        <f t="shared" ref="U79:U104" si="20">Q79*1.2</f>
        <v>125.177970711783</v>
      </c>
      <c r="V79" s="60">
        <f t="shared" ref="V79:V104" si="21">Q79*1.25</f>
        <v>130.393719491441</v>
      </c>
      <c r="W79" s="60">
        <f t="shared" ref="W79:W104" si="22">Q79*1.3</f>
        <v>135.609468271098</v>
      </c>
      <c r="X79" s="60">
        <f t="shared" ref="X79:X104" si="23">Q79*1.35</f>
        <v>140.825217050756</v>
      </c>
      <c r="Y79" s="60">
        <f t="shared" ref="Y79:Y104" si="24">Q79*1.4</f>
        <v>146.040965830413</v>
      </c>
      <c r="Z79" s="60">
        <f t="shared" ref="Z79:Z104" si="25">Q79*1.45</f>
        <v>151.256714610071</v>
      </c>
    </row>
    <row r="80" spans="1:26">
      <c r="A80">
        <v>76</v>
      </c>
      <c r="B80" t="s">
        <v>103</v>
      </c>
      <c r="C80">
        <v>0</v>
      </c>
      <c r="D80">
        <v>1</v>
      </c>
      <c r="E80">
        <v>0</v>
      </c>
      <c r="F80">
        <v>0</v>
      </c>
      <c r="G80">
        <v>0</v>
      </c>
      <c r="L80" s="57"/>
      <c r="M80" s="59"/>
      <c r="N80" s="58"/>
      <c r="Q80" s="60">
        <v>326.333141743219</v>
      </c>
      <c r="R80" s="60">
        <f t="shared" si="17"/>
        <v>342.64979883038</v>
      </c>
      <c r="S80" s="60">
        <f t="shared" si="18"/>
        <v>358.966455917541</v>
      </c>
      <c r="T80" s="60">
        <f t="shared" si="19"/>
        <v>375.283113004702</v>
      </c>
      <c r="U80" s="60">
        <f t="shared" si="20"/>
        <v>391.599770091863</v>
      </c>
      <c r="V80" s="60">
        <f t="shared" si="21"/>
        <v>407.916427179024</v>
      </c>
      <c r="W80" s="60">
        <f t="shared" si="22"/>
        <v>424.233084266185</v>
      </c>
      <c r="X80" s="60">
        <f t="shared" si="23"/>
        <v>440.549741353346</v>
      </c>
      <c r="Y80" s="60">
        <f t="shared" si="24"/>
        <v>456.866398440507</v>
      </c>
      <c r="Z80" s="60">
        <f t="shared" si="25"/>
        <v>473.183055527668</v>
      </c>
    </row>
    <row r="81" spans="1:26">
      <c r="A81">
        <v>77</v>
      </c>
      <c r="B81" t="s">
        <v>104</v>
      </c>
      <c r="C81">
        <v>0</v>
      </c>
      <c r="D81">
        <v>1</v>
      </c>
      <c r="E81">
        <v>0</v>
      </c>
      <c r="F81">
        <v>100.18</v>
      </c>
      <c r="G81">
        <v>42.468</v>
      </c>
      <c r="L81" s="57"/>
      <c r="M81" s="59"/>
      <c r="N81" s="58"/>
      <c r="Q81" s="60">
        <v>153.406367954528</v>
      </c>
      <c r="R81" s="60">
        <f t="shared" si="17"/>
        <v>161.076686352254</v>
      </c>
      <c r="S81" s="60">
        <f t="shared" si="18"/>
        <v>168.747004749981</v>
      </c>
      <c r="T81" s="60">
        <f t="shared" si="19"/>
        <v>176.417323147707</v>
      </c>
      <c r="U81" s="60">
        <f t="shared" si="20"/>
        <v>184.087641545433</v>
      </c>
      <c r="V81" s="60">
        <f t="shared" si="21"/>
        <v>191.75795994316</v>
      </c>
      <c r="W81" s="60">
        <f t="shared" si="22"/>
        <v>199.428278340886</v>
      </c>
      <c r="X81" s="60">
        <f t="shared" si="23"/>
        <v>207.098596738613</v>
      </c>
      <c r="Y81" s="60">
        <f t="shared" si="24"/>
        <v>214.768915136339</v>
      </c>
      <c r="Z81" s="60">
        <f t="shared" si="25"/>
        <v>222.439233534065</v>
      </c>
    </row>
    <row r="82" spans="1:26">
      <c r="A82">
        <v>78</v>
      </c>
      <c r="B82" t="s">
        <v>105</v>
      </c>
      <c r="C82">
        <v>0</v>
      </c>
      <c r="D82">
        <v>1</v>
      </c>
      <c r="E82">
        <v>0</v>
      </c>
      <c r="F82">
        <v>142.52</v>
      </c>
      <c r="G82">
        <v>60.417</v>
      </c>
      <c r="L82" s="57"/>
      <c r="M82" s="59"/>
      <c r="N82" s="58"/>
      <c r="Q82" s="60">
        <v>303.955752371953</v>
      </c>
      <c r="R82" s="60">
        <f t="shared" si="17"/>
        <v>319.153539990551</v>
      </c>
      <c r="S82" s="60">
        <f t="shared" si="18"/>
        <v>334.351327609148</v>
      </c>
      <c r="T82" s="60">
        <f t="shared" si="19"/>
        <v>349.549115227746</v>
      </c>
      <c r="U82" s="60">
        <f t="shared" si="20"/>
        <v>364.746902846344</v>
      </c>
      <c r="V82" s="60">
        <f t="shared" si="21"/>
        <v>379.944690464941</v>
      </c>
      <c r="W82" s="60">
        <f t="shared" si="22"/>
        <v>395.142478083539</v>
      </c>
      <c r="X82" s="60">
        <f t="shared" si="23"/>
        <v>410.340265702137</v>
      </c>
      <c r="Y82" s="60">
        <f t="shared" si="24"/>
        <v>425.538053320734</v>
      </c>
      <c r="Z82" s="60">
        <f t="shared" si="25"/>
        <v>440.735840939332</v>
      </c>
    </row>
    <row r="83" spans="1:26">
      <c r="A83">
        <v>79</v>
      </c>
      <c r="B83" t="s">
        <v>106</v>
      </c>
      <c r="C83">
        <v>0</v>
      </c>
      <c r="D83">
        <v>1</v>
      </c>
      <c r="E83">
        <v>0</v>
      </c>
      <c r="F83">
        <v>96.042</v>
      </c>
      <c r="G83">
        <v>40.713</v>
      </c>
      <c r="L83" s="57"/>
      <c r="M83" s="59"/>
      <c r="N83" s="58"/>
      <c r="Q83" s="60">
        <v>94.8332616385201</v>
      </c>
      <c r="R83" s="60">
        <f t="shared" si="17"/>
        <v>99.5749247204461</v>
      </c>
      <c r="S83" s="60">
        <f t="shared" si="18"/>
        <v>104.316587802372</v>
      </c>
      <c r="T83" s="60">
        <f t="shared" si="19"/>
        <v>109.058250884298</v>
      </c>
      <c r="U83" s="60">
        <f t="shared" si="20"/>
        <v>113.799913966224</v>
      </c>
      <c r="V83" s="60">
        <f t="shared" si="21"/>
        <v>118.54157704815</v>
      </c>
      <c r="W83" s="60">
        <f t="shared" si="22"/>
        <v>123.283240130076</v>
      </c>
      <c r="X83" s="60">
        <f t="shared" si="23"/>
        <v>128.024903212002</v>
      </c>
      <c r="Y83" s="60">
        <f t="shared" si="24"/>
        <v>132.766566293928</v>
      </c>
      <c r="Z83" s="60">
        <f t="shared" si="25"/>
        <v>137.508229375854</v>
      </c>
    </row>
    <row r="84" spans="1:26">
      <c r="A84">
        <v>80</v>
      </c>
      <c r="B84" t="s">
        <v>107</v>
      </c>
      <c r="C84">
        <v>0</v>
      </c>
      <c r="D84">
        <v>1</v>
      </c>
      <c r="E84">
        <v>0</v>
      </c>
      <c r="F84">
        <v>300.45</v>
      </c>
      <c r="G84">
        <v>127.37</v>
      </c>
      <c r="L84" s="57"/>
      <c r="M84" s="59"/>
      <c r="N84" s="58"/>
      <c r="Q84" s="60">
        <v>264.855015810537</v>
      </c>
      <c r="R84" s="60">
        <f t="shared" si="17"/>
        <v>278.097766601064</v>
      </c>
      <c r="S84" s="60">
        <f t="shared" si="18"/>
        <v>291.340517391591</v>
      </c>
      <c r="T84" s="60">
        <f t="shared" si="19"/>
        <v>304.583268182118</v>
      </c>
      <c r="U84" s="60">
        <f t="shared" si="20"/>
        <v>317.826018972645</v>
      </c>
      <c r="V84" s="60">
        <f t="shared" si="21"/>
        <v>331.068769763172</v>
      </c>
      <c r="W84" s="60">
        <f t="shared" si="22"/>
        <v>344.311520553699</v>
      </c>
      <c r="X84" s="60">
        <f t="shared" si="23"/>
        <v>357.554271344225</v>
      </c>
      <c r="Y84" s="60">
        <f t="shared" si="24"/>
        <v>370.797022134752</v>
      </c>
      <c r="Z84" s="60">
        <f t="shared" si="25"/>
        <v>384.039772925279</v>
      </c>
    </row>
    <row r="85" spans="1:26">
      <c r="A85">
        <v>81</v>
      </c>
      <c r="B85" t="s">
        <v>108</v>
      </c>
      <c r="C85">
        <v>0</v>
      </c>
      <c r="D85">
        <v>1</v>
      </c>
      <c r="E85">
        <v>0</v>
      </c>
      <c r="F85">
        <v>141.24</v>
      </c>
      <c r="G85">
        <v>59.873</v>
      </c>
      <c r="L85" s="57"/>
      <c r="M85" s="59"/>
      <c r="N85" s="58"/>
      <c r="Q85" s="60">
        <v>269.093595984743</v>
      </c>
      <c r="R85" s="60">
        <f t="shared" si="17"/>
        <v>282.54827578398</v>
      </c>
      <c r="S85" s="60">
        <f t="shared" si="18"/>
        <v>296.002955583217</v>
      </c>
      <c r="T85" s="60">
        <f t="shared" si="19"/>
        <v>309.457635382454</v>
      </c>
      <c r="U85" s="60">
        <f t="shared" si="20"/>
        <v>322.912315181691</v>
      </c>
      <c r="V85" s="60">
        <f t="shared" si="21"/>
        <v>336.366994980929</v>
      </c>
      <c r="W85" s="60">
        <f t="shared" si="22"/>
        <v>349.821674780166</v>
      </c>
      <c r="X85" s="60">
        <f t="shared" si="23"/>
        <v>363.276354579403</v>
      </c>
      <c r="Y85" s="60">
        <f t="shared" si="24"/>
        <v>376.73103437864</v>
      </c>
      <c r="Z85" s="60">
        <f t="shared" si="25"/>
        <v>390.185714177877</v>
      </c>
    </row>
    <row r="86" spans="1:26">
      <c r="A86">
        <v>82</v>
      </c>
      <c r="B86" t="s">
        <v>109</v>
      </c>
      <c r="C86">
        <v>0</v>
      </c>
      <c r="D86">
        <v>1</v>
      </c>
      <c r="E86">
        <v>0</v>
      </c>
      <c r="F86">
        <v>279.85</v>
      </c>
      <c r="G86">
        <v>118.63</v>
      </c>
      <c r="L86" s="57"/>
      <c r="M86" s="59"/>
      <c r="N86" s="58"/>
      <c r="Q86" s="60">
        <v>424</v>
      </c>
      <c r="R86" s="60">
        <f t="shared" si="17"/>
        <v>445.2</v>
      </c>
      <c r="S86" s="60">
        <f t="shared" si="18"/>
        <v>466.4</v>
      </c>
      <c r="T86" s="60">
        <f t="shared" si="19"/>
        <v>487.6</v>
      </c>
      <c r="U86" s="60">
        <f t="shared" si="20"/>
        <v>508.8</v>
      </c>
      <c r="V86" s="60">
        <f t="shared" si="21"/>
        <v>530</v>
      </c>
      <c r="W86" s="60">
        <f t="shared" si="22"/>
        <v>551.2</v>
      </c>
      <c r="X86" s="60">
        <f t="shared" si="23"/>
        <v>572.4</v>
      </c>
      <c r="Y86" s="60">
        <f t="shared" si="24"/>
        <v>593.6</v>
      </c>
      <c r="Z86" s="60">
        <f t="shared" si="25"/>
        <v>614.8</v>
      </c>
    </row>
    <row r="87" spans="1:26">
      <c r="A87">
        <v>83</v>
      </c>
      <c r="B87" t="s">
        <v>110</v>
      </c>
      <c r="C87">
        <v>0</v>
      </c>
      <c r="D87">
        <v>1</v>
      </c>
      <c r="E87">
        <v>0</v>
      </c>
      <c r="F87">
        <v>87.312</v>
      </c>
      <c r="G87">
        <v>37.013</v>
      </c>
      <c r="L87" s="57"/>
      <c r="M87" s="59"/>
      <c r="N87" s="58"/>
      <c r="Q87" s="60">
        <v>97.6203927722072</v>
      </c>
      <c r="R87" s="60">
        <f t="shared" si="17"/>
        <v>102.501412410818</v>
      </c>
      <c r="S87" s="60">
        <f t="shared" si="18"/>
        <v>107.382432049428</v>
      </c>
      <c r="T87" s="60">
        <f t="shared" si="19"/>
        <v>112.263451688038</v>
      </c>
      <c r="U87" s="60">
        <f t="shared" si="20"/>
        <v>117.144471326649</v>
      </c>
      <c r="V87" s="60">
        <f t="shared" si="21"/>
        <v>122.025490965259</v>
      </c>
      <c r="W87" s="60">
        <f t="shared" si="22"/>
        <v>126.906510603869</v>
      </c>
      <c r="X87" s="60">
        <f t="shared" si="23"/>
        <v>131.78753024248</v>
      </c>
      <c r="Y87" s="60">
        <f t="shared" si="24"/>
        <v>136.66854988109</v>
      </c>
      <c r="Z87" s="60">
        <f t="shared" si="25"/>
        <v>141.5495695197</v>
      </c>
    </row>
    <row r="88" spans="1:26">
      <c r="A88">
        <v>84</v>
      </c>
      <c r="B88" t="s">
        <v>111</v>
      </c>
      <c r="C88">
        <v>0</v>
      </c>
      <c r="D88">
        <v>1</v>
      </c>
      <c r="E88">
        <v>0</v>
      </c>
      <c r="F88">
        <v>243.85</v>
      </c>
      <c r="G88">
        <v>103.37</v>
      </c>
      <c r="L88" s="57"/>
      <c r="M88" s="59"/>
      <c r="N88" s="58"/>
      <c r="Q88" s="60">
        <v>1235.26569696564</v>
      </c>
      <c r="R88" s="60">
        <f t="shared" si="17"/>
        <v>1297.02898181392</v>
      </c>
      <c r="S88" s="60">
        <f t="shared" si="18"/>
        <v>1358.7922666622</v>
      </c>
      <c r="T88" s="60">
        <f t="shared" si="19"/>
        <v>1420.55555151048</v>
      </c>
      <c r="U88" s="60">
        <f t="shared" si="20"/>
        <v>1482.31883635876</v>
      </c>
      <c r="V88" s="60">
        <f t="shared" si="21"/>
        <v>1544.08212120705</v>
      </c>
      <c r="W88" s="60">
        <f t="shared" si="22"/>
        <v>1605.84540605533</v>
      </c>
      <c r="X88" s="60">
        <f t="shared" si="23"/>
        <v>1667.60869090361</v>
      </c>
      <c r="Y88" s="60">
        <f t="shared" si="24"/>
        <v>1729.37197575189</v>
      </c>
      <c r="Z88" s="60">
        <f t="shared" si="25"/>
        <v>1791.13526060017</v>
      </c>
    </row>
    <row r="89" spans="1:26">
      <c r="A89">
        <v>85</v>
      </c>
      <c r="B89" t="s">
        <v>112</v>
      </c>
      <c r="C89">
        <v>0</v>
      </c>
      <c r="D89">
        <v>1</v>
      </c>
      <c r="E89">
        <v>0</v>
      </c>
      <c r="F89">
        <v>247.75</v>
      </c>
      <c r="G89">
        <v>105.03</v>
      </c>
      <c r="L89" s="57"/>
      <c r="M89" s="59"/>
      <c r="N89" s="58"/>
      <c r="Q89" s="60">
        <v>497.82330761024</v>
      </c>
      <c r="R89" s="60">
        <f t="shared" si="17"/>
        <v>522.714472990752</v>
      </c>
      <c r="S89" s="60">
        <f t="shared" si="18"/>
        <v>547.605638371264</v>
      </c>
      <c r="T89" s="60">
        <f t="shared" si="19"/>
        <v>572.496803751776</v>
      </c>
      <c r="U89" s="60">
        <f t="shared" si="20"/>
        <v>597.387969132288</v>
      </c>
      <c r="V89" s="60">
        <f t="shared" si="21"/>
        <v>622.2791345128</v>
      </c>
      <c r="W89" s="60">
        <f t="shared" si="22"/>
        <v>647.170299893312</v>
      </c>
      <c r="X89" s="60">
        <f t="shared" si="23"/>
        <v>672.061465273824</v>
      </c>
      <c r="Y89" s="60">
        <f t="shared" si="24"/>
        <v>696.952630654336</v>
      </c>
      <c r="Z89" s="60">
        <f t="shared" si="25"/>
        <v>721.843796034848</v>
      </c>
    </row>
    <row r="90" spans="1:26">
      <c r="A90">
        <v>86</v>
      </c>
      <c r="B90" t="s">
        <v>113</v>
      </c>
      <c r="C90">
        <v>0</v>
      </c>
      <c r="D90">
        <v>1</v>
      </c>
      <c r="E90">
        <v>0</v>
      </c>
      <c r="F90">
        <v>0</v>
      </c>
      <c r="G90">
        <v>0</v>
      </c>
      <c r="L90" s="57"/>
      <c r="M90" s="59"/>
      <c r="N90" s="58"/>
      <c r="Q90" s="60">
        <v>418.381003512349</v>
      </c>
      <c r="R90" s="60">
        <f t="shared" si="17"/>
        <v>439.300053687966</v>
      </c>
      <c r="S90" s="60">
        <f t="shared" si="18"/>
        <v>460.219103863584</v>
      </c>
      <c r="T90" s="60">
        <f t="shared" si="19"/>
        <v>481.138154039201</v>
      </c>
      <c r="U90" s="60">
        <f t="shared" si="20"/>
        <v>502.057204214818</v>
      </c>
      <c r="V90" s="60">
        <f t="shared" si="21"/>
        <v>522.976254390436</v>
      </c>
      <c r="W90" s="60">
        <f t="shared" si="22"/>
        <v>543.895304566053</v>
      </c>
      <c r="X90" s="60">
        <f t="shared" si="23"/>
        <v>564.814354741671</v>
      </c>
      <c r="Y90" s="60">
        <f t="shared" si="24"/>
        <v>585.733404917288</v>
      </c>
      <c r="Z90" s="60">
        <f t="shared" si="25"/>
        <v>606.652455092906</v>
      </c>
    </row>
    <row r="91" spans="1:26">
      <c r="A91">
        <v>87</v>
      </c>
      <c r="B91" t="s">
        <v>114</v>
      </c>
      <c r="C91">
        <v>0</v>
      </c>
      <c r="D91">
        <v>1</v>
      </c>
      <c r="E91">
        <v>0</v>
      </c>
      <c r="F91">
        <v>89.878</v>
      </c>
      <c r="G91">
        <v>38.101</v>
      </c>
      <c r="L91" s="57"/>
      <c r="M91" s="59"/>
      <c r="N91" s="58"/>
      <c r="Q91" s="60">
        <v>67</v>
      </c>
      <c r="R91" s="60">
        <f t="shared" si="17"/>
        <v>70.35</v>
      </c>
      <c r="S91" s="60">
        <f t="shared" si="18"/>
        <v>73.7</v>
      </c>
      <c r="T91" s="60">
        <f t="shared" si="19"/>
        <v>77.05</v>
      </c>
      <c r="U91" s="60">
        <f t="shared" si="20"/>
        <v>80.4</v>
      </c>
      <c r="V91" s="60">
        <f t="shared" si="21"/>
        <v>83.75</v>
      </c>
      <c r="W91" s="60">
        <f t="shared" si="22"/>
        <v>87.1</v>
      </c>
      <c r="X91" s="60">
        <f t="shared" si="23"/>
        <v>90.45</v>
      </c>
      <c r="Y91" s="60">
        <f t="shared" si="24"/>
        <v>93.8</v>
      </c>
      <c r="Z91" s="60">
        <f t="shared" si="25"/>
        <v>97.15</v>
      </c>
    </row>
    <row r="92" spans="1:26">
      <c r="A92">
        <v>88</v>
      </c>
      <c r="B92" t="s">
        <v>115</v>
      </c>
      <c r="C92">
        <v>0</v>
      </c>
      <c r="D92">
        <v>1</v>
      </c>
      <c r="E92">
        <v>0</v>
      </c>
      <c r="F92">
        <v>1137.3</v>
      </c>
      <c r="G92">
        <v>482.11</v>
      </c>
      <c r="L92" s="57"/>
      <c r="M92" s="59"/>
      <c r="N92" s="58"/>
      <c r="Q92" s="60">
        <v>86.4655635094111</v>
      </c>
      <c r="R92" s="60">
        <f t="shared" si="17"/>
        <v>90.7888416848816</v>
      </c>
      <c r="S92" s="60">
        <f t="shared" si="18"/>
        <v>95.1121198603522</v>
      </c>
      <c r="T92" s="60">
        <f t="shared" si="19"/>
        <v>99.4353980358227</v>
      </c>
      <c r="U92" s="60">
        <f t="shared" si="20"/>
        <v>103.758676211293</v>
      </c>
      <c r="V92" s="60">
        <f t="shared" si="21"/>
        <v>108.081954386764</v>
      </c>
      <c r="W92" s="60">
        <f t="shared" si="22"/>
        <v>112.405232562234</v>
      </c>
      <c r="X92" s="60">
        <f t="shared" si="23"/>
        <v>116.728510737705</v>
      </c>
      <c r="Y92" s="60">
        <f t="shared" si="24"/>
        <v>121.051788913176</v>
      </c>
      <c r="Z92" s="60">
        <f t="shared" si="25"/>
        <v>125.375067088646</v>
      </c>
    </row>
    <row r="93" spans="1:26">
      <c r="A93">
        <v>89</v>
      </c>
      <c r="B93" t="s">
        <v>116</v>
      </c>
      <c r="C93">
        <v>0</v>
      </c>
      <c r="D93">
        <v>1</v>
      </c>
      <c r="E93">
        <v>0</v>
      </c>
      <c r="F93">
        <v>458.34</v>
      </c>
      <c r="G93">
        <v>194.3</v>
      </c>
      <c r="L93" s="57"/>
      <c r="M93" s="59"/>
      <c r="N93" s="58"/>
      <c r="Q93" s="60">
        <v>94.8332616385201</v>
      </c>
      <c r="R93" s="60">
        <f t="shared" si="17"/>
        <v>99.5749247204461</v>
      </c>
      <c r="S93" s="60">
        <f t="shared" si="18"/>
        <v>104.316587802372</v>
      </c>
      <c r="T93" s="60">
        <f t="shared" si="19"/>
        <v>109.058250884298</v>
      </c>
      <c r="U93" s="60">
        <f t="shared" si="20"/>
        <v>113.799913966224</v>
      </c>
      <c r="V93" s="60">
        <f t="shared" si="21"/>
        <v>118.54157704815</v>
      </c>
      <c r="W93" s="60">
        <f t="shared" si="22"/>
        <v>123.283240130076</v>
      </c>
      <c r="X93" s="60">
        <f t="shared" si="23"/>
        <v>128.024903212002</v>
      </c>
      <c r="Y93" s="60">
        <f t="shared" si="24"/>
        <v>132.766566293928</v>
      </c>
      <c r="Z93" s="60">
        <f t="shared" si="25"/>
        <v>137.508229375854</v>
      </c>
    </row>
    <row r="94" spans="1:26">
      <c r="A94">
        <v>90</v>
      </c>
      <c r="B94" t="s">
        <v>117</v>
      </c>
      <c r="C94">
        <v>0</v>
      </c>
      <c r="D94">
        <v>1</v>
      </c>
      <c r="E94">
        <v>0</v>
      </c>
      <c r="F94">
        <v>385.2</v>
      </c>
      <c r="G94">
        <v>163.29</v>
      </c>
      <c r="L94" s="57"/>
      <c r="M94" s="59"/>
      <c r="N94" s="58"/>
      <c r="Q94" s="60">
        <v>260</v>
      </c>
      <c r="R94" s="60">
        <f t="shared" si="17"/>
        <v>273</v>
      </c>
      <c r="S94" s="60">
        <f t="shared" si="18"/>
        <v>286</v>
      </c>
      <c r="T94" s="60">
        <f t="shared" si="19"/>
        <v>299</v>
      </c>
      <c r="U94" s="60">
        <f t="shared" si="20"/>
        <v>312</v>
      </c>
      <c r="V94" s="60">
        <f t="shared" si="21"/>
        <v>325</v>
      </c>
      <c r="W94" s="60">
        <f t="shared" si="22"/>
        <v>338</v>
      </c>
      <c r="X94" s="60">
        <f t="shared" si="23"/>
        <v>351</v>
      </c>
      <c r="Y94" s="60">
        <f t="shared" si="24"/>
        <v>364</v>
      </c>
      <c r="Z94" s="60">
        <f t="shared" si="25"/>
        <v>377</v>
      </c>
    </row>
    <row r="95" spans="1:26">
      <c r="A95">
        <v>91</v>
      </c>
      <c r="B95" t="s">
        <v>118</v>
      </c>
      <c r="C95">
        <v>0</v>
      </c>
      <c r="D95">
        <v>1</v>
      </c>
      <c r="E95">
        <v>0</v>
      </c>
      <c r="F95">
        <v>0</v>
      </c>
      <c r="G95">
        <v>0</v>
      </c>
      <c r="L95" s="57"/>
      <c r="M95" s="59"/>
      <c r="N95" s="58"/>
      <c r="Q95" s="60">
        <v>80.3755242657863</v>
      </c>
      <c r="R95" s="60">
        <f t="shared" si="17"/>
        <v>84.3943004790756</v>
      </c>
      <c r="S95" s="60">
        <f t="shared" si="18"/>
        <v>88.4130766923649</v>
      </c>
      <c r="T95" s="60">
        <f t="shared" si="19"/>
        <v>92.4318529056542</v>
      </c>
      <c r="U95" s="60">
        <f t="shared" si="20"/>
        <v>96.4506291189435</v>
      </c>
      <c r="V95" s="60">
        <f t="shared" si="21"/>
        <v>100.469405332233</v>
      </c>
      <c r="W95" s="60">
        <f t="shared" si="22"/>
        <v>104.488181545522</v>
      </c>
      <c r="X95" s="60">
        <f t="shared" si="23"/>
        <v>108.506957758811</v>
      </c>
      <c r="Y95" s="60">
        <f t="shared" si="24"/>
        <v>112.525733972101</v>
      </c>
      <c r="Z95" s="60">
        <f t="shared" si="25"/>
        <v>116.54451018539</v>
      </c>
    </row>
    <row r="96" spans="1:26">
      <c r="A96">
        <v>92</v>
      </c>
      <c r="B96" t="s">
        <v>119</v>
      </c>
      <c r="C96">
        <v>0</v>
      </c>
      <c r="D96">
        <v>1</v>
      </c>
      <c r="E96">
        <v>0</v>
      </c>
      <c r="F96">
        <v>79.608</v>
      </c>
      <c r="G96">
        <v>33.747</v>
      </c>
      <c r="L96" s="57"/>
      <c r="M96" s="59"/>
      <c r="N96" s="58"/>
      <c r="Q96" s="60">
        <v>252.039010196834</v>
      </c>
      <c r="R96" s="60">
        <f t="shared" si="17"/>
        <v>264.640960706676</v>
      </c>
      <c r="S96" s="60">
        <f t="shared" si="18"/>
        <v>277.242911216518</v>
      </c>
      <c r="T96" s="60">
        <f t="shared" si="19"/>
        <v>289.84486172636</v>
      </c>
      <c r="U96" s="60">
        <f t="shared" si="20"/>
        <v>302.446812236201</v>
      </c>
      <c r="V96" s="60">
        <f t="shared" si="21"/>
        <v>315.048762746043</v>
      </c>
      <c r="W96" s="60">
        <f t="shared" si="22"/>
        <v>327.650713255885</v>
      </c>
      <c r="X96" s="60">
        <f t="shared" si="23"/>
        <v>340.252663765726</v>
      </c>
      <c r="Y96" s="60">
        <f t="shared" si="24"/>
        <v>352.854614275568</v>
      </c>
      <c r="Z96" s="60">
        <f t="shared" si="25"/>
        <v>365.45656478541</v>
      </c>
    </row>
    <row r="97" spans="1:26">
      <c r="A97">
        <v>93</v>
      </c>
      <c r="B97" t="s">
        <v>120</v>
      </c>
      <c r="C97">
        <v>0</v>
      </c>
      <c r="D97">
        <v>1</v>
      </c>
      <c r="E97">
        <v>0</v>
      </c>
      <c r="F97">
        <v>87.312</v>
      </c>
      <c r="G97">
        <v>37.013</v>
      </c>
      <c r="L97" s="57"/>
      <c r="M97" s="59"/>
      <c r="N97" s="58"/>
      <c r="Q97" s="60">
        <v>154.036380641068</v>
      </c>
      <c r="R97" s="60">
        <f t="shared" si="17"/>
        <v>161.738199673121</v>
      </c>
      <c r="S97" s="60">
        <f t="shared" si="18"/>
        <v>169.440018705175</v>
      </c>
      <c r="T97" s="60">
        <f t="shared" si="19"/>
        <v>177.141837737228</v>
      </c>
      <c r="U97" s="60">
        <f t="shared" si="20"/>
        <v>184.843656769282</v>
      </c>
      <c r="V97" s="60">
        <f t="shared" si="21"/>
        <v>192.545475801335</v>
      </c>
      <c r="W97" s="60">
        <f t="shared" si="22"/>
        <v>200.247294833388</v>
      </c>
      <c r="X97" s="60">
        <f t="shared" si="23"/>
        <v>207.949113865442</v>
      </c>
      <c r="Y97" s="60">
        <f t="shared" si="24"/>
        <v>215.650932897495</v>
      </c>
      <c r="Z97" s="60">
        <f t="shared" si="25"/>
        <v>223.352751929549</v>
      </c>
    </row>
    <row r="98" spans="1:26">
      <c r="A98">
        <v>94</v>
      </c>
      <c r="B98" t="s">
        <v>121</v>
      </c>
      <c r="C98">
        <v>0</v>
      </c>
      <c r="D98">
        <v>1</v>
      </c>
      <c r="E98">
        <v>0</v>
      </c>
      <c r="F98">
        <v>0</v>
      </c>
      <c r="G98">
        <v>0</v>
      </c>
      <c r="L98" s="57"/>
      <c r="M98" s="59"/>
      <c r="N98" s="58"/>
      <c r="Q98" s="60">
        <v>67</v>
      </c>
      <c r="R98" s="60">
        <f t="shared" si="17"/>
        <v>70.35</v>
      </c>
      <c r="S98" s="60">
        <f t="shared" si="18"/>
        <v>73.7</v>
      </c>
      <c r="T98" s="60">
        <f t="shared" si="19"/>
        <v>77.05</v>
      </c>
      <c r="U98" s="60">
        <f t="shared" si="20"/>
        <v>80.4</v>
      </c>
      <c r="V98" s="60">
        <f t="shared" si="21"/>
        <v>83.75</v>
      </c>
      <c r="W98" s="60">
        <f t="shared" si="22"/>
        <v>87.1</v>
      </c>
      <c r="X98" s="60">
        <f t="shared" si="23"/>
        <v>90.45</v>
      </c>
      <c r="Y98" s="60">
        <f t="shared" si="24"/>
        <v>93.8</v>
      </c>
      <c r="Z98" s="60">
        <f t="shared" si="25"/>
        <v>97.15</v>
      </c>
    </row>
    <row r="99" spans="1:26">
      <c r="A99">
        <v>95</v>
      </c>
      <c r="B99" t="s">
        <v>122</v>
      </c>
      <c r="C99">
        <v>0</v>
      </c>
      <c r="D99">
        <v>1</v>
      </c>
      <c r="E99">
        <v>0</v>
      </c>
      <c r="F99">
        <v>74.001</v>
      </c>
      <c r="G99">
        <v>31.37</v>
      </c>
      <c r="L99" s="57"/>
      <c r="M99" s="59"/>
      <c r="N99" s="58"/>
      <c r="Q99" s="60">
        <v>83.0344992457954</v>
      </c>
      <c r="R99" s="60">
        <f t="shared" si="17"/>
        <v>87.1862242080852</v>
      </c>
      <c r="S99" s="60">
        <f t="shared" si="18"/>
        <v>91.337949170375</v>
      </c>
      <c r="T99" s="60">
        <f t="shared" si="19"/>
        <v>95.4896741326647</v>
      </c>
      <c r="U99" s="60">
        <f t="shared" si="20"/>
        <v>99.6413990949545</v>
      </c>
      <c r="V99" s="60">
        <f t="shared" si="21"/>
        <v>103.793124057244</v>
      </c>
      <c r="W99" s="60">
        <f t="shared" si="22"/>
        <v>107.944849019534</v>
      </c>
      <c r="X99" s="60">
        <f t="shared" si="23"/>
        <v>112.096573981824</v>
      </c>
      <c r="Y99" s="60">
        <f t="shared" si="24"/>
        <v>116.248298944114</v>
      </c>
      <c r="Z99" s="60">
        <f t="shared" si="25"/>
        <v>120.400023906403</v>
      </c>
    </row>
    <row r="100" spans="1:26">
      <c r="A100">
        <v>96</v>
      </c>
      <c r="B100" t="s">
        <v>123</v>
      </c>
      <c r="C100">
        <v>0</v>
      </c>
      <c r="D100">
        <v>1</v>
      </c>
      <c r="E100">
        <v>0</v>
      </c>
      <c r="F100">
        <v>232.05</v>
      </c>
      <c r="G100">
        <v>98.369</v>
      </c>
      <c r="L100" s="57"/>
      <c r="M100" s="59"/>
      <c r="N100" s="58"/>
      <c r="Q100" s="60">
        <v>363</v>
      </c>
      <c r="R100" s="60">
        <f t="shared" si="17"/>
        <v>381.15</v>
      </c>
      <c r="S100" s="60">
        <f t="shared" si="18"/>
        <v>399.3</v>
      </c>
      <c r="T100" s="60">
        <f t="shared" si="19"/>
        <v>417.45</v>
      </c>
      <c r="U100" s="60">
        <f t="shared" si="20"/>
        <v>435.6</v>
      </c>
      <c r="V100" s="60">
        <f t="shared" si="21"/>
        <v>453.75</v>
      </c>
      <c r="W100" s="60">
        <f t="shared" si="22"/>
        <v>471.9</v>
      </c>
      <c r="X100" s="60">
        <f t="shared" si="23"/>
        <v>490.05</v>
      </c>
      <c r="Y100" s="60">
        <f t="shared" si="24"/>
        <v>508.2</v>
      </c>
      <c r="Z100" s="60">
        <f t="shared" si="25"/>
        <v>526.35</v>
      </c>
    </row>
    <row r="101" spans="1:26">
      <c r="A101">
        <v>97</v>
      </c>
      <c r="B101" t="s">
        <v>124</v>
      </c>
      <c r="C101">
        <v>0</v>
      </c>
      <c r="D101">
        <v>1</v>
      </c>
      <c r="E101">
        <v>0</v>
      </c>
      <c r="F101">
        <v>141.82</v>
      </c>
      <c r="G101">
        <v>60.119</v>
      </c>
      <c r="L101" s="57"/>
      <c r="M101" s="59"/>
      <c r="N101" s="58"/>
      <c r="Q101" s="60">
        <v>55.742902866643</v>
      </c>
      <c r="R101" s="60">
        <f t="shared" si="17"/>
        <v>58.5300480099752</v>
      </c>
      <c r="S101" s="60">
        <f t="shared" si="18"/>
        <v>61.3171931533073</v>
      </c>
      <c r="T101" s="60">
        <f t="shared" si="19"/>
        <v>64.1043382966395</v>
      </c>
      <c r="U101" s="60">
        <f t="shared" si="20"/>
        <v>66.8914834399716</v>
      </c>
      <c r="V101" s="60">
        <f t="shared" si="21"/>
        <v>69.6786285833038</v>
      </c>
      <c r="W101" s="60">
        <f t="shared" si="22"/>
        <v>72.4657737266359</v>
      </c>
      <c r="X101" s="60">
        <f t="shared" si="23"/>
        <v>75.2529188699681</v>
      </c>
      <c r="Y101" s="60">
        <f t="shared" si="24"/>
        <v>78.0400640133002</v>
      </c>
      <c r="Z101" s="60">
        <f t="shared" si="25"/>
        <v>80.8272091566324</v>
      </c>
    </row>
    <row r="102" spans="1:26">
      <c r="A102">
        <v>98</v>
      </c>
      <c r="B102" t="s">
        <v>125</v>
      </c>
      <c r="C102">
        <v>0</v>
      </c>
      <c r="D102">
        <v>1</v>
      </c>
      <c r="E102">
        <v>0</v>
      </c>
      <c r="F102">
        <v>0</v>
      </c>
      <c r="G102">
        <v>0</v>
      </c>
      <c r="L102" s="57"/>
      <c r="M102" s="59"/>
      <c r="N102" s="58"/>
      <c r="Q102" s="61">
        <v>65.0314619011444</v>
      </c>
      <c r="R102" s="60">
        <f t="shared" si="17"/>
        <v>68.2830349962017</v>
      </c>
      <c r="S102" s="60">
        <f t="shared" si="18"/>
        <v>71.5346080912589</v>
      </c>
      <c r="T102" s="60">
        <f t="shared" si="19"/>
        <v>74.7861811863161</v>
      </c>
      <c r="U102" s="60">
        <f t="shared" si="20"/>
        <v>78.0377542813733</v>
      </c>
      <c r="V102" s="60">
        <f t="shared" si="21"/>
        <v>81.2893273764305</v>
      </c>
      <c r="W102" s="60">
        <f t="shared" si="22"/>
        <v>84.5409004714878</v>
      </c>
      <c r="X102" s="60">
        <f t="shared" si="23"/>
        <v>87.792473566545</v>
      </c>
      <c r="Y102" s="60">
        <f t="shared" si="24"/>
        <v>91.0440466616022</v>
      </c>
      <c r="Z102" s="60">
        <f t="shared" si="25"/>
        <v>94.2956197566594</v>
      </c>
    </row>
    <row r="103" spans="1:26">
      <c r="A103">
        <v>99</v>
      </c>
      <c r="B103" t="s">
        <v>126</v>
      </c>
      <c r="C103">
        <v>0</v>
      </c>
      <c r="D103">
        <v>1</v>
      </c>
      <c r="E103">
        <v>0</v>
      </c>
      <c r="F103">
        <v>76.449</v>
      </c>
      <c r="G103">
        <v>32.408</v>
      </c>
      <c r="L103" s="57"/>
      <c r="M103" s="59"/>
      <c r="N103" s="58"/>
      <c r="Q103" s="61">
        <v>130</v>
      </c>
      <c r="R103" s="60">
        <f t="shared" si="17"/>
        <v>136.5</v>
      </c>
      <c r="S103" s="60">
        <f t="shared" si="18"/>
        <v>143</v>
      </c>
      <c r="T103" s="60">
        <f t="shared" si="19"/>
        <v>149.5</v>
      </c>
      <c r="U103" s="60">
        <f t="shared" si="20"/>
        <v>156</v>
      </c>
      <c r="V103" s="60">
        <f t="shared" si="21"/>
        <v>162.5</v>
      </c>
      <c r="W103" s="60">
        <f t="shared" si="22"/>
        <v>169</v>
      </c>
      <c r="X103" s="60">
        <f t="shared" si="23"/>
        <v>175.5</v>
      </c>
      <c r="Y103" s="60">
        <f t="shared" si="24"/>
        <v>182</v>
      </c>
      <c r="Z103" s="60">
        <f t="shared" si="25"/>
        <v>188.5</v>
      </c>
    </row>
    <row r="104" spans="1:26">
      <c r="A104">
        <v>100</v>
      </c>
      <c r="B104" t="s">
        <v>127</v>
      </c>
      <c r="C104">
        <v>0</v>
      </c>
      <c r="D104">
        <v>1</v>
      </c>
      <c r="E104">
        <v>0</v>
      </c>
      <c r="F104">
        <v>0</v>
      </c>
      <c r="G104">
        <v>0</v>
      </c>
      <c r="L104" s="57"/>
      <c r="M104" s="59"/>
      <c r="N104" s="58"/>
      <c r="Q104" s="61">
        <v>224</v>
      </c>
      <c r="R104" s="60">
        <f t="shared" si="17"/>
        <v>235.2</v>
      </c>
      <c r="S104" s="60">
        <f t="shared" si="18"/>
        <v>246.4</v>
      </c>
      <c r="T104" s="60">
        <f t="shared" si="19"/>
        <v>257.6</v>
      </c>
      <c r="U104" s="60">
        <f t="shared" si="20"/>
        <v>268.8</v>
      </c>
      <c r="V104" s="60">
        <f t="shared" si="21"/>
        <v>280</v>
      </c>
      <c r="W104" s="60">
        <f t="shared" si="22"/>
        <v>291.2</v>
      </c>
      <c r="X104" s="60">
        <f t="shared" si="23"/>
        <v>302.4</v>
      </c>
      <c r="Y104" s="60">
        <f t="shared" si="24"/>
        <v>313.6</v>
      </c>
      <c r="Z104" s="60">
        <f t="shared" si="25"/>
        <v>324.8</v>
      </c>
    </row>
    <row r="105" spans="1:26">
      <c r="A105">
        <v>101</v>
      </c>
      <c r="B105" t="s">
        <v>128</v>
      </c>
      <c r="C105">
        <v>0</v>
      </c>
      <c r="D105">
        <v>1</v>
      </c>
      <c r="E105">
        <v>0</v>
      </c>
      <c r="F105">
        <v>51.322</v>
      </c>
      <c r="G105">
        <v>21.756</v>
      </c>
      <c r="L105" s="57"/>
      <c r="M105" s="59"/>
      <c r="N105" s="58"/>
      <c r="Q105" s="60">
        <v>0</v>
      </c>
      <c r="R105" s="61">
        <v>18.1764974898906</v>
      </c>
      <c r="S105" s="60">
        <f>R105*1.05</f>
        <v>19.0853223643851</v>
      </c>
      <c r="T105" s="60">
        <f t="shared" ref="T105" si="26">R105*1.1</f>
        <v>19.9941472388797</v>
      </c>
      <c r="U105" s="60">
        <f t="shared" ref="U105" si="27">R105*1.15</f>
        <v>20.9029721133742</v>
      </c>
      <c r="V105" s="60">
        <f t="shared" ref="V105" si="28">R105*1.2</f>
        <v>21.8117969878687</v>
      </c>
      <c r="W105" s="60">
        <f t="shared" ref="W105" si="29">R105*1.25</f>
        <v>22.7206218623633</v>
      </c>
      <c r="X105" s="60">
        <f t="shared" ref="X105" si="30">R105*1.3</f>
        <v>23.6294467368578</v>
      </c>
      <c r="Y105" s="60">
        <f t="shared" ref="Y105" si="31">R105*1.35</f>
        <v>24.5382716113523</v>
      </c>
      <c r="Z105" s="60">
        <f>R105*1.4</f>
        <v>25.4470964858469</v>
      </c>
    </row>
    <row r="106" spans="1:26">
      <c r="A106">
        <v>102</v>
      </c>
      <c r="B106" t="s">
        <v>129</v>
      </c>
      <c r="C106">
        <v>0</v>
      </c>
      <c r="D106">
        <v>1</v>
      </c>
      <c r="E106">
        <v>0</v>
      </c>
      <c r="F106">
        <v>59.874</v>
      </c>
      <c r="G106">
        <v>25.381</v>
      </c>
      <c r="L106" s="57"/>
      <c r="M106" s="59"/>
      <c r="N106" s="58"/>
      <c r="Q106" s="60">
        <v>0</v>
      </c>
      <c r="R106" s="61">
        <v>1636.27336557801</v>
      </c>
      <c r="S106" s="60">
        <f t="shared" ref="S106:S108" si="32">R106*1.05</f>
        <v>1718.08703385691</v>
      </c>
      <c r="T106" s="60">
        <f t="shared" ref="T106:T108" si="33">R106*1.1</f>
        <v>1799.90070213582</v>
      </c>
      <c r="U106" s="60">
        <f t="shared" ref="U106:U108" si="34">R106*1.15</f>
        <v>1881.71437041472</v>
      </c>
      <c r="V106" s="60">
        <f t="shared" ref="V106:V108" si="35">R106*1.2</f>
        <v>1963.52803869362</v>
      </c>
      <c r="W106" s="60">
        <f t="shared" ref="W106:W108" si="36">R106*1.25</f>
        <v>2045.34170697252</v>
      </c>
      <c r="X106" s="60">
        <f t="shared" ref="X106:X108" si="37">R106*1.3</f>
        <v>2127.15537525142</v>
      </c>
      <c r="Y106" s="60">
        <f t="shared" ref="Y106:Y108" si="38">R106*1.35</f>
        <v>2208.96904353032</v>
      </c>
      <c r="Z106" s="60">
        <f t="shared" ref="Z106:Z108" si="39">R106*1.4</f>
        <v>2290.78271180922</v>
      </c>
    </row>
    <row r="107" spans="1:26">
      <c r="A107">
        <v>103</v>
      </c>
      <c r="B107" t="s">
        <v>130</v>
      </c>
      <c r="C107">
        <v>0</v>
      </c>
      <c r="D107">
        <v>1</v>
      </c>
      <c r="E107">
        <v>0</v>
      </c>
      <c r="F107">
        <v>9.065</v>
      </c>
      <c r="G107">
        <v>3.843</v>
      </c>
      <c r="L107" s="57"/>
      <c r="M107" s="59"/>
      <c r="N107" s="58"/>
      <c r="Q107" s="60">
        <v>0</v>
      </c>
      <c r="R107" s="61">
        <v>339.982582642111</v>
      </c>
      <c r="S107" s="60">
        <f t="shared" si="32"/>
        <v>356.981711774217</v>
      </c>
      <c r="T107" s="60">
        <f t="shared" si="33"/>
        <v>373.980840906322</v>
      </c>
      <c r="U107" s="60">
        <f t="shared" si="34"/>
        <v>390.979970038428</v>
      </c>
      <c r="V107" s="60">
        <f t="shared" si="35"/>
        <v>407.979099170534</v>
      </c>
      <c r="W107" s="60">
        <f t="shared" si="36"/>
        <v>424.978228302639</v>
      </c>
      <c r="X107" s="60">
        <f t="shared" si="37"/>
        <v>441.977357434745</v>
      </c>
      <c r="Y107" s="60">
        <f t="shared" si="38"/>
        <v>458.97648656685</v>
      </c>
      <c r="Z107" s="60">
        <f t="shared" si="39"/>
        <v>475.975615698956</v>
      </c>
    </row>
    <row r="108" spans="1:26">
      <c r="A108">
        <v>104</v>
      </c>
      <c r="B108" t="s">
        <v>131</v>
      </c>
      <c r="C108">
        <v>0</v>
      </c>
      <c r="D108">
        <v>1</v>
      </c>
      <c r="E108">
        <v>0</v>
      </c>
      <c r="F108">
        <v>2.092</v>
      </c>
      <c r="G108">
        <v>0.887</v>
      </c>
      <c r="L108" s="57"/>
      <c r="M108" s="59"/>
      <c r="N108" s="58"/>
      <c r="Q108" s="60">
        <v>0</v>
      </c>
      <c r="R108" s="61">
        <v>86.7079553731951</v>
      </c>
      <c r="S108" s="60">
        <f t="shared" si="32"/>
        <v>91.0433531418549</v>
      </c>
      <c r="T108" s="60">
        <f t="shared" si="33"/>
        <v>95.3787509105147</v>
      </c>
      <c r="U108" s="60">
        <f t="shared" si="34"/>
        <v>99.7141486791744</v>
      </c>
      <c r="V108" s="60">
        <f t="shared" si="35"/>
        <v>104.049546447834</v>
      </c>
      <c r="W108" s="60">
        <f t="shared" si="36"/>
        <v>108.384944216494</v>
      </c>
      <c r="X108" s="60">
        <f t="shared" si="37"/>
        <v>112.720341985154</v>
      </c>
      <c r="Y108" s="60">
        <f t="shared" si="38"/>
        <v>117.055739753813</v>
      </c>
      <c r="Z108" s="60">
        <f t="shared" si="39"/>
        <v>121.391137522473</v>
      </c>
    </row>
    <row r="109" spans="1:26">
      <c r="A109">
        <v>105</v>
      </c>
      <c r="B109" t="s">
        <v>132</v>
      </c>
      <c r="C109">
        <v>0</v>
      </c>
      <c r="D109">
        <v>1</v>
      </c>
      <c r="E109">
        <v>0</v>
      </c>
      <c r="F109">
        <v>16.735</v>
      </c>
      <c r="G109">
        <v>7.094</v>
      </c>
      <c r="L109" s="57"/>
      <c r="M109" s="59"/>
      <c r="N109" s="58"/>
      <c r="Q109" s="60">
        <v>0</v>
      </c>
      <c r="R109" s="60">
        <v>0</v>
      </c>
      <c r="S109" s="61">
        <v>55.742902866643</v>
      </c>
      <c r="T109" s="60">
        <f>S109*1.05</f>
        <v>58.5300480099752</v>
      </c>
      <c r="U109" s="60">
        <f t="shared" ref="U109" si="40">S109*1.1</f>
        <v>61.3171931533073</v>
      </c>
      <c r="V109" s="60">
        <f t="shared" ref="V109" si="41">S109*1.15</f>
        <v>64.1043382966395</v>
      </c>
      <c r="W109" s="60">
        <f t="shared" ref="W109" si="42">S109*1.2</f>
        <v>66.8914834399716</v>
      </c>
      <c r="X109" s="60">
        <f t="shared" ref="X109" si="43">S109*1.25</f>
        <v>69.6786285833038</v>
      </c>
      <c r="Y109" s="60">
        <f t="shared" ref="Y109" si="44">S109*1.3</f>
        <v>72.4657737266359</v>
      </c>
      <c r="Z109" s="60">
        <f t="shared" ref="Z109" si="45">S109*1.35</f>
        <v>75.2529188699681</v>
      </c>
    </row>
    <row r="110" spans="1:26">
      <c r="A110">
        <v>106</v>
      </c>
      <c r="B110" t="s">
        <v>133</v>
      </c>
      <c r="C110">
        <v>0</v>
      </c>
      <c r="D110">
        <v>1</v>
      </c>
      <c r="E110">
        <v>0</v>
      </c>
      <c r="F110">
        <v>1506.5</v>
      </c>
      <c r="G110">
        <v>638.63</v>
      </c>
      <c r="L110" s="57"/>
      <c r="M110" s="59"/>
      <c r="N110" s="58"/>
      <c r="Q110" s="60">
        <v>0</v>
      </c>
      <c r="R110" s="60">
        <v>0</v>
      </c>
      <c r="S110" s="61">
        <v>73</v>
      </c>
      <c r="T110" s="60">
        <f t="shared" ref="T110:T111" si="46">S110*1.05</f>
        <v>76.65</v>
      </c>
      <c r="U110" s="60">
        <f t="shared" ref="U110:U111" si="47">S110*1.1</f>
        <v>80.3</v>
      </c>
      <c r="V110" s="60">
        <f t="shared" ref="V110:V111" si="48">S110*1.15</f>
        <v>83.95</v>
      </c>
      <c r="W110" s="60">
        <f t="shared" ref="W110:W111" si="49">S110*1.2</f>
        <v>87.6</v>
      </c>
      <c r="X110" s="60">
        <f t="shared" ref="X110:X111" si="50">S110*1.25</f>
        <v>91.25</v>
      </c>
      <c r="Y110" s="60">
        <f t="shared" ref="Y110:Y111" si="51">S110*1.3</f>
        <v>94.9</v>
      </c>
      <c r="Z110" s="60">
        <f t="shared" ref="Z110:Z111" si="52">S110*1.35</f>
        <v>98.55</v>
      </c>
    </row>
    <row r="111" spans="1:26">
      <c r="A111">
        <v>107</v>
      </c>
      <c r="B111" t="s">
        <v>134</v>
      </c>
      <c r="C111">
        <v>0</v>
      </c>
      <c r="D111">
        <v>1</v>
      </c>
      <c r="E111">
        <v>0</v>
      </c>
      <c r="F111">
        <v>313.02</v>
      </c>
      <c r="G111">
        <v>132.69</v>
      </c>
      <c r="L111" s="57"/>
      <c r="M111" s="59"/>
      <c r="N111" s="58"/>
      <c r="Q111" s="60">
        <v>0</v>
      </c>
      <c r="R111" s="60">
        <v>0</v>
      </c>
      <c r="S111" s="61">
        <v>219.87762010946</v>
      </c>
      <c r="T111" s="60">
        <f t="shared" si="46"/>
        <v>230.871501114933</v>
      </c>
      <c r="U111" s="60">
        <f t="shared" si="47"/>
        <v>241.865382120406</v>
      </c>
      <c r="V111" s="60">
        <f t="shared" si="48"/>
        <v>252.859263125879</v>
      </c>
      <c r="W111" s="60">
        <f t="shared" si="49"/>
        <v>263.853144131352</v>
      </c>
      <c r="X111" s="60">
        <f t="shared" si="50"/>
        <v>274.847025136825</v>
      </c>
      <c r="Y111" s="60">
        <f t="shared" si="51"/>
        <v>285.840906142298</v>
      </c>
      <c r="Z111" s="60">
        <f t="shared" si="52"/>
        <v>296.834787147771</v>
      </c>
    </row>
    <row r="112" spans="1:26">
      <c r="A112">
        <v>108</v>
      </c>
      <c r="B112" t="s">
        <v>135</v>
      </c>
      <c r="C112">
        <v>0</v>
      </c>
      <c r="D112">
        <v>1</v>
      </c>
      <c r="E112">
        <v>0</v>
      </c>
      <c r="F112">
        <v>79.831</v>
      </c>
      <c r="G112">
        <v>33.842</v>
      </c>
      <c r="L112" s="57"/>
      <c r="M112" s="59"/>
      <c r="N112" s="58"/>
      <c r="Q112" s="60">
        <v>0</v>
      </c>
      <c r="R112" s="60">
        <v>0</v>
      </c>
      <c r="S112" s="60">
        <v>0</v>
      </c>
      <c r="T112" s="61">
        <v>66.0976641417834</v>
      </c>
      <c r="U112" s="60">
        <f>T112*1.05</f>
        <v>69.4025473488726</v>
      </c>
      <c r="V112" s="60">
        <f t="shared" ref="V112" si="53">T112*1.1</f>
        <v>72.7074305559618</v>
      </c>
      <c r="W112" s="60">
        <f t="shared" ref="W112" si="54">T112*1.15</f>
        <v>76.0123137630509</v>
      </c>
      <c r="X112" s="60">
        <f t="shared" ref="X112" si="55">T112*1.2</f>
        <v>79.3171969701401</v>
      </c>
      <c r="Y112" s="60">
        <f t="shared" ref="Y112" si="56">T112*1.25</f>
        <v>82.6220801772293</v>
      </c>
      <c r="Z112" s="60">
        <f t="shared" ref="Z112" si="57">T112*1.3</f>
        <v>85.9269633843184</v>
      </c>
    </row>
    <row r="113" spans="1:26">
      <c r="A113">
        <v>109</v>
      </c>
      <c r="B113" t="s">
        <v>136</v>
      </c>
      <c r="C113">
        <v>0</v>
      </c>
      <c r="D113">
        <v>1</v>
      </c>
      <c r="E113">
        <v>0</v>
      </c>
      <c r="F113">
        <v>51.322</v>
      </c>
      <c r="G113">
        <v>21.756</v>
      </c>
      <c r="L113" s="57"/>
      <c r="M113" s="59"/>
      <c r="N113" s="58"/>
      <c r="Q113" s="60">
        <v>0</v>
      </c>
      <c r="R113" s="60">
        <v>0</v>
      </c>
      <c r="S113" s="60">
        <v>0</v>
      </c>
      <c r="T113" s="61">
        <v>49.5475546117061</v>
      </c>
      <c r="U113" s="60">
        <f t="shared" ref="U113:U115" si="58">T113*1.05</f>
        <v>52.0249323422914</v>
      </c>
      <c r="V113" s="60">
        <f t="shared" ref="V113:V115" si="59">T113*1.1</f>
        <v>54.5023100728767</v>
      </c>
      <c r="W113" s="60">
        <f t="shared" ref="W113:W115" si="60">T113*1.15</f>
        <v>56.979687803462</v>
      </c>
      <c r="X113" s="60">
        <f t="shared" ref="X113:X115" si="61">T113*1.2</f>
        <v>59.4570655340473</v>
      </c>
      <c r="Y113" s="60">
        <f t="shared" ref="Y113:Y115" si="62">T113*1.25</f>
        <v>61.9344432646326</v>
      </c>
      <c r="Z113" s="60">
        <f t="shared" ref="Z113:Z115" si="63">T113*1.3</f>
        <v>64.411820995218</v>
      </c>
    </row>
    <row r="114" spans="1:26">
      <c r="A114">
        <v>110</v>
      </c>
      <c r="B114" t="s">
        <v>137</v>
      </c>
      <c r="C114">
        <v>0</v>
      </c>
      <c r="D114">
        <v>1</v>
      </c>
      <c r="E114">
        <v>0</v>
      </c>
      <c r="F114">
        <v>0</v>
      </c>
      <c r="G114">
        <v>0</v>
      </c>
      <c r="L114" s="57"/>
      <c r="M114" s="59"/>
      <c r="N114" s="58"/>
      <c r="Q114" s="60">
        <v>0</v>
      </c>
      <c r="R114" s="60">
        <v>0</v>
      </c>
      <c r="S114" s="60">
        <v>0</v>
      </c>
      <c r="T114" s="61">
        <v>152</v>
      </c>
      <c r="U114" s="60">
        <f t="shared" si="58"/>
        <v>159.6</v>
      </c>
      <c r="V114" s="60">
        <f t="shared" si="59"/>
        <v>167.2</v>
      </c>
      <c r="W114" s="60">
        <f t="shared" si="60"/>
        <v>174.8</v>
      </c>
      <c r="X114" s="60">
        <f t="shared" si="61"/>
        <v>182.4</v>
      </c>
      <c r="Y114" s="60">
        <f t="shared" si="62"/>
        <v>190</v>
      </c>
      <c r="Z114" s="60">
        <f t="shared" si="63"/>
        <v>197.6</v>
      </c>
    </row>
    <row r="115" spans="1:26">
      <c r="A115">
        <v>111</v>
      </c>
      <c r="B115" t="s">
        <v>138</v>
      </c>
      <c r="C115">
        <v>0</v>
      </c>
      <c r="D115">
        <v>1</v>
      </c>
      <c r="E115">
        <v>0</v>
      </c>
      <c r="F115">
        <v>202.44</v>
      </c>
      <c r="G115">
        <v>85.815</v>
      </c>
      <c r="L115" s="57"/>
      <c r="M115" s="59"/>
      <c r="N115" s="58"/>
      <c r="Q115" s="60">
        <v>0</v>
      </c>
      <c r="R115" s="60">
        <v>0</v>
      </c>
      <c r="S115" s="60">
        <v>0</v>
      </c>
      <c r="T115" s="61">
        <v>170.600158135917</v>
      </c>
      <c r="U115" s="60">
        <f t="shared" si="58"/>
        <v>179.130166042713</v>
      </c>
      <c r="V115" s="60">
        <f t="shared" si="59"/>
        <v>187.660173949509</v>
      </c>
      <c r="W115" s="60">
        <f t="shared" si="60"/>
        <v>196.190181856305</v>
      </c>
      <c r="X115" s="60">
        <f t="shared" si="61"/>
        <v>204.720189763101</v>
      </c>
      <c r="Y115" s="60">
        <f t="shared" si="62"/>
        <v>213.250197669897</v>
      </c>
      <c r="Z115" s="60">
        <f t="shared" si="63"/>
        <v>221.780205576693</v>
      </c>
    </row>
    <row r="116" spans="1:26">
      <c r="A116">
        <v>112</v>
      </c>
      <c r="B116" t="s">
        <v>139</v>
      </c>
      <c r="C116">
        <v>0</v>
      </c>
      <c r="D116">
        <v>1</v>
      </c>
      <c r="E116">
        <v>0</v>
      </c>
      <c r="F116">
        <v>60.823</v>
      </c>
      <c r="G116">
        <v>25.874</v>
      </c>
      <c r="L116" s="57"/>
      <c r="M116" s="59"/>
      <c r="N116" s="58"/>
      <c r="Q116" s="60">
        <v>0</v>
      </c>
      <c r="R116" s="60">
        <v>0</v>
      </c>
      <c r="S116" s="60">
        <v>0</v>
      </c>
      <c r="T116" s="60">
        <v>0</v>
      </c>
      <c r="U116" s="61">
        <v>117</v>
      </c>
      <c r="V116" s="60">
        <f>U116*1.05</f>
        <v>122.85</v>
      </c>
      <c r="W116" s="60">
        <f t="shared" ref="W116" si="64">U116*1.1</f>
        <v>128.7</v>
      </c>
      <c r="X116" s="60">
        <f t="shared" ref="X116" si="65">U116*1.15</f>
        <v>134.55</v>
      </c>
      <c r="Y116" s="60">
        <f t="shared" ref="Y116" si="66">U116*1.2</f>
        <v>140.4</v>
      </c>
      <c r="Z116" s="60">
        <f>U116*1.25</f>
        <v>146.25</v>
      </c>
    </row>
    <row r="117" spans="1:26">
      <c r="A117">
        <v>113</v>
      </c>
      <c r="B117" t="s">
        <v>140</v>
      </c>
      <c r="C117">
        <v>0</v>
      </c>
      <c r="D117">
        <v>1</v>
      </c>
      <c r="E117">
        <v>0</v>
      </c>
      <c r="F117">
        <v>45.618</v>
      </c>
      <c r="G117">
        <v>19.338</v>
      </c>
      <c r="L117" s="57"/>
      <c r="M117" s="59"/>
      <c r="N117" s="58"/>
      <c r="Q117" s="60">
        <v>0</v>
      </c>
      <c r="R117" s="60">
        <v>0</v>
      </c>
      <c r="S117" s="60">
        <v>0</v>
      </c>
      <c r="T117" s="60">
        <v>0</v>
      </c>
      <c r="U117" s="61">
        <v>271.697449564769</v>
      </c>
      <c r="V117" s="60">
        <f t="shared" ref="V117:W120" si="67">U117*1.05</f>
        <v>285.282322043007</v>
      </c>
      <c r="W117" s="60">
        <f t="shared" ref="W117:W119" si="68">U117*1.1</f>
        <v>298.867194521246</v>
      </c>
      <c r="X117" s="60">
        <f t="shared" ref="X117:X119" si="69">U117*1.15</f>
        <v>312.452066999484</v>
      </c>
      <c r="Y117" s="60">
        <f t="shared" ref="Y117:Y119" si="70">U117*1.2</f>
        <v>326.036939477722</v>
      </c>
      <c r="Z117" s="60">
        <f t="shared" ref="Z117:Z119" si="71">U117*1.25</f>
        <v>339.621811955961</v>
      </c>
    </row>
    <row r="118" spans="1:26">
      <c r="A118">
        <v>114</v>
      </c>
      <c r="B118" t="s">
        <v>141</v>
      </c>
      <c r="C118">
        <v>0</v>
      </c>
      <c r="D118">
        <v>1</v>
      </c>
      <c r="E118">
        <v>0</v>
      </c>
      <c r="F118">
        <v>0</v>
      </c>
      <c r="G118">
        <v>0</v>
      </c>
      <c r="L118" s="57"/>
      <c r="M118" s="59"/>
      <c r="N118" s="58"/>
      <c r="Q118" s="60">
        <v>0</v>
      </c>
      <c r="R118" s="60">
        <v>0</v>
      </c>
      <c r="S118" s="60">
        <v>0</v>
      </c>
      <c r="T118" s="60">
        <v>0</v>
      </c>
      <c r="U118" s="61">
        <v>355</v>
      </c>
      <c r="V118" s="60">
        <f t="shared" si="67"/>
        <v>372.75</v>
      </c>
      <c r="W118" s="60">
        <f t="shared" si="68"/>
        <v>390.5</v>
      </c>
      <c r="X118" s="60">
        <f t="shared" si="69"/>
        <v>408.25</v>
      </c>
      <c r="Y118" s="60">
        <f t="shared" si="70"/>
        <v>426</v>
      </c>
      <c r="Z118" s="60">
        <f t="shared" si="71"/>
        <v>443.75</v>
      </c>
    </row>
    <row r="119" spans="1:26">
      <c r="A119">
        <v>115</v>
      </c>
      <c r="B119" t="s">
        <v>142</v>
      </c>
      <c r="C119">
        <v>0</v>
      </c>
      <c r="D119">
        <v>1</v>
      </c>
      <c r="E119">
        <v>0</v>
      </c>
      <c r="F119">
        <v>157.07</v>
      </c>
      <c r="G119">
        <v>66.584</v>
      </c>
      <c r="L119" s="57"/>
      <c r="M119" s="59"/>
      <c r="N119" s="58"/>
      <c r="Q119" s="60">
        <v>0</v>
      </c>
      <c r="R119" s="60">
        <v>0</v>
      </c>
      <c r="S119" s="60">
        <v>0</v>
      </c>
      <c r="T119" s="60">
        <v>0</v>
      </c>
      <c r="U119" s="61">
        <v>74.5133419596786</v>
      </c>
      <c r="V119" s="60">
        <f t="shared" si="67"/>
        <v>78.2390090576625</v>
      </c>
      <c r="W119" s="60">
        <f t="shared" si="68"/>
        <v>81.9646761556465</v>
      </c>
      <c r="X119" s="60">
        <f t="shared" si="69"/>
        <v>85.6903432536304</v>
      </c>
      <c r="Y119" s="60">
        <f t="shared" si="70"/>
        <v>89.4160103516143</v>
      </c>
      <c r="Z119" s="60">
        <f t="shared" si="71"/>
        <v>93.1416774495982</v>
      </c>
    </row>
    <row r="120" spans="1:26">
      <c r="A120">
        <v>116</v>
      </c>
      <c r="B120" t="s">
        <v>143</v>
      </c>
      <c r="C120">
        <v>0</v>
      </c>
      <c r="D120">
        <v>1</v>
      </c>
      <c r="E120">
        <v>0</v>
      </c>
      <c r="F120">
        <v>0</v>
      </c>
      <c r="G120">
        <v>0</v>
      </c>
      <c r="L120" s="57"/>
      <c r="M120" s="59"/>
      <c r="N120" s="58"/>
      <c r="Q120" s="60">
        <v>0</v>
      </c>
      <c r="R120" s="60">
        <v>0</v>
      </c>
      <c r="S120" s="60">
        <v>0</v>
      </c>
      <c r="T120" s="60">
        <v>0</v>
      </c>
      <c r="U120" s="60">
        <v>0</v>
      </c>
      <c r="V120" s="61">
        <v>34.8348159174123</v>
      </c>
      <c r="W120" s="60">
        <f t="shared" si="67"/>
        <v>36.5765567132829</v>
      </c>
      <c r="X120" s="60">
        <f t="shared" ref="X120" si="72">V120*1.1</f>
        <v>38.3182975091535</v>
      </c>
      <c r="Y120" s="60">
        <f t="shared" ref="Y120" si="73">V120*1.15</f>
        <v>40.0600383050241</v>
      </c>
      <c r="Z120" s="60">
        <f t="shared" ref="Z120" si="74">V120*1.2</f>
        <v>41.8017791008947</v>
      </c>
    </row>
    <row r="121" spans="1:26">
      <c r="A121">
        <v>117</v>
      </c>
      <c r="B121" t="s">
        <v>144</v>
      </c>
      <c r="C121">
        <v>0</v>
      </c>
      <c r="D121">
        <v>1</v>
      </c>
      <c r="E121">
        <v>0</v>
      </c>
      <c r="F121">
        <v>250.15</v>
      </c>
      <c r="G121">
        <v>106.04</v>
      </c>
      <c r="L121" s="57"/>
      <c r="M121" s="59"/>
      <c r="N121" s="58"/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1">
        <v>66.3457179628045</v>
      </c>
      <c r="W121" s="60">
        <f t="shared" ref="W121" si="75">V121*1.05</f>
        <v>69.6630038609447</v>
      </c>
      <c r="X121" s="60">
        <f t="shared" ref="X121:X122" si="76">V121*1.1</f>
        <v>72.980289759085</v>
      </c>
      <c r="Y121" s="60">
        <f t="shared" ref="Y121:Y122" si="77">V121*1.15</f>
        <v>76.2975756572252</v>
      </c>
      <c r="Z121" s="60">
        <f t="shared" ref="Z121:Z122" si="78">V121*1.2</f>
        <v>79.6148615553654</v>
      </c>
    </row>
    <row r="122" spans="1:26">
      <c r="A122">
        <v>118</v>
      </c>
      <c r="B122" t="s">
        <v>145</v>
      </c>
      <c r="C122">
        <v>0</v>
      </c>
      <c r="D122">
        <v>1</v>
      </c>
      <c r="E122">
        <v>0</v>
      </c>
      <c r="F122">
        <v>0</v>
      </c>
      <c r="G122">
        <v>0</v>
      </c>
      <c r="L122" s="57"/>
      <c r="M122" s="59"/>
      <c r="N122" s="58"/>
      <c r="Q122" s="60">
        <v>0</v>
      </c>
      <c r="R122" s="60">
        <v>0</v>
      </c>
      <c r="S122" s="60">
        <v>0</v>
      </c>
      <c r="T122" s="60">
        <v>0</v>
      </c>
      <c r="U122" s="60">
        <v>0</v>
      </c>
      <c r="V122" s="61">
        <v>273</v>
      </c>
      <c r="W122" s="60">
        <f t="shared" ref="W122:X123" si="79">V122*1.05</f>
        <v>286.65</v>
      </c>
      <c r="X122" s="60">
        <f t="shared" si="76"/>
        <v>300.3</v>
      </c>
      <c r="Y122" s="60">
        <f t="shared" si="77"/>
        <v>313.95</v>
      </c>
      <c r="Z122" s="60">
        <f t="shared" si="78"/>
        <v>327.6</v>
      </c>
    </row>
    <row r="123" spans="1:26">
      <c r="A123">
        <v>119</v>
      </c>
      <c r="B123" t="s">
        <v>146</v>
      </c>
      <c r="C123">
        <v>0</v>
      </c>
      <c r="D123">
        <v>1</v>
      </c>
      <c r="E123">
        <v>0</v>
      </c>
      <c r="F123">
        <v>68.809</v>
      </c>
      <c r="G123">
        <v>28.593</v>
      </c>
      <c r="L123" s="57"/>
      <c r="M123" s="59"/>
      <c r="N123" s="58"/>
      <c r="Q123" s="60">
        <v>0</v>
      </c>
      <c r="R123" s="60">
        <v>0</v>
      </c>
      <c r="S123" s="60">
        <v>0</v>
      </c>
      <c r="T123" s="60">
        <v>0</v>
      </c>
      <c r="U123" s="60">
        <v>0</v>
      </c>
      <c r="V123" s="60">
        <v>0</v>
      </c>
      <c r="W123" s="61">
        <v>105.32478570593</v>
      </c>
      <c r="X123" s="60">
        <f t="shared" si="79"/>
        <v>110.591024991226</v>
      </c>
      <c r="Y123" s="60">
        <f t="shared" ref="Y123" si="80">W123*1.1</f>
        <v>115.857264276523</v>
      </c>
      <c r="Z123" s="60">
        <f t="shared" ref="Z123" si="81">W123*1.15</f>
        <v>121.123503561819</v>
      </c>
    </row>
    <row r="124" spans="1:26">
      <c r="A124">
        <v>120</v>
      </c>
      <c r="B124" t="s">
        <v>147</v>
      </c>
      <c r="C124">
        <v>0</v>
      </c>
      <c r="D124">
        <v>1</v>
      </c>
      <c r="E124">
        <v>0</v>
      </c>
      <c r="F124">
        <v>32.072</v>
      </c>
      <c r="G124">
        <v>13.596</v>
      </c>
      <c r="L124" s="57"/>
      <c r="M124" s="59"/>
      <c r="N124" s="58"/>
      <c r="Q124" s="60">
        <v>0</v>
      </c>
      <c r="R124" s="60">
        <v>0</v>
      </c>
      <c r="S124" s="60">
        <v>0</v>
      </c>
      <c r="T124" s="60">
        <v>0</v>
      </c>
      <c r="U124" s="60">
        <v>0</v>
      </c>
      <c r="V124" s="60">
        <v>0</v>
      </c>
      <c r="W124" s="61">
        <v>55.4973944343336</v>
      </c>
      <c r="X124" s="60">
        <f t="shared" ref="X124" si="82">W124*1.05</f>
        <v>58.2722641560503</v>
      </c>
      <c r="Y124" s="60">
        <f t="shared" ref="Y124:Y126" si="83">W124*1.1</f>
        <v>61.0471338777669</v>
      </c>
      <c r="Z124" s="60">
        <f t="shared" ref="Z124:Z126" si="84">W124*1.15</f>
        <v>63.8220035994836</v>
      </c>
    </row>
    <row r="125" spans="1:26">
      <c r="A125">
        <v>121</v>
      </c>
      <c r="B125" t="s">
        <v>148</v>
      </c>
      <c r="C125">
        <v>0</v>
      </c>
      <c r="D125">
        <v>1</v>
      </c>
      <c r="E125">
        <v>0</v>
      </c>
      <c r="F125">
        <v>61.084</v>
      </c>
      <c r="G125">
        <v>25.894</v>
      </c>
      <c r="L125" s="57"/>
      <c r="M125" s="59"/>
      <c r="N125" s="58"/>
      <c r="Q125" s="60">
        <v>0</v>
      </c>
      <c r="R125" s="60">
        <v>0</v>
      </c>
      <c r="S125" s="60">
        <v>0</v>
      </c>
      <c r="T125" s="60">
        <v>0</v>
      </c>
      <c r="U125" s="60">
        <v>0</v>
      </c>
      <c r="V125" s="60">
        <v>0</v>
      </c>
      <c r="W125" s="61">
        <v>137.091616796943</v>
      </c>
      <c r="X125" s="60">
        <f t="shared" ref="X125:Y127" si="85">W125*1.05</f>
        <v>143.946197636791</v>
      </c>
      <c r="Y125" s="60">
        <f t="shared" si="83"/>
        <v>150.800778476638</v>
      </c>
      <c r="Z125" s="60">
        <f t="shared" si="84"/>
        <v>157.655359316485</v>
      </c>
    </row>
    <row r="126" spans="1:26">
      <c r="A126">
        <v>122</v>
      </c>
      <c r="B126" t="s">
        <v>149</v>
      </c>
      <c r="C126">
        <v>0</v>
      </c>
      <c r="D126">
        <v>1</v>
      </c>
      <c r="E126">
        <v>0</v>
      </c>
      <c r="F126">
        <v>0</v>
      </c>
      <c r="G126">
        <v>0</v>
      </c>
      <c r="L126" s="57"/>
      <c r="M126" s="59"/>
      <c r="N126" s="58"/>
      <c r="Q126" s="60">
        <v>0</v>
      </c>
      <c r="R126" s="60">
        <v>0</v>
      </c>
      <c r="S126" s="60">
        <v>0</v>
      </c>
      <c r="T126" s="60">
        <v>0</v>
      </c>
      <c r="U126" s="60">
        <v>0</v>
      </c>
      <c r="V126" s="60">
        <v>0</v>
      </c>
      <c r="W126" s="61">
        <v>87.2119195752507</v>
      </c>
      <c r="X126" s="60">
        <f t="shared" si="85"/>
        <v>91.5725155540133</v>
      </c>
      <c r="Y126" s="60">
        <f t="shared" si="83"/>
        <v>95.9331115327758</v>
      </c>
      <c r="Z126" s="60">
        <f t="shared" si="84"/>
        <v>100.293707511538</v>
      </c>
    </row>
    <row r="127" spans="1:26">
      <c r="A127">
        <v>123</v>
      </c>
      <c r="B127" t="s">
        <v>150</v>
      </c>
      <c r="C127">
        <v>0</v>
      </c>
      <c r="D127">
        <v>1</v>
      </c>
      <c r="E127">
        <v>0</v>
      </c>
      <c r="F127">
        <v>94.622</v>
      </c>
      <c r="G127">
        <v>46.26</v>
      </c>
      <c r="L127" s="57"/>
      <c r="M127" s="59"/>
      <c r="N127" s="58"/>
      <c r="Q127" s="60">
        <v>0</v>
      </c>
      <c r="R127" s="60">
        <v>0</v>
      </c>
      <c r="S127" s="60">
        <v>0</v>
      </c>
      <c r="T127" s="60">
        <v>0</v>
      </c>
      <c r="U127" s="60">
        <v>0</v>
      </c>
      <c r="V127" s="60">
        <v>0</v>
      </c>
      <c r="W127" s="60">
        <v>0</v>
      </c>
      <c r="X127" s="61">
        <v>161.934020641124</v>
      </c>
      <c r="Y127" s="60">
        <f t="shared" si="85"/>
        <v>170.03072167318</v>
      </c>
      <c r="Z127" s="60">
        <f t="shared" ref="Z127" si="86">X127*1.1</f>
        <v>178.127422705237</v>
      </c>
    </row>
    <row r="128" spans="1:26">
      <c r="A128">
        <v>124</v>
      </c>
      <c r="B128" t="s">
        <v>151</v>
      </c>
      <c r="C128">
        <v>0</v>
      </c>
      <c r="D128">
        <v>1</v>
      </c>
      <c r="E128">
        <v>0</v>
      </c>
      <c r="F128">
        <v>49.858</v>
      </c>
      <c r="G128">
        <v>24.375</v>
      </c>
      <c r="L128" s="57"/>
      <c r="M128" s="59"/>
      <c r="N128" s="58"/>
      <c r="Q128" s="60">
        <v>0</v>
      </c>
      <c r="R128" s="60">
        <v>0</v>
      </c>
      <c r="S128" s="60">
        <v>0</v>
      </c>
      <c r="T128" s="60">
        <v>0</v>
      </c>
      <c r="U128" s="60">
        <v>0</v>
      </c>
      <c r="V128" s="60">
        <v>0</v>
      </c>
      <c r="W128" s="60">
        <v>0</v>
      </c>
      <c r="X128" s="61">
        <v>23.7860036576134</v>
      </c>
      <c r="Y128" s="60">
        <f t="shared" ref="Y128" si="87">X128*1.05</f>
        <v>24.9753038404941</v>
      </c>
      <c r="Z128" s="60">
        <f t="shared" ref="Z128:Z129" si="88">X128*1.1</f>
        <v>26.1646040233748</v>
      </c>
    </row>
    <row r="129" spans="1:26">
      <c r="A129">
        <v>125</v>
      </c>
      <c r="B129" t="s">
        <v>152</v>
      </c>
      <c r="C129">
        <v>0</v>
      </c>
      <c r="D129">
        <v>1</v>
      </c>
      <c r="E129">
        <v>0</v>
      </c>
      <c r="F129">
        <v>123.16</v>
      </c>
      <c r="G129">
        <v>60.214</v>
      </c>
      <c r="L129" s="57"/>
      <c r="M129" s="59"/>
      <c r="N129" s="58"/>
      <c r="Q129" s="60">
        <v>0</v>
      </c>
      <c r="R129" s="60">
        <v>0</v>
      </c>
      <c r="S129" s="60">
        <v>0</v>
      </c>
      <c r="T129" s="60">
        <v>0</v>
      </c>
      <c r="U129" s="60">
        <v>0</v>
      </c>
      <c r="V129" s="60">
        <v>0</v>
      </c>
      <c r="W129" s="60">
        <v>0</v>
      </c>
      <c r="X129" s="61">
        <v>83.2485472365734</v>
      </c>
      <c r="Y129" s="60">
        <f t="shared" ref="Y129" si="89">X129*1.05</f>
        <v>87.4109745984021</v>
      </c>
      <c r="Z129" s="60">
        <f t="shared" si="88"/>
        <v>91.5734019602308</v>
      </c>
    </row>
    <row r="130" spans="1:26">
      <c r="A130">
        <v>126</v>
      </c>
      <c r="B130" t="s">
        <v>153</v>
      </c>
      <c r="C130">
        <v>0</v>
      </c>
      <c r="D130">
        <v>1</v>
      </c>
      <c r="E130">
        <v>0</v>
      </c>
      <c r="F130">
        <v>78.35</v>
      </c>
      <c r="G130">
        <v>38.304</v>
      </c>
      <c r="L130" s="57"/>
      <c r="M130" s="59"/>
      <c r="N130" s="58"/>
      <c r="Q130" s="60">
        <v>0</v>
      </c>
      <c r="R130" s="60">
        <v>0</v>
      </c>
      <c r="S130" s="60">
        <v>0</v>
      </c>
      <c r="T130" s="60">
        <v>0</v>
      </c>
      <c r="U130" s="60">
        <v>0</v>
      </c>
      <c r="V130" s="60">
        <v>0</v>
      </c>
      <c r="W130" s="60">
        <v>0</v>
      </c>
      <c r="X130" s="60">
        <v>0</v>
      </c>
      <c r="Y130" s="61">
        <v>253.709932403128</v>
      </c>
      <c r="Z130" s="60">
        <f t="shared" ref="Z130:Z132" si="90">Y130*1.05</f>
        <v>266.395429023285</v>
      </c>
    </row>
    <row r="131" spans="1:26">
      <c r="A131">
        <v>127</v>
      </c>
      <c r="B131" t="s">
        <v>154</v>
      </c>
      <c r="C131">
        <v>0</v>
      </c>
      <c r="D131">
        <v>1</v>
      </c>
      <c r="E131">
        <v>0</v>
      </c>
      <c r="F131">
        <v>145.48</v>
      </c>
      <c r="G131">
        <v>71.121</v>
      </c>
      <c r="L131" s="57"/>
      <c r="M131" s="59"/>
      <c r="N131" s="58"/>
      <c r="Q131" s="60">
        <v>0</v>
      </c>
      <c r="R131" s="60">
        <v>0</v>
      </c>
      <c r="S131" s="60">
        <v>0</v>
      </c>
      <c r="T131" s="60">
        <v>0</v>
      </c>
      <c r="U131" s="60">
        <v>0</v>
      </c>
      <c r="V131" s="60">
        <v>0</v>
      </c>
      <c r="W131" s="60">
        <v>0</v>
      </c>
      <c r="X131" s="60">
        <v>0</v>
      </c>
      <c r="Y131" s="61">
        <v>39.642148238964</v>
      </c>
      <c r="Z131" s="60">
        <f t="shared" si="90"/>
        <v>41.6242556509122</v>
      </c>
    </row>
    <row r="132" spans="1:26">
      <c r="A132">
        <v>128</v>
      </c>
      <c r="B132" t="s">
        <v>155</v>
      </c>
      <c r="C132">
        <v>0</v>
      </c>
      <c r="D132">
        <v>1</v>
      </c>
      <c r="E132">
        <v>0</v>
      </c>
      <c r="F132">
        <v>21.369</v>
      </c>
      <c r="G132">
        <v>10.447</v>
      </c>
      <c r="L132" s="57"/>
      <c r="M132" s="59"/>
      <c r="N132" s="58"/>
      <c r="Q132" s="60">
        <v>0</v>
      </c>
      <c r="R132" s="60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0">
        <v>0</v>
      </c>
      <c r="Y132" s="61">
        <v>277.489168257069</v>
      </c>
      <c r="Z132" s="60">
        <f t="shared" si="90"/>
        <v>291.363626669923</v>
      </c>
    </row>
    <row r="133" spans="1:26">
      <c r="A133">
        <v>129</v>
      </c>
      <c r="B133" t="s">
        <v>156</v>
      </c>
      <c r="C133">
        <v>0</v>
      </c>
      <c r="D133">
        <v>1</v>
      </c>
      <c r="E133">
        <v>0</v>
      </c>
      <c r="F133">
        <v>74.789</v>
      </c>
      <c r="G133">
        <v>36.564</v>
      </c>
      <c r="L133" s="57"/>
      <c r="M133" s="59"/>
      <c r="N133" s="58"/>
      <c r="Q133" s="60">
        <v>0</v>
      </c>
      <c r="R133" s="60">
        <v>0</v>
      </c>
      <c r="S133" s="60">
        <v>0</v>
      </c>
      <c r="T133" s="60">
        <v>0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1">
        <v>352.543591630879</v>
      </c>
    </row>
    <row r="134" spans="1:26">
      <c r="A134">
        <v>130</v>
      </c>
      <c r="B134" t="s">
        <v>157</v>
      </c>
      <c r="C134">
        <v>0</v>
      </c>
      <c r="D134">
        <v>1</v>
      </c>
      <c r="E134">
        <v>0</v>
      </c>
      <c r="F134">
        <v>227.93</v>
      </c>
      <c r="G134">
        <v>111.43</v>
      </c>
      <c r="L134" s="57"/>
      <c r="M134" s="59"/>
      <c r="N134" s="58"/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0">
        <v>0</v>
      </c>
      <c r="Z134" s="61">
        <v>371.577760906112</v>
      </c>
    </row>
    <row r="135" spans="1:26">
      <c r="A135">
        <v>131</v>
      </c>
      <c r="B135" t="s">
        <v>158</v>
      </c>
      <c r="C135">
        <v>0</v>
      </c>
      <c r="D135">
        <v>1</v>
      </c>
      <c r="E135">
        <v>0</v>
      </c>
      <c r="F135">
        <v>35.614</v>
      </c>
      <c r="G135">
        <v>17.411</v>
      </c>
      <c r="L135" s="57"/>
      <c r="M135" s="59"/>
      <c r="N135" s="58"/>
      <c r="Q135" s="60">
        <v>0</v>
      </c>
      <c r="R135" s="60">
        <v>0</v>
      </c>
      <c r="S135" s="60">
        <v>0</v>
      </c>
      <c r="T135" s="60">
        <v>0</v>
      </c>
      <c r="U135" s="60">
        <v>0</v>
      </c>
      <c r="V135" s="60">
        <v>0</v>
      </c>
      <c r="W135" s="60">
        <v>0</v>
      </c>
      <c r="X135" s="60">
        <v>0</v>
      </c>
      <c r="Y135" s="60">
        <v>0</v>
      </c>
      <c r="Z135" s="61">
        <v>277.489168257069</v>
      </c>
    </row>
    <row r="136" spans="1:26">
      <c r="A136">
        <v>132</v>
      </c>
      <c r="B136" t="s">
        <v>159</v>
      </c>
      <c r="C136">
        <v>0</v>
      </c>
      <c r="D136">
        <v>1</v>
      </c>
      <c r="E136">
        <v>0</v>
      </c>
      <c r="F136">
        <v>249.29</v>
      </c>
      <c r="G136">
        <v>121.88</v>
      </c>
      <c r="L136" s="57"/>
      <c r="M136" s="59"/>
      <c r="N136" s="58"/>
      <c r="Q136" s="60">
        <v>0</v>
      </c>
      <c r="R136" s="60">
        <v>0</v>
      </c>
      <c r="S136" s="60">
        <v>0</v>
      </c>
      <c r="T136" s="60">
        <v>0</v>
      </c>
      <c r="U136" s="60">
        <v>0</v>
      </c>
      <c r="V136" s="60">
        <v>0</v>
      </c>
      <c r="W136" s="60">
        <v>0</v>
      </c>
      <c r="X136" s="60">
        <v>0</v>
      </c>
      <c r="Y136" s="60">
        <v>0</v>
      </c>
      <c r="Z136" s="61">
        <v>317</v>
      </c>
    </row>
    <row r="137" spans="1:26">
      <c r="A137">
        <v>133</v>
      </c>
      <c r="B137" t="s">
        <v>160</v>
      </c>
      <c r="C137">
        <v>0</v>
      </c>
      <c r="D137">
        <v>1</v>
      </c>
      <c r="E137">
        <v>0</v>
      </c>
      <c r="F137">
        <v>316.72</v>
      </c>
      <c r="G137">
        <v>154.84</v>
      </c>
    </row>
    <row r="138" spans="1:26">
      <c r="A138">
        <v>134</v>
      </c>
      <c r="B138" t="s">
        <v>161</v>
      </c>
      <c r="C138">
        <v>0</v>
      </c>
      <c r="D138">
        <v>1</v>
      </c>
      <c r="E138">
        <v>0</v>
      </c>
      <c r="F138">
        <v>333.82</v>
      </c>
      <c r="G138">
        <v>163.2</v>
      </c>
    </row>
    <row r="139" spans="1:26">
      <c r="A139">
        <v>135</v>
      </c>
      <c r="B139" t="s">
        <v>162</v>
      </c>
      <c r="C139">
        <v>0</v>
      </c>
      <c r="D139">
        <v>1</v>
      </c>
      <c r="E139">
        <v>0</v>
      </c>
      <c r="F139">
        <v>249.29</v>
      </c>
      <c r="G139">
        <v>121.88</v>
      </c>
    </row>
    <row r="140" spans="1:26">
      <c r="A140">
        <v>136</v>
      </c>
      <c r="B140" t="s">
        <v>163</v>
      </c>
      <c r="C140">
        <v>0</v>
      </c>
      <c r="D140">
        <v>1</v>
      </c>
      <c r="E140">
        <v>0</v>
      </c>
      <c r="F140">
        <v>0</v>
      </c>
      <c r="G140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7"/>
  <sheetViews>
    <sheetView topLeftCell="A22" workbookViewId="0">
      <selection activeCell="B42" sqref="B42"/>
    </sheetView>
  </sheetViews>
  <sheetFormatPr defaultColWidth="11" defaultRowHeight="13.5"/>
  <cols>
    <col min="2" max="2" width="30.425" style="2" customWidth="1"/>
  </cols>
  <sheetData>
    <row r="1" spans="1:25">
      <c r="A1" s="8" t="s">
        <v>4</v>
      </c>
      <c r="B1" s="55" t="s">
        <v>164</v>
      </c>
    </row>
    <row r="2" spans="1:25">
      <c r="A2" s="8"/>
      <c r="B2" s="55"/>
    </row>
    <row r="3" spans="1:25">
      <c r="A3" s="19">
        <v>1</v>
      </c>
      <c r="B3" s="56">
        <v>177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>
      <c r="A4" s="19">
        <v>2</v>
      </c>
      <c r="B4" s="56">
        <v>65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5">
      <c r="A5" s="19">
        <v>3</v>
      </c>
      <c r="B5" s="56">
        <v>107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5">
      <c r="A6" s="19">
        <v>4</v>
      </c>
      <c r="B6" s="56">
        <v>116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5">
      <c r="A7" s="19">
        <v>5</v>
      </c>
      <c r="B7" s="56">
        <v>52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5">
      <c r="A8" s="19">
        <v>6</v>
      </c>
      <c r="B8" s="56">
        <v>107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5">
      <c r="A9" s="19">
        <v>7</v>
      </c>
      <c r="B9" s="56">
        <v>99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5">
      <c r="A10" s="19">
        <v>8</v>
      </c>
      <c r="B10" s="56">
        <v>107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5">
      <c r="A11" s="19">
        <v>9</v>
      </c>
      <c r="B11" s="56">
        <v>58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5">
      <c r="A12" s="19">
        <v>10</v>
      </c>
      <c r="B12" s="56">
        <v>81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5">
      <c r="A13" s="19">
        <v>11</v>
      </c>
      <c r="B13" s="56">
        <v>100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5">
      <c r="A14" s="19">
        <v>12</v>
      </c>
      <c r="B14" s="56">
        <v>160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5">
      <c r="A15" s="19">
        <v>13</v>
      </c>
      <c r="B15" s="56">
        <v>212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5">
      <c r="A16" s="19">
        <v>14</v>
      </c>
      <c r="B16" s="56">
        <v>209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19">
        <v>15</v>
      </c>
      <c r="B17" s="56">
        <v>23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19">
        <v>16</v>
      </c>
      <c r="B18" s="56">
        <v>38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19">
        <v>17</v>
      </c>
      <c r="B19" s="56">
        <v>190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9">
        <v>18</v>
      </c>
      <c r="B20" s="56">
        <v>149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9">
        <v>19</v>
      </c>
      <c r="B21" s="56">
        <v>28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>
      <c r="A22" s="19">
        <v>20</v>
      </c>
      <c r="B22" s="56">
        <v>105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>
      <c r="A23" s="19">
        <v>21</v>
      </c>
      <c r="B23" s="56">
        <v>23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>
      <c r="A24" s="19">
        <v>22</v>
      </c>
      <c r="B24" s="56">
        <v>119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19">
        <v>23</v>
      </c>
      <c r="B25" s="56">
        <v>120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>
      <c r="A26" s="19">
        <v>24</v>
      </c>
      <c r="B26" s="56">
        <v>116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>
      <c r="A27" s="19">
        <v>25</v>
      </c>
      <c r="B27" s="56">
        <v>133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19">
        <v>26</v>
      </c>
      <c r="B28" s="56">
        <v>93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19">
        <v>27</v>
      </c>
      <c r="B29" s="56">
        <v>90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>
      <c r="A30" s="19">
        <v>28</v>
      </c>
      <c r="B30" s="56">
        <v>186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>
      <c r="A31" s="19">
        <v>29</v>
      </c>
      <c r="B31" s="56">
        <v>99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9">
        <v>30</v>
      </c>
      <c r="B32" s="56">
        <v>129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>
      <c r="A33" s="19">
        <v>31</v>
      </c>
      <c r="B33" s="56">
        <v>61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>
      <c r="A34" s="19">
        <v>32</v>
      </c>
      <c r="B34" s="56">
        <v>87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>
      <c r="A35" s="19">
        <v>33</v>
      </c>
      <c r="B35" s="56">
        <v>62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>
      <c r="A36" s="19">
        <v>34</v>
      </c>
      <c r="B36" s="56">
        <v>103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9">
        <v>35</v>
      </c>
      <c r="B37" s="56">
        <v>194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>
      <c r="A38" s="19">
        <v>36</v>
      </c>
      <c r="B38" s="56">
        <v>178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>
      <c r="A39" s="19">
        <v>37</v>
      </c>
      <c r="B39" s="56">
        <v>142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>
      <c r="A40" s="19">
        <v>38</v>
      </c>
      <c r="B40" s="56">
        <v>133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19">
        <v>39</v>
      </c>
      <c r="B41" s="56">
        <v>62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>
      <c r="A42" s="19">
        <v>40</v>
      </c>
      <c r="B42" s="56">
        <v>142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>
      <c r="A43" s="19">
        <v>41</v>
      </c>
      <c r="B43" s="56">
        <v>20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>
      <c r="A44" s="19">
        <v>42</v>
      </c>
      <c r="B44" s="56">
        <v>77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9">
        <v>43</v>
      </c>
      <c r="B45" s="56">
        <v>209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9">
        <v>44</v>
      </c>
      <c r="B46" s="56">
        <v>216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9">
        <v>45</v>
      </c>
      <c r="B47" s="56">
        <v>135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9">
        <v>46</v>
      </c>
      <c r="B48" s="56">
        <v>152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9">
        <v>47</v>
      </c>
      <c r="B49" s="56">
        <v>25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9">
        <v>48</v>
      </c>
      <c r="B50" s="56">
        <v>126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9">
        <v>49</v>
      </c>
      <c r="B51" s="56">
        <v>147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>
      <c r="A52" s="19">
        <v>50</v>
      </c>
      <c r="B52" s="56">
        <v>178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9">
        <v>51</v>
      </c>
      <c r="B53" s="56">
        <v>103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9">
        <v>52</v>
      </c>
      <c r="B54" s="56">
        <v>216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>
      <c r="A55" s="19">
        <v>53</v>
      </c>
      <c r="B55" s="56">
        <v>155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>
      <c r="A56" s="19">
        <v>54</v>
      </c>
      <c r="B56" s="56">
        <v>20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>
      <c r="A57" s="19">
        <v>55</v>
      </c>
      <c r="B57" s="56">
        <v>203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>
      <c r="A58" s="19">
        <v>56</v>
      </c>
      <c r="B58" s="56">
        <v>78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>
      <c r="A59" s="19">
        <v>57</v>
      </c>
      <c r="B59" s="56">
        <v>190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>
      <c r="A60" s="19">
        <v>58</v>
      </c>
      <c r="B60" s="56">
        <v>120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>
      <c r="A61" s="19">
        <v>59</v>
      </c>
      <c r="B61" s="56">
        <v>145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>
      <c r="A62" s="19">
        <v>60</v>
      </c>
      <c r="B62" s="56">
        <v>109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19">
        <v>61</v>
      </c>
      <c r="B63" s="56">
        <v>119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19">
        <v>62</v>
      </c>
      <c r="B64" s="56">
        <v>125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>
      <c r="A65" s="19">
        <v>63</v>
      </c>
      <c r="B65" s="56">
        <v>181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>
      <c r="A66" s="19">
        <v>64</v>
      </c>
      <c r="B66" s="56">
        <v>74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9">
        <v>65</v>
      </c>
      <c r="B67" s="56">
        <v>147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>
      <c r="A68" s="19">
        <v>66</v>
      </c>
      <c r="B68" s="56">
        <v>133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>
      <c r="A69" s="19">
        <v>67</v>
      </c>
      <c r="B69" s="56">
        <v>111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>
      <c r="A70" s="19">
        <v>68</v>
      </c>
      <c r="B70" s="56">
        <v>95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>
      <c r="A71" s="19">
        <v>69</v>
      </c>
      <c r="B71" s="56">
        <v>86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>
      <c r="A72" s="19">
        <v>70</v>
      </c>
      <c r="B72" s="56">
        <v>21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>
      <c r="A73" s="19">
        <v>71</v>
      </c>
      <c r="B73" s="56">
        <v>178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>
      <c r="A74" s="19">
        <v>72</v>
      </c>
      <c r="B74" s="56">
        <v>98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>
      <c r="A75" s="19">
        <v>73</v>
      </c>
      <c r="B75" s="56">
        <v>176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9">
        <v>74</v>
      </c>
      <c r="B76" s="56">
        <v>130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>
      <c r="A77" s="19">
        <v>75</v>
      </c>
      <c r="B77" s="56">
        <v>41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>
      <c r="A78" s="19">
        <v>76</v>
      </c>
      <c r="B78" s="56">
        <v>15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>
      <c r="A79" s="19">
        <v>77</v>
      </c>
      <c r="B79" s="56">
        <v>81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>
      <c r="A80" s="19">
        <v>78</v>
      </c>
      <c r="B80" s="56">
        <v>69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>
      <c r="A81" s="19">
        <v>79</v>
      </c>
      <c r="B81" s="56">
        <v>64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>
      <c r="A82" s="19">
        <v>80</v>
      </c>
      <c r="B82" s="56">
        <v>88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>
      <c r="A83" s="19">
        <v>81</v>
      </c>
      <c r="B83" s="56">
        <v>16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>
      <c r="A84" s="19">
        <v>82</v>
      </c>
      <c r="B84" s="56">
        <v>96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>
      <c r="A85" s="19">
        <v>83</v>
      </c>
      <c r="B85" s="56">
        <v>108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4:24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4:24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4:24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4:24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4:24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4:24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4:24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4:24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4:24"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4:24"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4:24"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4:24"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4:24"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4:24"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4:24"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4:24"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4:24"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4:24"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4:24"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4:24"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4:24"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4:24"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4:24"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4:24"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4:24"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4:24"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4:24"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4:24"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4:24"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4:24"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4:24"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4:24"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4:24"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4:24"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4:24"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4:24"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4:24"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4:24"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4:24"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4:24"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4:24"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</sheetData>
  <mergeCells count="2">
    <mergeCell ref="A1:A2"/>
    <mergeCell ref="B1:B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topLeftCell="D1" workbookViewId="0">
      <selection activeCell="R7" sqref="R7:S9"/>
    </sheetView>
  </sheetViews>
  <sheetFormatPr defaultColWidth="11" defaultRowHeight="13.5"/>
  <cols>
    <col min="3" max="3" width="12.425" customWidth="1"/>
    <col min="13" max="13" width="13.2833333333333" customWidth="1"/>
    <col min="14" max="14" width="13" customWidth="1"/>
    <col min="17" max="17" width="12.7083333333333" customWidth="1"/>
    <col min="18" max="18" width="13" customWidth="1"/>
  </cols>
  <sheetData>
    <row r="1" spans="1:19">
      <c r="A1" t="s">
        <v>165</v>
      </c>
      <c r="B1" t="s">
        <v>166</v>
      </c>
      <c r="C1" t="s">
        <v>167</v>
      </c>
      <c r="D1" s="2" t="s">
        <v>168</v>
      </c>
      <c r="E1" s="2"/>
      <c r="F1" s="2"/>
      <c r="G1" s="2" t="s">
        <v>169</v>
      </c>
      <c r="H1" s="2"/>
      <c r="I1" s="2"/>
      <c r="J1" s="2"/>
      <c r="K1" s="22" t="s">
        <v>170</v>
      </c>
      <c r="L1" s="26" t="s">
        <v>171</v>
      </c>
      <c r="M1" s="26"/>
      <c r="N1" s="26"/>
      <c r="O1" s="26"/>
      <c r="P1" s="27" t="s">
        <v>172</v>
      </c>
      <c r="Q1" s="27"/>
      <c r="R1" s="27"/>
      <c r="S1" s="27"/>
    </row>
    <row r="2" ht="39" customHeight="1" spans="1:19">
      <c r="D2" t="s">
        <v>173</v>
      </c>
      <c r="E2">
        <v>1</v>
      </c>
      <c r="F2">
        <v>2</v>
      </c>
      <c r="G2" t="s">
        <v>173</v>
      </c>
      <c r="H2">
        <v>1</v>
      </c>
      <c r="I2">
        <v>2</v>
      </c>
      <c r="K2" s="22"/>
      <c r="L2" s="28" t="s">
        <v>174</v>
      </c>
      <c r="M2" s="28" t="s">
        <v>175</v>
      </c>
      <c r="N2" s="28" t="s">
        <v>176</v>
      </c>
      <c r="O2" s="28" t="s">
        <v>177</v>
      </c>
      <c r="P2" s="29" t="s">
        <v>174</v>
      </c>
      <c r="Q2" s="29" t="s">
        <v>175</v>
      </c>
      <c r="R2" s="29" t="s">
        <v>176</v>
      </c>
      <c r="S2" s="29" t="s">
        <v>177</v>
      </c>
    </row>
    <row r="3" spans="1:19">
      <c r="A3" s="49">
        <v>201</v>
      </c>
      <c r="B3" s="49">
        <v>1</v>
      </c>
      <c r="C3" s="49">
        <v>0.83536</v>
      </c>
      <c r="D3" s="35">
        <f>G3*$S$9</f>
        <v>0.00263232514177694</v>
      </c>
      <c r="E3" s="35">
        <f t="shared" ref="E3:F3" si="0">H3*$S$9</f>
        <v>0</v>
      </c>
      <c r="F3" s="35">
        <f t="shared" si="0"/>
        <v>0</v>
      </c>
      <c r="G3" s="35">
        <f>$M$3/($S$7^2/$S$8)</f>
        <v>0.00292480571308549</v>
      </c>
      <c r="H3" s="53">
        <v>0</v>
      </c>
      <c r="I3" s="53">
        <v>0</v>
      </c>
      <c r="J3" s="53"/>
      <c r="K3" s="22" t="s">
        <v>178</v>
      </c>
      <c r="L3" s="30">
        <v>6.28</v>
      </c>
      <c r="M3" s="31">
        <v>0.557</v>
      </c>
      <c r="N3" s="31"/>
      <c r="O3" s="31" t="s">
        <v>179</v>
      </c>
      <c r="P3" s="31" t="s">
        <v>179</v>
      </c>
      <c r="Q3" s="31" t="s">
        <v>179</v>
      </c>
      <c r="R3" s="31"/>
      <c r="S3" s="31" t="s">
        <v>179</v>
      </c>
    </row>
    <row r="4" spans="1:19">
      <c r="A4" s="49">
        <v>202</v>
      </c>
      <c r="B4" s="49">
        <v>60</v>
      </c>
      <c r="C4" s="49">
        <v>0.00472</v>
      </c>
      <c r="D4" s="35">
        <f t="shared" ref="D4:D67" si="1">G4*$S$9</f>
        <v>0.00263232514177694</v>
      </c>
      <c r="E4" s="35">
        <f t="shared" ref="E4:E67" si="2">H4*$S$9</f>
        <v>0</v>
      </c>
      <c r="F4" s="35">
        <f t="shared" ref="F4:F67" si="3">I4*$S$9</f>
        <v>0</v>
      </c>
      <c r="G4" s="35">
        <f>$M$3/($S$7^2/$S$8)</f>
        <v>0.00292480571308549</v>
      </c>
      <c r="H4" s="53">
        <v>0</v>
      </c>
      <c r="I4" s="53">
        <v>0</v>
      </c>
      <c r="J4" s="53"/>
      <c r="K4" s="22" t="s">
        <v>180</v>
      </c>
      <c r="L4" s="30">
        <v>9</v>
      </c>
      <c r="M4" s="31">
        <v>0.478</v>
      </c>
      <c r="N4" s="31"/>
      <c r="O4" s="31">
        <v>29870</v>
      </c>
      <c r="P4" s="31">
        <v>12</v>
      </c>
      <c r="Q4" s="31">
        <v>0.423</v>
      </c>
      <c r="R4" s="31"/>
      <c r="S4" s="31">
        <v>39310</v>
      </c>
    </row>
    <row r="5" spans="1:19">
      <c r="A5" s="49">
        <v>202</v>
      </c>
      <c r="B5" s="49">
        <v>66</v>
      </c>
      <c r="C5" s="49">
        <v>0.56169</v>
      </c>
      <c r="D5" s="35">
        <f t="shared" si="1"/>
        <v>0.00263232514177694</v>
      </c>
      <c r="E5" s="35">
        <f t="shared" si="2"/>
        <v>0</v>
      </c>
      <c r="F5" s="35">
        <f t="shared" si="3"/>
        <v>0</v>
      </c>
      <c r="G5" s="35">
        <f t="shared" ref="G5:G67" si="4">$M$3/($S$7^2/$S$8)</f>
        <v>0.00292480571308549</v>
      </c>
      <c r="H5" s="53">
        <v>0</v>
      </c>
      <c r="I5" s="53">
        <v>0</v>
      </c>
      <c r="J5" s="53"/>
      <c r="K5" s="22" t="s">
        <v>181</v>
      </c>
      <c r="L5" s="30">
        <v>6.28</v>
      </c>
      <c r="M5" s="31">
        <v>0.557</v>
      </c>
      <c r="N5" s="31"/>
      <c r="O5" s="31">
        <v>25030</v>
      </c>
      <c r="P5" s="30">
        <v>9</v>
      </c>
      <c r="Q5" s="31">
        <v>0.478</v>
      </c>
      <c r="R5" s="31"/>
      <c r="S5" s="31">
        <v>34920</v>
      </c>
    </row>
    <row r="6" spans="1:19">
      <c r="A6" s="49">
        <v>202</v>
      </c>
      <c r="B6" s="49">
        <v>74</v>
      </c>
      <c r="C6" s="49">
        <v>0.25014</v>
      </c>
      <c r="D6" s="35">
        <f t="shared" si="1"/>
        <v>0.00263232514177694</v>
      </c>
      <c r="E6" s="35">
        <f t="shared" si="2"/>
        <v>0</v>
      </c>
      <c r="F6" s="35">
        <f t="shared" si="3"/>
        <v>0</v>
      </c>
      <c r="G6" s="35">
        <f t="shared" si="4"/>
        <v>0.00292480571308549</v>
      </c>
      <c r="H6" s="53">
        <v>0</v>
      </c>
      <c r="I6" s="53">
        <v>0</v>
      </c>
      <c r="J6" s="53"/>
    </row>
    <row r="7" spans="1:19">
      <c r="A7" s="49">
        <v>202</v>
      </c>
      <c r="B7" s="49">
        <v>95</v>
      </c>
      <c r="C7" s="49">
        <v>0.39173</v>
      </c>
      <c r="D7" s="35">
        <f t="shared" si="1"/>
        <v>0.00263232514177694</v>
      </c>
      <c r="E7" s="35">
        <f t="shared" si="2"/>
        <v>0</v>
      </c>
      <c r="F7" s="35">
        <f t="shared" si="3"/>
        <v>0</v>
      </c>
      <c r="G7" s="35">
        <f t="shared" si="4"/>
        <v>0.00292480571308549</v>
      </c>
      <c r="H7" s="53">
        <v>0</v>
      </c>
      <c r="I7" s="53">
        <v>0</v>
      </c>
      <c r="J7" s="53"/>
      <c r="R7" s="34" t="s">
        <v>182</v>
      </c>
      <c r="S7" s="35">
        <v>13800</v>
      </c>
    </row>
    <row r="8" spans="1:19">
      <c r="A8" s="49">
        <v>1</v>
      </c>
      <c r="B8" s="49">
        <v>2</v>
      </c>
      <c r="C8" s="49">
        <v>0.4106</v>
      </c>
      <c r="D8" s="35">
        <f t="shared" si="1"/>
        <v>0.00263232514177694</v>
      </c>
      <c r="E8" s="35">
        <f t="shared" si="2"/>
        <v>0</v>
      </c>
      <c r="F8" s="35">
        <f t="shared" si="3"/>
        <v>0</v>
      </c>
      <c r="G8" s="35">
        <f t="shared" si="4"/>
        <v>0.00292480571308549</v>
      </c>
      <c r="H8" s="53">
        <v>0</v>
      </c>
      <c r="I8" s="53">
        <v>0</v>
      </c>
      <c r="J8" s="53"/>
      <c r="R8" s="34" t="s">
        <v>183</v>
      </c>
      <c r="S8" s="35">
        <v>1000000</v>
      </c>
    </row>
    <row r="9" spans="1:19">
      <c r="A9" s="49">
        <v>2</v>
      </c>
      <c r="B9" s="49">
        <v>3</v>
      </c>
      <c r="C9" s="49">
        <v>0.28789</v>
      </c>
      <c r="D9" s="35">
        <f t="shared" si="1"/>
        <v>0.00263232514177694</v>
      </c>
      <c r="E9" s="35">
        <f t="shared" si="2"/>
        <v>0</v>
      </c>
      <c r="F9" s="35">
        <f t="shared" si="3"/>
        <v>0</v>
      </c>
      <c r="G9" s="35">
        <f t="shared" si="4"/>
        <v>0.00292480571308549</v>
      </c>
      <c r="H9" s="53">
        <v>0</v>
      </c>
      <c r="I9" s="53">
        <v>0</v>
      </c>
      <c r="J9" s="53"/>
      <c r="R9" s="34" t="s">
        <v>184</v>
      </c>
      <c r="S9">
        <v>0.9</v>
      </c>
    </row>
    <row r="10" spans="1:19">
      <c r="A10" s="49">
        <v>3</v>
      </c>
      <c r="B10" s="49">
        <v>4</v>
      </c>
      <c r="C10" s="49">
        <v>0.08019</v>
      </c>
      <c r="D10" s="35">
        <f t="shared" si="1"/>
        <v>0.00263232514177694</v>
      </c>
      <c r="E10" s="35">
        <f t="shared" si="2"/>
        <v>0</v>
      </c>
      <c r="F10" s="35">
        <f t="shared" si="3"/>
        <v>0</v>
      </c>
      <c r="G10" s="35">
        <f t="shared" si="4"/>
        <v>0.00292480571308549</v>
      </c>
      <c r="H10" s="53">
        <v>0</v>
      </c>
      <c r="I10" s="53">
        <v>0</v>
      </c>
      <c r="J10" s="53"/>
    </row>
    <row r="11" spans="1:19">
      <c r="A11" s="49">
        <v>4</v>
      </c>
      <c r="B11" s="49">
        <v>5</v>
      </c>
      <c r="C11" s="49">
        <v>0.58895</v>
      </c>
      <c r="D11" s="35">
        <f t="shared" si="1"/>
        <v>0.00263232514177694</v>
      </c>
      <c r="E11" s="35">
        <f t="shared" si="2"/>
        <v>0</v>
      </c>
      <c r="F11" s="35">
        <f t="shared" si="3"/>
        <v>0</v>
      </c>
      <c r="G11" s="35">
        <f t="shared" si="4"/>
        <v>0.00292480571308549</v>
      </c>
      <c r="H11" s="53">
        <v>0</v>
      </c>
      <c r="I11" s="53">
        <v>0</v>
      </c>
      <c r="J11" s="53"/>
    </row>
    <row r="12" spans="1:19">
      <c r="A12" s="49">
        <v>5</v>
      </c>
      <c r="B12" s="49">
        <v>6</v>
      </c>
      <c r="C12" s="49">
        <v>0.1537</v>
      </c>
      <c r="D12" s="35">
        <f t="shared" si="1"/>
        <v>0.00263232514177694</v>
      </c>
      <c r="E12" s="35">
        <f t="shared" si="2"/>
        <v>0</v>
      </c>
      <c r="F12" s="35">
        <f t="shared" si="3"/>
        <v>0</v>
      </c>
      <c r="G12" s="35">
        <f t="shared" si="4"/>
        <v>0.00292480571308549</v>
      </c>
      <c r="H12" s="53">
        <v>0</v>
      </c>
      <c r="I12" s="53">
        <v>0</v>
      </c>
      <c r="J12" s="53"/>
    </row>
    <row r="13" spans="1:19">
      <c r="A13" s="49">
        <v>6</v>
      </c>
      <c r="B13" s="49">
        <v>7</v>
      </c>
      <c r="C13" s="49">
        <v>0.44974</v>
      </c>
      <c r="D13" s="35">
        <f t="shared" si="1"/>
        <v>0.00263232514177694</v>
      </c>
      <c r="E13" s="35">
        <f t="shared" si="2"/>
        <v>0</v>
      </c>
      <c r="F13" s="35">
        <f t="shared" si="3"/>
        <v>0</v>
      </c>
      <c r="G13" s="35">
        <f t="shared" si="4"/>
        <v>0.00292480571308549</v>
      </c>
      <c r="H13" s="53">
        <v>0</v>
      </c>
      <c r="I13" s="53">
        <v>0</v>
      </c>
      <c r="J13" s="53"/>
    </row>
    <row r="14" spans="1:19">
      <c r="A14" s="49">
        <v>6</v>
      </c>
      <c r="B14" s="49">
        <v>8</v>
      </c>
      <c r="C14" s="49">
        <v>0.96991</v>
      </c>
      <c r="D14" s="35">
        <f t="shared" si="1"/>
        <v>0.00263232514177694</v>
      </c>
      <c r="E14" s="35">
        <f t="shared" si="2"/>
        <v>0</v>
      </c>
      <c r="F14" s="35">
        <f t="shared" si="3"/>
        <v>0</v>
      </c>
      <c r="G14" s="35">
        <f t="shared" si="4"/>
        <v>0.00292480571308549</v>
      </c>
      <c r="H14" s="53">
        <v>0</v>
      </c>
      <c r="I14" s="53">
        <v>0</v>
      </c>
      <c r="J14" s="53"/>
    </row>
    <row r="15" spans="1:19">
      <c r="A15" s="49">
        <v>8</v>
      </c>
      <c r="B15" s="49">
        <v>9</v>
      </c>
      <c r="C15" s="49">
        <v>0.16708</v>
      </c>
      <c r="D15" s="35">
        <f t="shared" si="1"/>
        <v>0.00263232514177694</v>
      </c>
      <c r="E15" s="35">
        <f t="shared" si="2"/>
        <v>0</v>
      </c>
      <c r="F15" s="35">
        <f t="shared" si="3"/>
        <v>0</v>
      </c>
      <c r="G15" s="35">
        <f t="shared" si="4"/>
        <v>0.00292480571308549</v>
      </c>
      <c r="H15" s="53">
        <v>0</v>
      </c>
      <c r="I15" s="53">
        <v>0</v>
      </c>
      <c r="J15" s="53"/>
    </row>
    <row r="16" spans="1:19">
      <c r="A16" s="49">
        <v>8</v>
      </c>
      <c r="B16" s="49">
        <v>10</v>
      </c>
      <c r="C16" s="49">
        <v>0.56753</v>
      </c>
      <c r="D16" s="35">
        <f t="shared" si="1"/>
        <v>0.00263232514177694</v>
      </c>
      <c r="E16" s="35">
        <f t="shared" si="2"/>
        <v>0</v>
      </c>
      <c r="F16" s="35">
        <f t="shared" si="3"/>
        <v>0</v>
      </c>
      <c r="G16" s="35">
        <f t="shared" si="4"/>
        <v>0.00292480571308549</v>
      </c>
      <c r="H16" s="53">
        <v>0</v>
      </c>
      <c r="I16" s="53">
        <v>0</v>
      </c>
      <c r="J16" s="53"/>
    </row>
    <row r="17" spans="1:10">
      <c r="A17" s="49">
        <v>10</v>
      </c>
      <c r="B17" s="49">
        <v>11</v>
      </c>
      <c r="C17" s="49">
        <v>0.08019</v>
      </c>
      <c r="D17" s="35">
        <f t="shared" si="1"/>
        <v>0.00263232514177694</v>
      </c>
      <c r="E17" s="35">
        <f t="shared" si="2"/>
        <v>0</v>
      </c>
      <c r="F17" s="35">
        <f t="shared" si="3"/>
        <v>0</v>
      </c>
      <c r="G17" s="35">
        <f t="shared" si="4"/>
        <v>0.00292480571308549</v>
      </c>
      <c r="H17" s="53">
        <v>0</v>
      </c>
      <c r="I17" s="53">
        <v>0</v>
      </c>
      <c r="J17" s="53"/>
    </row>
    <row r="18" spans="1:10">
      <c r="A18" s="49">
        <v>10</v>
      </c>
      <c r="B18" s="49">
        <v>12</v>
      </c>
      <c r="C18" s="49">
        <v>0.33196</v>
      </c>
      <c r="D18" s="35">
        <f t="shared" si="1"/>
        <v>0.00263232514177694</v>
      </c>
      <c r="E18" s="35">
        <f t="shared" si="2"/>
        <v>0</v>
      </c>
      <c r="F18" s="35">
        <f t="shared" si="3"/>
        <v>0</v>
      </c>
      <c r="G18" s="35">
        <f t="shared" si="4"/>
        <v>0.00292480571308549</v>
      </c>
      <c r="H18" s="53">
        <v>0</v>
      </c>
      <c r="I18" s="53">
        <v>0</v>
      </c>
      <c r="J18" s="53"/>
    </row>
    <row r="19" spans="1:10">
      <c r="A19" s="49">
        <v>10</v>
      </c>
      <c r="B19" s="49">
        <v>13</v>
      </c>
      <c r="C19" s="49">
        <v>0.83536</v>
      </c>
      <c r="D19" s="35">
        <f t="shared" si="1"/>
        <v>0.00263232514177694</v>
      </c>
      <c r="E19" s="35">
        <f t="shared" si="2"/>
        <v>0</v>
      </c>
      <c r="F19" s="35">
        <f t="shared" si="3"/>
        <v>0</v>
      </c>
      <c r="G19" s="35">
        <f t="shared" si="4"/>
        <v>0.00292480571308549</v>
      </c>
      <c r="H19" s="53">
        <v>0</v>
      </c>
      <c r="I19" s="53">
        <v>0</v>
      </c>
      <c r="J19" s="53"/>
    </row>
    <row r="20" spans="1:10">
      <c r="A20" s="49">
        <v>13</v>
      </c>
      <c r="B20" s="49">
        <v>14</v>
      </c>
      <c r="C20" s="49">
        <v>0.00472</v>
      </c>
      <c r="D20" s="35">
        <f t="shared" si="1"/>
        <v>0.00263232514177694</v>
      </c>
      <c r="E20" s="35">
        <f t="shared" si="2"/>
        <v>0</v>
      </c>
      <c r="F20" s="35">
        <f t="shared" si="3"/>
        <v>0</v>
      </c>
      <c r="G20" s="35">
        <f t="shared" si="4"/>
        <v>0.00292480571308549</v>
      </c>
      <c r="H20" s="53">
        <v>0</v>
      </c>
      <c r="I20" s="53">
        <v>0</v>
      </c>
      <c r="J20" s="53"/>
    </row>
    <row r="21" spans="1:10">
      <c r="A21" s="49">
        <v>13</v>
      </c>
      <c r="B21" s="49">
        <v>15</v>
      </c>
      <c r="C21" s="49">
        <v>0.56162</v>
      </c>
      <c r="D21" s="35">
        <f t="shared" si="1"/>
        <v>0.00263232514177694</v>
      </c>
      <c r="E21" s="35">
        <f t="shared" si="2"/>
        <v>0</v>
      </c>
      <c r="F21" s="35">
        <f t="shared" si="3"/>
        <v>0</v>
      </c>
      <c r="G21" s="35">
        <f t="shared" si="4"/>
        <v>0.00292480571308549</v>
      </c>
      <c r="H21" s="53">
        <v>0</v>
      </c>
      <c r="I21" s="53">
        <v>0</v>
      </c>
      <c r="J21" s="53"/>
    </row>
    <row r="22" spans="1:10">
      <c r="A22" s="49">
        <v>15</v>
      </c>
      <c r="B22" s="49">
        <v>16</v>
      </c>
      <c r="C22" s="49">
        <v>0.27374</v>
      </c>
      <c r="D22" s="35">
        <f t="shared" si="1"/>
        <v>0.00263232514177694</v>
      </c>
      <c r="E22" s="35">
        <f t="shared" si="2"/>
        <v>0</v>
      </c>
      <c r="F22" s="35">
        <f t="shared" si="3"/>
        <v>0</v>
      </c>
      <c r="G22" s="35">
        <f t="shared" si="4"/>
        <v>0.00292480571308549</v>
      </c>
      <c r="H22" s="53">
        <v>0</v>
      </c>
      <c r="I22" s="53">
        <v>0</v>
      </c>
      <c r="J22" s="53"/>
    </row>
    <row r="23" spans="1:10">
      <c r="A23" s="49">
        <v>20</v>
      </c>
      <c r="B23" s="49">
        <v>21</v>
      </c>
      <c r="C23" s="49">
        <v>0.80312</v>
      </c>
      <c r="D23" s="35">
        <f t="shared" si="1"/>
        <v>0.00263232514177694</v>
      </c>
      <c r="E23" s="35">
        <f t="shared" si="2"/>
        <v>0</v>
      </c>
      <c r="F23" s="35">
        <f t="shared" si="3"/>
        <v>0</v>
      </c>
      <c r="G23" s="35">
        <f t="shared" si="4"/>
        <v>0.00292480571308549</v>
      </c>
      <c r="H23" s="53">
        <v>0</v>
      </c>
      <c r="I23" s="53">
        <v>0</v>
      </c>
      <c r="J23" s="53"/>
    </row>
    <row r="24" spans="1:10">
      <c r="A24" s="49">
        <v>20</v>
      </c>
      <c r="B24" s="49">
        <v>22</v>
      </c>
      <c r="C24" s="49">
        <v>0.4578</v>
      </c>
      <c r="D24" s="35">
        <f t="shared" si="1"/>
        <v>0.00263232514177694</v>
      </c>
      <c r="E24" s="35">
        <f t="shared" si="2"/>
        <v>0</v>
      </c>
      <c r="F24" s="35">
        <f t="shared" si="3"/>
        <v>0</v>
      </c>
      <c r="G24" s="35">
        <f t="shared" si="4"/>
        <v>0.00292480571308549</v>
      </c>
      <c r="H24" s="53">
        <v>0</v>
      </c>
      <c r="I24" s="53">
        <v>0</v>
      </c>
      <c r="J24" s="53"/>
    </row>
    <row r="25" spans="1:10">
      <c r="A25" s="49">
        <v>22</v>
      </c>
      <c r="B25" s="49">
        <v>23</v>
      </c>
      <c r="C25" s="49">
        <v>0.34266</v>
      </c>
      <c r="D25" s="35">
        <f t="shared" si="1"/>
        <v>0.00263232514177694</v>
      </c>
      <c r="E25" s="35">
        <f t="shared" si="2"/>
        <v>0</v>
      </c>
      <c r="F25" s="35">
        <f t="shared" si="3"/>
        <v>0</v>
      </c>
      <c r="G25" s="35">
        <f t="shared" si="4"/>
        <v>0.00292480571308549</v>
      </c>
      <c r="H25" s="53">
        <v>0</v>
      </c>
      <c r="I25" s="53">
        <v>0</v>
      </c>
      <c r="J25" s="53"/>
    </row>
    <row r="26" spans="1:10">
      <c r="A26" s="49">
        <v>22</v>
      </c>
      <c r="B26" s="49">
        <v>24</v>
      </c>
      <c r="C26" s="49">
        <v>0.06135</v>
      </c>
      <c r="D26" s="35">
        <f t="shared" si="1"/>
        <v>0.00263232514177694</v>
      </c>
      <c r="E26" s="35">
        <f t="shared" si="2"/>
        <v>0</v>
      </c>
      <c r="F26" s="35">
        <f t="shared" si="3"/>
        <v>0</v>
      </c>
      <c r="G26" s="35">
        <f t="shared" si="4"/>
        <v>0.00292480571308549</v>
      </c>
      <c r="H26" s="53">
        <v>0</v>
      </c>
      <c r="I26" s="53">
        <v>0</v>
      </c>
      <c r="J26" s="53"/>
    </row>
    <row r="27" spans="1:10">
      <c r="A27" s="49">
        <v>24</v>
      </c>
      <c r="B27" s="49">
        <v>25</v>
      </c>
      <c r="C27" s="49">
        <v>0.11327</v>
      </c>
      <c r="D27" s="35">
        <f t="shared" si="1"/>
        <v>0.00263232514177694</v>
      </c>
      <c r="E27" s="35">
        <f t="shared" si="2"/>
        <v>0</v>
      </c>
      <c r="F27" s="35">
        <f t="shared" si="3"/>
        <v>0</v>
      </c>
      <c r="G27" s="35">
        <f t="shared" si="4"/>
        <v>0.00292480571308549</v>
      </c>
      <c r="H27" s="53">
        <v>0</v>
      </c>
      <c r="I27" s="53">
        <v>0</v>
      </c>
      <c r="J27" s="53"/>
    </row>
    <row r="28" spans="1:10">
      <c r="A28" s="49">
        <v>25</v>
      </c>
      <c r="B28" s="49">
        <v>26</v>
      </c>
      <c r="C28" s="49">
        <v>0.04719</v>
      </c>
      <c r="D28" s="35">
        <f t="shared" si="1"/>
        <v>0.00263232514177694</v>
      </c>
      <c r="E28" s="35">
        <f t="shared" si="2"/>
        <v>0</v>
      </c>
      <c r="F28" s="35">
        <f t="shared" si="3"/>
        <v>0</v>
      </c>
      <c r="G28" s="35">
        <f t="shared" si="4"/>
        <v>0.00292480571308549</v>
      </c>
      <c r="H28" s="53">
        <v>0</v>
      </c>
      <c r="I28" s="53">
        <v>0</v>
      </c>
      <c r="J28" s="53"/>
    </row>
    <row r="29" spans="1:10">
      <c r="A29" s="49">
        <v>26</v>
      </c>
      <c r="B29" s="49">
        <v>27</v>
      </c>
      <c r="C29" s="49">
        <v>0.16306</v>
      </c>
      <c r="D29" s="35">
        <f t="shared" si="1"/>
        <v>0.00263232514177694</v>
      </c>
      <c r="E29" s="35">
        <f t="shared" si="2"/>
        <v>0</v>
      </c>
      <c r="F29" s="35">
        <f t="shared" si="3"/>
        <v>0</v>
      </c>
      <c r="G29" s="35">
        <f t="shared" si="4"/>
        <v>0.00292480571308549</v>
      </c>
      <c r="H29" s="53">
        <v>0</v>
      </c>
      <c r="I29" s="53">
        <v>0</v>
      </c>
      <c r="J29" s="53"/>
    </row>
    <row r="30" spans="1:10">
      <c r="A30" s="49">
        <v>27</v>
      </c>
      <c r="B30" s="49">
        <v>28</v>
      </c>
      <c r="C30" s="49">
        <v>0.03341</v>
      </c>
      <c r="D30" s="35">
        <f t="shared" si="1"/>
        <v>0.00263232514177694</v>
      </c>
      <c r="E30" s="35">
        <f t="shared" si="2"/>
        <v>0</v>
      </c>
      <c r="F30" s="35">
        <f t="shared" si="3"/>
        <v>0</v>
      </c>
      <c r="G30" s="35">
        <f t="shared" si="4"/>
        <v>0.00292480571308549</v>
      </c>
      <c r="H30" s="53">
        <v>0</v>
      </c>
      <c r="I30" s="53">
        <v>0</v>
      </c>
      <c r="J30" s="53"/>
    </row>
    <row r="31" spans="1:10">
      <c r="A31" s="49">
        <v>28</v>
      </c>
      <c r="B31" s="49">
        <v>29</v>
      </c>
      <c r="C31" s="49">
        <v>0.21416</v>
      </c>
      <c r="D31" s="35">
        <f t="shared" si="1"/>
        <v>0.00263232514177694</v>
      </c>
      <c r="E31" s="35">
        <f t="shared" si="2"/>
        <v>0</v>
      </c>
      <c r="F31" s="35">
        <f t="shared" si="3"/>
        <v>0</v>
      </c>
      <c r="G31" s="35">
        <f t="shared" si="4"/>
        <v>0.00292480571308549</v>
      </c>
      <c r="H31" s="53">
        <v>0</v>
      </c>
      <c r="I31" s="53">
        <v>0</v>
      </c>
      <c r="J31" s="53"/>
    </row>
    <row r="32" spans="1:10">
      <c r="A32" s="49">
        <v>28</v>
      </c>
      <c r="B32" s="49">
        <v>31</v>
      </c>
      <c r="C32" s="49">
        <v>0.44974</v>
      </c>
      <c r="D32" s="35">
        <f t="shared" si="1"/>
        <v>0.00263232514177694</v>
      </c>
      <c r="E32" s="35">
        <f t="shared" si="2"/>
        <v>0</v>
      </c>
      <c r="F32" s="35">
        <f t="shared" si="3"/>
        <v>0</v>
      </c>
      <c r="G32" s="35">
        <f t="shared" si="4"/>
        <v>0.00292480571308549</v>
      </c>
      <c r="H32" s="53">
        <v>0</v>
      </c>
      <c r="I32" s="53">
        <v>0</v>
      </c>
      <c r="J32" s="53"/>
    </row>
    <row r="33" spans="1:10">
      <c r="A33" s="49">
        <v>29</v>
      </c>
      <c r="B33" s="49">
        <v>30</v>
      </c>
      <c r="C33" s="49">
        <v>0.08019</v>
      </c>
      <c r="D33" s="35">
        <f t="shared" si="1"/>
        <v>0.00263232514177694</v>
      </c>
      <c r="E33" s="35">
        <f t="shared" si="2"/>
        <v>0</v>
      </c>
      <c r="F33" s="35">
        <f t="shared" si="3"/>
        <v>0</v>
      </c>
      <c r="G33" s="35">
        <f t="shared" si="4"/>
        <v>0.00292480571308549</v>
      </c>
      <c r="H33" s="53">
        <v>0</v>
      </c>
      <c r="I33" s="53">
        <v>0</v>
      </c>
      <c r="J33" s="53"/>
    </row>
    <row r="34" spans="1:10">
      <c r="A34" s="49">
        <v>31</v>
      </c>
      <c r="B34" s="49">
        <v>32</v>
      </c>
      <c r="C34" s="49">
        <v>0.10708</v>
      </c>
      <c r="D34" s="35">
        <f t="shared" si="1"/>
        <v>0.00263232514177694</v>
      </c>
      <c r="E34" s="35">
        <f t="shared" si="2"/>
        <v>0</v>
      </c>
      <c r="F34" s="35">
        <f t="shared" si="3"/>
        <v>0</v>
      </c>
      <c r="G34" s="35">
        <f t="shared" si="4"/>
        <v>0.00292480571308549</v>
      </c>
      <c r="H34" s="53">
        <v>0</v>
      </c>
      <c r="I34" s="53">
        <v>0</v>
      </c>
      <c r="J34" s="53"/>
    </row>
    <row r="35" spans="1:10">
      <c r="A35" s="49">
        <v>32</v>
      </c>
      <c r="B35" s="49">
        <v>33</v>
      </c>
      <c r="C35" s="49">
        <v>0.47116</v>
      </c>
      <c r="D35" s="35">
        <f t="shared" si="1"/>
        <v>0.00263232514177694</v>
      </c>
      <c r="E35" s="35">
        <f t="shared" si="2"/>
        <v>0</v>
      </c>
      <c r="F35" s="35">
        <f t="shared" si="3"/>
        <v>0</v>
      </c>
      <c r="G35" s="35">
        <f t="shared" si="4"/>
        <v>0.00292480571308549</v>
      </c>
      <c r="H35" s="53">
        <v>0</v>
      </c>
      <c r="I35" s="53">
        <v>0</v>
      </c>
      <c r="J35" s="53"/>
    </row>
    <row r="36" spans="1:10">
      <c r="A36" s="49">
        <v>33</v>
      </c>
      <c r="B36" s="49">
        <v>34</v>
      </c>
      <c r="C36" s="49">
        <v>1.12849</v>
      </c>
      <c r="D36" s="35">
        <f t="shared" si="1"/>
        <v>0.00263232514177694</v>
      </c>
      <c r="E36" s="35">
        <f t="shared" si="2"/>
        <v>0</v>
      </c>
      <c r="F36" s="35">
        <f t="shared" si="3"/>
        <v>0</v>
      </c>
      <c r="G36" s="35">
        <f t="shared" si="4"/>
        <v>0.00292480571308549</v>
      </c>
      <c r="H36" s="53">
        <v>0</v>
      </c>
      <c r="I36" s="53">
        <v>0</v>
      </c>
      <c r="J36" s="53"/>
    </row>
    <row r="37" spans="1:10">
      <c r="A37" s="49">
        <v>36</v>
      </c>
      <c r="B37" s="49">
        <v>37</v>
      </c>
      <c r="C37" s="49">
        <v>0.10692</v>
      </c>
      <c r="D37" s="35">
        <f t="shared" si="1"/>
        <v>0.00263232514177694</v>
      </c>
      <c r="E37" s="35">
        <f t="shared" si="2"/>
        <v>0</v>
      </c>
      <c r="F37" s="35">
        <f t="shared" si="3"/>
        <v>0</v>
      </c>
      <c r="G37" s="35">
        <f t="shared" si="4"/>
        <v>0.00292480571308549</v>
      </c>
      <c r="H37" s="53">
        <v>0</v>
      </c>
      <c r="I37" s="53">
        <v>0</v>
      </c>
      <c r="J37" s="53"/>
    </row>
    <row r="38" spans="1:10">
      <c r="A38" s="49">
        <v>39</v>
      </c>
      <c r="B38" s="49">
        <v>40</v>
      </c>
      <c r="C38" s="49">
        <v>0.41762</v>
      </c>
      <c r="D38" s="35">
        <f t="shared" si="1"/>
        <v>0.00263232514177694</v>
      </c>
      <c r="E38" s="35">
        <f t="shared" si="2"/>
        <v>0</v>
      </c>
      <c r="F38" s="35">
        <f t="shared" si="3"/>
        <v>0</v>
      </c>
      <c r="G38" s="35">
        <f t="shared" si="4"/>
        <v>0.00292480571308549</v>
      </c>
      <c r="H38" s="53">
        <v>0</v>
      </c>
      <c r="I38" s="53">
        <v>0</v>
      </c>
      <c r="J38" s="53"/>
    </row>
    <row r="39" spans="1:10">
      <c r="A39" s="49">
        <v>39</v>
      </c>
      <c r="B39" s="49">
        <v>46</v>
      </c>
      <c r="C39" s="49">
        <v>0.29983</v>
      </c>
      <c r="D39" s="35">
        <f t="shared" si="1"/>
        <v>0.00263232514177694</v>
      </c>
      <c r="E39" s="35">
        <f t="shared" si="2"/>
        <v>0</v>
      </c>
      <c r="F39" s="35">
        <f t="shared" si="3"/>
        <v>0</v>
      </c>
      <c r="G39" s="35">
        <f t="shared" si="4"/>
        <v>0.00292480571308549</v>
      </c>
      <c r="H39" s="53">
        <v>0</v>
      </c>
      <c r="I39" s="53">
        <v>0</v>
      </c>
      <c r="J39" s="53"/>
    </row>
    <row r="40" spans="1:10">
      <c r="A40" s="49">
        <v>40</v>
      </c>
      <c r="B40" s="49">
        <v>41</v>
      </c>
      <c r="C40" s="49">
        <v>0.08015</v>
      </c>
      <c r="D40" s="35">
        <f t="shared" si="1"/>
        <v>0.00263232514177694</v>
      </c>
      <c r="E40" s="35">
        <f t="shared" si="2"/>
        <v>0</v>
      </c>
      <c r="F40" s="35">
        <f t="shared" si="3"/>
        <v>0</v>
      </c>
      <c r="G40" s="35">
        <f t="shared" si="4"/>
        <v>0.00292480571308549</v>
      </c>
      <c r="H40" s="53">
        <v>0</v>
      </c>
      <c r="I40" s="53">
        <v>0</v>
      </c>
      <c r="J40" s="53"/>
    </row>
    <row r="41" spans="1:10">
      <c r="A41" s="49">
        <v>41</v>
      </c>
      <c r="B41" s="49">
        <v>42</v>
      </c>
      <c r="C41" s="49">
        <v>0.83536</v>
      </c>
      <c r="D41" s="35">
        <f t="shared" si="1"/>
        <v>0.00263232514177694</v>
      </c>
      <c r="E41" s="35">
        <f t="shared" si="2"/>
        <v>0</v>
      </c>
      <c r="F41" s="35">
        <f t="shared" si="3"/>
        <v>0</v>
      </c>
      <c r="G41" s="35">
        <f t="shared" si="4"/>
        <v>0.00292480571308549</v>
      </c>
      <c r="H41" s="53">
        <v>0</v>
      </c>
      <c r="I41" s="53">
        <v>0</v>
      </c>
      <c r="J41" s="53"/>
    </row>
    <row r="42" spans="1:10">
      <c r="A42" s="49">
        <v>42</v>
      </c>
      <c r="B42" s="49">
        <v>43</v>
      </c>
      <c r="C42" s="49">
        <v>0.29733</v>
      </c>
      <c r="D42" s="35">
        <f t="shared" si="1"/>
        <v>0.00263232514177694</v>
      </c>
      <c r="E42" s="35">
        <f t="shared" si="2"/>
        <v>0</v>
      </c>
      <c r="F42" s="35">
        <f t="shared" si="3"/>
        <v>0</v>
      </c>
      <c r="G42" s="35">
        <f t="shared" si="4"/>
        <v>0.00292480571308549</v>
      </c>
      <c r="H42" s="53">
        <v>0</v>
      </c>
      <c r="I42" s="53">
        <v>0</v>
      </c>
      <c r="J42" s="53"/>
    </row>
    <row r="43" spans="1:10">
      <c r="A43" s="49">
        <v>42</v>
      </c>
      <c r="B43" s="49">
        <v>51</v>
      </c>
      <c r="C43" s="49">
        <v>3.1323</v>
      </c>
      <c r="D43" s="35">
        <f t="shared" si="1"/>
        <v>0.00263232514177694</v>
      </c>
      <c r="E43" s="35">
        <f t="shared" si="2"/>
        <v>0</v>
      </c>
      <c r="F43" s="35">
        <f t="shared" si="3"/>
        <v>0</v>
      </c>
      <c r="G43" s="35">
        <f t="shared" si="4"/>
        <v>0.00292480571308549</v>
      </c>
      <c r="H43" s="53">
        <v>0</v>
      </c>
      <c r="I43" s="53">
        <v>0</v>
      </c>
      <c r="J43" s="53"/>
    </row>
    <row r="44" spans="1:10">
      <c r="A44" s="49">
        <v>43</v>
      </c>
      <c r="B44" s="49">
        <v>44</v>
      </c>
      <c r="C44" s="49">
        <v>0.00472</v>
      </c>
      <c r="D44" s="35">
        <f t="shared" si="1"/>
        <v>0.00263232514177694</v>
      </c>
      <c r="E44" s="35">
        <f t="shared" si="2"/>
        <v>0</v>
      </c>
      <c r="F44" s="35">
        <f t="shared" si="3"/>
        <v>0</v>
      </c>
      <c r="G44" s="35">
        <f t="shared" si="4"/>
        <v>0.00292480571308549</v>
      </c>
      <c r="H44" s="53">
        <v>0</v>
      </c>
      <c r="I44" s="53">
        <v>0</v>
      </c>
      <c r="J44" s="53"/>
    </row>
    <row r="45" spans="1:10">
      <c r="A45" s="49">
        <v>43</v>
      </c>
      <c r="B45" s="49">
        <v>52</v>
      </c>
      <c r="C45" s="49">
        <v>0.17463</v>
      </c>
      <c r="D45" s="35">
        <f t="shared" si="1"/>
        <v>0.00263232514177694</v>
      </c>
      <c r="E45" s="35">
        <f t="shared" si="2"/>
        <v>0</v>
      </c>
      <c r="F45" s="35">
        <f t="shared" si="3"/>
        <v>0</v>
      </c>
      <c r="G45" s="35">
        <f t="shared" si="4"/>
        <v>0.00292480571308549</v>
      </c>
      <c r="H45" s="53">
        <v>0</v>
      </c>
      <c r="I45" s="53">
        <v>0</v>
      </c>
      <c r="J45" s="53"/>
    </row>
    <row r="46" spans="1:10">
      <c r="A46" s="49">
        <v>44</v>
      </c>
      <c r="B46" s="49">
        <v>45</v>
      </c>
      <c r="C46" s="49">
        <v>0.9209</v>
      </c>
      <c r="D46" s="35">
        <f t="shared" si="1"/>
        <v>0.00263232514177694</v>
      </c>
      <c r="E46" s="35">
        <f t="shared" si="2"/>
        <v>0</v>
      </c>
      <c r="F46" s="35">
        <f t="shared" si="3"/>
        <v>0</v>
      </c>
      <c r="G46" s="35">
        <f t="shared" si="4"/>
        <v>0.00292480571308549</v>
      </c>
      <c r="H46" s="53">
        <v>0</v>
      </c>
      <c r="I46" s="53">
        <v>0</v>
      </c>
      <c r="J46" s="53"/>
    </row>
    <row r="47" spans="1:10">
      <c r="A47" s="49">
        <v>46</v>
      </c>
      <c r="B47" s="49">
        <v>47</v>
      </c>
      <c r="C47" s="49">
        <v>0.16046</v>
      </c>
      <c r="D47" s="35">
        <f t="shared" si="1"/>
        <v>0.00263232514177694</v>
      </c>
      <c r="E47" s="35">
        <f t="shared" si="2"/>
        <v>0</v>
      </c>
      <c r="F47" s="35">
        <f t="shared" si="3"/>
        <v>0</v>
      </c>
      <c r="G47" s="35">
        <f t="shared" si="4"/>
        <v>0.00292480571308549</v>
      </c>
      <c r="H47" s="53">
        <v>0</v>
      </c>
      <c r="I47" s="53">
        <v>0</v>
      </c>
      <c r="J47" s="53"/>
    </row>
    <row r="48" spans="1:10">
      <c r="A48" s="49">
        <v>47</v>
      </c>
      <c r="B48" s="49">
        <v>48</v>
      </c>
      <c r="C48" s="49">
        <v>0.33037</v>
      </c>
      <c r="D48" s="35">
        <f t="shared" si="1"/>
        <v>0.00263232514177694</v>
      </c>
      <c r="E48" s="35">
        <f t="shared" si="2"/>
        <v>0</v>
      </c>
      <c r="F48" s="35">
        <f t="shared" si="3"/>
        <v>0</v>
      </c>
      <c r="G48" s="35">
        <f t="shared" si="4"/>
        <v>0.00292480571308549</v>
      </c>
      <c r="H48" s="53">
        <v>0</v>
      </c>
      <c r="I48" s="53">
        <v>0</v>
      </c>
      <c r="J48" s="53"/>
    </row>
    <row r="49" spans="1:10">
      <c r="A49" s="49">
        <v>48</v>
      </c>
      <c r="B49" s="49">
        <v>49</v>
      </c>
      <c r="C49" s="49">
        <v>0.15574</v>
      </c>
      <c r="D49" s="35">
        <f t="shared" si="1"/>
        <v>0.00263232514177694</v>
      </c>
      <c r="E49" s="35">
        <f t="shared" si="2"/>
        <v>0</v>
      </c>
      <c r="F49" s="35">
        <f t="shared" si="3"/>
        <v>0</v>
      </c>
      <c r="G49" s="35">
        <f t="shared" si="4"/>
        <v>0.00292480571308549</v>
      </c>
      <c r="H49" s="53">
        <v>0</v>
      </c>
      <c r="I49" s="53">
        <v>0</v>
      </c>
      <c r="J49" s="53"/>
    </row>
    <row r="50" spans="1:10">
      <c r="A50" s="49">
        <v>49</v>
      </c>
      <c r="B50" s="49">
        <v>50</v>
      </c>
      <c r="C50" s="49">
        <v>0.28789</v>
      </c>
      <c r="D50" s="35">
        <f t="shared" si="1"/>
        <v>0.00263232514177694</v>
      </c>
      <c r="E50" s="35">
        <f t="shared" si="2"/>
        <v>0</v>
      </c>
      <c r="F50" s="35">
        <f t="shared" si="3"/>
        <v>0</v>
      </c>
      <c r="G50" s="35">
        <f t="shared" si="4"/>
        <v>0.00292480571308549</v>
      </c>
      <c r="H50" s="53">
        <v>0</v>
      </c>
      <c r="I50" s="53">
        <v>0</v>
      </c>
      <c r="J50" s="53"/>
    </row>
    <row r="51" spans="1:10">
      <c r="A51" s="49">
        <v>52</v>
      </c>
      <c r="B51" s="49">
        <v>53</v>
      </c>
      <c r="C51" s="49">
        <v>1.40097</v>
      </c>
      <c r="D51" s="35">
        <f t="shared" si="1"/>
        <v>0.00263232514177694</v>
      </c>
      <c r="E51" s="35">
        <f t="shared" si="2"/>
        <v>0</v>
      </c>
      <c r="F51" s="35">
        <f t="shared" si="3"/>
        <v>0</v>
      </c>
      <c r="G51" s="35">
        <f t="shared" si="4"/>
        <v>0.00292480571308549</v>
      </c>
      <c r="H51" s="53">
        <v>0</v>
      </c>
      <c r="I51" s="53">
        <v>0</v>
      </c>
      <c r="J51" s="53"/>
    </row>
    <row r="52" spans="1:10">
      <c r="A52" s="49">
        <v>53</v>
      </c>
      <c r="B52" s="49">
        <v>54</v>
      </c>
      <c r="C52" s="49">
        <v>0.40089</v>
      </c>
      <c r="D52" s="35">
        <f t="shared" si="1"/>
        <v>0.00263232514177694</v>
      </c>
      <c r="E52" s="35">
        <f t="shared" si="2"/>
        <v>0</v>
      </c>
      <c r="F52" s="35">
        <f t="shared" si="3"/>
        <v>0</v>
      </c>
      <c r="G52" s="35">
        <f t="shared" si="4"/>
        <v>0.00292480571308549</v>
      </c>
      <c r="H52" s="53">
        <v>0</v>
      </c>
      <c r="I52" s="53">
        <v>0</v>
      </c>
      <c r="J52" s="53"/>
    </row>
    <row r="53" spans="1:10">
      <c r="A53" s="49">
        <v>53</v>
      </c>
      <c r="B53" s="49">
        <v>57</v>
      </c>
      <c r="C53" s="49">
        <v>0.11327</v>
      </c>
      <c r="D53" s="35">
        <f t="shared" si="1"/>
        <v>0.00263232514177694</v>
      </c>
      <c r="E53" s="35">
        <f t="shared" si="2"/>
        <v>0</v>
      </c>
      <c r="F53" s="35">
        <f t="shared" si="3"/>
        <v>0</v>
      </c>
      <c r="G53" s="35">
        <f t="shared" si="4"/>
        <v>0.00292480571308549</v>
      </c>
      <c r="H53" s="53">
        <v>0</v>
      </c>
      <c r="I53" s="53">
        <v>0</v>
      </c>
      <c r="J53" s="53"/>
    </row>
    <row r="54" spans="1:10">
      <c r="A54" s="49">
        <v>54</v>
      </c>
      <c r="B54" s="49">
        <v>55</v>
      </c>
      <c r="C54" s="49">
        <v>0.06607</v>
      </c>
      <c r="D54" s="35">
        <f t="shared" si="1"/>
        <v>0.00263232514177694</v>
      </c>
      <c r="E54" s="35">
        <f t="shared" si="2"/>
        <v>0</v>
      </c>
      <c r="F54" s="35">
        <f t="shared" si="3"/>
        <v>0</v>
      </c>
      <c r="G54" s="35">
        <f t="shared" si="4"/>
        <v>0.00292480571308549</v>
      </c>
      <c r="H54" s="53">
        <v>0</v>
      </c>
      <c r="I54" s="53">
        <v>0</v>
      </c>
      <c r="J54" s="53"/>
    </row>
    <row r="55" spans="1:10">
      <c r="A55" s="49">
        <v>55</v>
      </c>
      <c r="B55" s="49">
        <v>56</v>
      </c>
      <c r="C55" s="49">
        <v>0.15102</v>
      </c>
      <c r="D55" s="35">
        <f t="shared" si="1"/>
        <v>0.00263232514177694</v>
      </c>
      <c r="E55" s="35">
        <f t="shared" si="2"/>
        <v>0</v>
      </c>
      <c r="F55" s="35">
        <f t="shared" si="3"/>
        <v>0</v>
      </c>
      <c r="G55" s="35">
        <f t="shared" si="4"/>
        <v>0.00292480571308549</v>
      </c>
      <c r="H55" s="53">
        <v>0</v>
      </c>
      <c r="I55" s="53">
        <v>0</v>
      </c>
      <c r="J55" s="53"/>
    </row>
    <row r="56" spans="1:10">
      <c r="A56" s="49">
        <v>57</v>
      </c>
      <c r="B56" s="49">
        <v>58</v>
      </c>
      <c r="C56" s="49">
        <v>0.07551</v>
      </c>
      <c r="D56" s="35">
        <f t="shared" si="1"/>
        <v>0.00263232514177694</v>
      </c>
      <c r="E56" s="35">
        <f t="shared" si="2"/>
        <v>0</v>
      </c>
      <c r="F56" s="35">
        <f t="shared" si="3"/>
        <v>0</v>
      </c>
      <c r="G56" s="35">
        <f t="shared" si="4"/>
        <v>0.00292480571308549</v>
      </c>
      <c r="H56" s="53">
        <v>0</v>
      </c>
      <c r="I56" s="53">
        <v>0</v>
      </c>
      <c r="J56" s="53"/>
    </row>
    <row r="57" spans="1:10">
      <c r="A57" s="49">
        <v>58</v>
      </c>
      <c r="B57" s="49">
        <v>59</v>
      </c>
      <c r="C57" s="49">
        <v>0.05191</v>
      </c>
      <c r="D57" s="35">
        <f t="shared" si="1"/>
        <v>0.00263232514177694</v>
      </c>
      <c r="E57" s="35">
        <f t="shared" si="2"/>
        <v>0</v>
      </c>
      <c r="F57" s="35">
        <f t="shared" si="3"/>
        <v>0</v>
      </c>
      <c r="G57" s="35">
        <f t="shared" si="4"/>
        <v>0.00292480571308549</v>
      </c>
      <c r="H57" s="53">
        <v>0</v>
      </c>
      <c r="I57" s="53">
        <v>0</v>
      </c>
      <c r="J57" s="53"/>
    </row>
    <row r="58" spans="1:10">
      <c r="A58" s="49">
        <v>60</v>
      </c>
      <c r="B58" s="49">
        <v>61</v>
      </c>
      <c r="C58" s="49">
        <v>0.27374</v>
      </c>
      <c r="D58" s="35">
        <f t="shared" si="1"/>
        <v>0.00263232514177694</v>
      </c>
      <c r="E58" s="35">
        <f t="shared" si="2"/>
        <v>0</v>
      </c>
      <c r="F58" s="35">
        <f t="shared" si="3"/>
        <v>0</v>
      </c>
      <c r="G58" s="35">
        <f t="shared" si="4"/>
        <v>0.00292480571308549</v>
      </c>
      <c r="H58" s="53">
        <v>0</v>
      </c>
      <c r="I58" s="53">
        <v>0</v>
      </c>
      <c r="J58" s="53"/>
    </row>
    <row r="59" spans="1:10">
      <c r="A59" s="49">
        <v>61</v>
      </c>
      <c r="B59" s="49">
        <v>62</v>
      </c>
      <c r="C59" s="49">
        <v>0.28912</v>
      </c>
      <c r="D59" s="35">
        <f t="shared" si="1"/>
        <v>0.00263232514177694</v>
      </c>
      <c r="E59" s="35">
        <f t="shared" si="2"/>
        <v>0</v>
      </c>
      <c r="F59" s="35">
        <f t="shared" si="3"/>
        <v>0</v>
      </c>
      <c r="G59" s="35">
        <f t="shared" si="4"/>
        <v>0.00292480571308549</v>
      </c>
      <c r="H59" s="53">
        <v>0</v>
      </c>
      <c r="I59" s="53">
        <v>0</v>
      </c>
      <c r="J59" s="53"/>
    </row>
    <row r="60" spans="1:10">
      <c r="A60" s="49">
        <v>62</v>
      </c>
      <c r="B60" s="49">
        <v>63</v>
      </c>
      <c r="C60" s="49">
        <v>0.47116</v>
      </c>
      <c r="D60" s="35">
        <f t="shared" si="1"/>
        <v>0.00263232514177694</v>
      </c>
      <c r="E60" s="35">
        <f t="shared" si="2"/>
        <v>0</v>
      </c>
      <c r="F60" s="35">
        <f t="shared" si="3"/>
        <v>0</v>
      </c>
      <c r="G60" s="35">
        <f t="shared" si="4"/>
        <v>0.00292480571308549</v>
      </c>
      <c r="H60" s="53">
        <v>0</v>
      </c>
      <c r="I60" s="53">
        <v>0</v>
      </c>
      <c r="J60" s="53"/>
    </row>
    <row r="61" spans="1:10">
      <c r="A61" s="49">
        <v>63</v>
      </c>
      <c r="B61" s="49">
        <v>64</v>
      </c>
      <c r="C61" s="49">
        <v>0.56753</v>
      </c>
      <c r="D61" s="35">
        <f t="shared" si="1"/>
        <v>0.00263232514177694</v>
      </c>
      <c r="E61" s="35">
        <f t="shared" si="2"/>
        <v>0</v>
      </c>
      <c r="F61" s="35">
        <f t="shared" si="3"/>
        <v>0</v>
      </c>
      <c r="G61" s="35">
        <f t="shared" si="4"/>
        <v>0.00292480571308549</v>
      </c>
      <c r="H61" s="53">
        <v>0</v>
      </c>
      <c r="I61" s="53">
        <v>0</v>
      </c>
      <c r="J61" s="53"/>
    </row>
    <row r="62" spans="1:10">
      <c r="A62" s="49">
        <v>64</v>
      </c>
      <c r="B62" s="49">
        <v>65</v>
      </c>
      <c r="C62" s="49">
        <v>0.37479</v>
      </c>
      <c r="D62" s="35">
        <f t="shared" si="1"/>
        <v>0.00263232514177694</v>
      </c>
      <c r="E62" s="35">
        <f t="shared" si="2"/>
        <v>0</v>
      </c>
      <c r="F62" s="35">
        <f t="shared" si="3"/>
        <v>0</v>
      </c>
      <c r="G62" s="35">
        <f t="shared" si="4"/>
        <v>0.00292480571308549</v>
      </c>
      <c r="H62" s="53">
        <v>0</v>
      </c>
      <c r="I62" s="53">
        <v>0</v>
      </c>
      <c r="J62" s="53"/>
    </row>
    <row r="63" spans="1:10">
      <c r="A63" s="49">
        <v>66</v>
      </c>
      <c r="B63" s="49">
        <v>67</v>
      </c>
      <c r="C63" s="49">
        <v>0.23558</v>
      </c>
      <c r="D63" s="35">
        <f t="shared" si="1"/>
        <v>0.00263232514177694</v>
      </c>
      <c r="E63" s="35">
        <f t="shared" si="2"/>
        <v>0</v>
      </c>
      <c r="F63" s="35">
        <f t="shared" si="3"/>
        <v>0</v>
      </c>
      <c r="G63" s="35">
        <f t="shared" si="4"/>
        <v>0.00292480571308549</v>
      </c>
      <c r="H63" s="53">
        <v>0</v>
      </c>
      <c r="I63" s="53">
        <v>0</v>
      </c>
      <c r="J63" s="53"/>
    </row>
    <row r="64" spans="1:10">
      <c r="A64" s="49">
        <v>67</v>
      </c>
      <c r="B64" s="49">
        <v>68</v>
      </c>
      <c r="C64" s="49">
        <v>0.34924</v>
      </c>
      <c r="D64" s="35">
        <f t="shared" si="1"/>
        <v>0.00263232514177694</v>
      </c>
      <c r="E64" s="35">
        <f t="shared" si="2"/>
        <v>0</v>
      </c>
      <c r="F64" s="35">
        <f t="shared" si="3"/>
        <v>0</v>
      </c>
      <c r="G64" s="35">
        <f t="shared" si="4"/>
        <v>0.00292480571308549</v>
      </c>
      <c r="H64" s="53">
        <v>0</v>
      </c>
      <c r="I64" s="53">
        <v>0</v>
      </c>
      <c r="J64" s="53"/>
    </row>
    <row r="65" spans="1:10">
      <c r="A65" s="49">
        <v>68</v>
      </c>
      <c r="B65" s="49">
        <v>69</v>
      </c>
      <c r="C65" s="49">
        <v>0.01887</v>
      </c>
      <c r="D65" s="35">
        <f t="shared" si="1"/>
        <v>0.00263232514177694</v>
      </c>
      <c r="E65" s="35">
        <f t="shared" si="2"/>
        <v>0</v>
      </c>
      <c r="F65" s="35">
        <f t="shared" si="3"/>
        <v>0</v>
      </c>
      <c r="G65" s="35">
        <f t="shared" si="4"/>
        <v>0.00292480571308549</v>
      </c>
      <c r="H65" s="53">
        <v>0</v>
      </c>
      <c r="I65" s="53">
        <v>0</v>
      </c>
      <c r="J65" s="53"/>
    </row>
    <row r="66" spans="1:10">
      <c r="A66" s="49">
        <v>69</v>
      </c>
      <c r="B66" s="49">
        <v>70</v>
      </c>
      <c r="C66" s="49">
        <v>1.67962</v>
      </c>
      <c r="D66" s="35">
        <f t="shared" si="1"/>
        <v>0.00263232514177694</v>
      </c>
      <c r="E66" s="35">
        <f t="shared" si="2"/>
        <v>0</v>
      </c>
      <c r="F66" s="35">
        <f t="shared" si="3"/>
        <v>0</v>
      </c>
      <c r="G66" s="35">
        <f t="shared" si="4"/>
        <v>0.00292480571308549</v>
      </c>
      <c r="H66" s="53">
        <v>0</v>
      </c>
      <c r="I66" s="53">
        <v>0</v>
      </c>
      <c r="J66" s="53"/>
    </row>
    <row r="67" spans="1:10">
      <c r="A67" s="49">
        <v>70</v>
      </c>
      <c r="B67" s="49">
        <v>71</v>
      </c>
      <c r="C67" s="49">
        <v>0.96279</v>
      </c>
      <c r="D67" s="35">
        <f t="shared" si="1"/>
        <v>0.00263232514177694</v>
      </c>
      <c r="E67" s="35">
        <f t="shared" si="2"/>
        <v>0</v>
      </c>
      <c r="F67" s="35">
        <f t="shared" si="3"/>
        <v>0</v>
      </c>
      <c r="G67" s="35">
        <f t="shared" si="4"/>
        <v>0.00292480571308549</v>
      </c>
      <c r="H67" s="53">
        <v>0</v>
      </c>
      <c r="I67" s="53">
        <v>0</v>
      </c>
      <c r="J67" s="53"/>
    </row>
    <row r="68" spans="1:10">
      <c r="A68" s="49">
        <v>71</v>
      </c>
      <c r="B68" s="49">
        <v>72</v>
      </c>
      <c r="C68" s="49">
        <v>0.83064</v>
      </c>
      <c r="D68" s="35">
        <f t="shared" ref="D68:D131" si="5">G68*$S$9</f>
        <v>0.00263232514177694</v>
      </c>
      <c r="E68" s="35">
        <f t="shared" ref="E68:E131" si="6">H68*$S$9</f>
        <v>0</v>
      </c>
      <c r="F68" s="35">
        <f t="shared" ref="F68:F131" si="7">I68*$S$9</f>
        <v>0</v>
      </c>
      <c r="G68" s="35">
        <f t="shared" ref="G68:G102" si="8">$M$3/($S$7^2/$S$8)</f>
        <v>0.00292480571308549</v>
      </c>
      <c r="H68" s="53">
        <v>0</v>
      </c>
      <c r="I68" s="53">
        <v>0</v>
      </c>
      <c r="J68" s="53"/>
    </row>
    <row r="69" spans="1:10">
      <c r="A69" s="49">
        <v>72</v>
      </c>
      <c r="B69" s="49">
        <v>73</v>
      </c>
      <c r="C69" s="49">
        <v>0.82592</v>
      </c>
      <c r="D69" s="35">
        <f t="shared" si="5"/>
        <v>0.00263232514177694</v>
      </c>
      <c r="E69" s="35">
        <f t="shared" si="6"/>
        <v>0</v>
      </c>
      <c r="F69" s="35">
        <f t="shared" si="7"/>
        <v>0</v>
      </c>
      <c r="G69" s="35">
        <f t="shared" si="8"/>
        <v>0.00292480571308549</v>
      </c>
      <c r="H69" s="53">
        <v>0</v>
      </c>
      <c r="I69" s="53">
        <v>0</v>
      </c>
      <c r="J69" s="53"/>
    </row>
    <row r="70" spans="1:10">
      <c r="A70" s="49">
        <v>74</v>
      </c>
      <c r="B70" s="49">
        <v>75</v>
      </c>
      <c r="C70" s="49">
        <v>0.42948</v>
      </c>
      <c r="D70" s="35">
        <f t="shared" si="5"/>
        <v>0.00263232514177694</v>
      </c>
      <c r="E70" s="35">
        <f t="shared" si="6"/>
        <v>0</v>
      </c>
      <c r="F70" s="35">
        <f t="shared" si="7"/>
        <v>0</v>
      </c>
      <c r="G70" s="35">
        <f t="shared" si="8"/>
        <v>0.00292480571308549</v>
      </c>
      <c r="H70" s="53">
        <v>0</v>
      </c>
      <c r="I70" s="53">
        <v>0</v>
      </c>
      <c r="J70" s="53"/>
    </row>
    <row r="71" spans="1:10">
      <c r="A71" s="49">
        <v>75</v>
      </c>
      <c r="B71" s="49">
        <v>76</v>
      </c>
      <c r="C71" s="49">
        <v>0.63178</v>
      </c>
      <c r="D71" s="35">
        <f t="shared" si="5"/>
        <v>0.00263232514177694</v>
      </c>
      <c r="E71" s="35">
        <f t="shared" si="6"/>
        <v>0</v>
      </c>
      <c r="F71" s="35">
        <f t="shared" si="7"/>
        <v>0</v>
      </c>
      <c r="G71" s="35">
        <f t="shared" si="8"/>
        <v>0.00292480571308549</v>
      </c>
      <c r="H71" s="53">
        <v>0</v>
      </c>
      <c r="I71" s="53">
        <v>0</v>
      </c>
      <c r="J71" s="53"/>
    </row>
    <row r="72" spans="1:10">
      <c r="A72" s="49">
        <v>76</v>
      </c>
      <c r="B72" s="49">
        <v>77</v>
      </c>
      <c r="C72" s="49">
        <v>0.14631</v>
      </c>
      <c r="D72" s="35">
        <f t="shared" si="5"/>
        <v>0.00263232514177694</v>
      </c>
      <c r="E72" s="35">
        <f t="shared" si="6"/>
        <v>0</v>
      </c>
      <c r="F72" s="35">
        <f t="shared" si="7"/>
        <v>0</v>
      </c>
      <c r="G72" s="35">
        <f t="shared" si="8"/>
        <v>0.00292480571308549</v>
      </c>
      <c r="H72" s="53">
        <v>0</v>
      </c>
      <c r="I72" s="53">
        <v>0</v>
      </c>
      <c r="J72" s="53"/>
    </row>
    <row r="73" spans="1:10">
      <c r="A73" s="49">
        <v>76</v>
      </c>
      <c r="B73" s="49">
        <v>78</v>
      </c>
      <c r="C73" s="49">
        <v>0.79241</v>
      </c>
      <c r="D73" s="35">
        <f t="shared" si="5"/>
        <v>0.00263232514177694</v>
      </c>
      <c r="E73" s="35">
        <f t="shared" si="6"/>
        <v>0</v>
      </c>
      <c r="F73" s="35">
        <f t="shared" si="7"/>
        <v>0</v>
      </c>
      <c r="G73" s="35">
        <f t="shared" si="8"/>
        <v>0.00292480571308549</v>
      </c>
      <c r="H73" s="53">
        <v>0</v>
      </c>
      <c r="I73" s="53">
        <v>0</v>
      </c>
      <c r="J73" s="53"/>
    </row>
    <row r="74" spans="1:10">
      <c r="A74" s="49">
        <v>78</v>
      </c>
      <c r="B74" s="49">
        <v>79</v>
      </c>
      <c r="C74" s="49">
        <v>1.1565</v>
      </c>
      <c r="D74" s="35">
        <f t="shared" si="5"/>
        <v>0.00263232514177694</v>
      </c>
      <c r="E74" s="35">
        <f t="shared" si="6"/>
        <v>0</v>
      </c>
      <c r="F74" s="35">
        <f t="shared" si="7"/>
        <v>0</v>
      </c>
      <c r="G74" s="35">
        <f t="shared" si="8"/>
        <v>0.00292480571308549</v>
      </c>
      <c r="H74" s="53">
        <v>0</v>
      </c>
      <c r="I74" s="53">
        <v>0</v>
      </c>
      <c r="J74" s="53"/>
    </row>
    <row r="75" spans="1:10">
      <c r="A75" s="49">
        <v>78</v>
      </c>
      <c r="B75" s="49">
        <v>80</v>
      </c>
      <c r="C75" s="49">
        <v>0.16991</v>
      </c>
      <c r="D75" s="35">
        <f t="shared" si="5"/>
        <v>0.00263232514177694</v>
      </c>
      <c r="E75" s="35">
        <f t="shared" si="6"/>
        <v>0</v>
      </c>
      <c r="F75" s="35">
        <f t="shared" si="7"/>
        <v>0</v>
      </c>
      <c r="G75" s="35">
        <f t="shared" si="8"/>
        <v>0.00292480571308549</v>
      </c>
      <c r="H75" s="53">
        <v>0</v>
      </c>
      <c r="I75" s="53">
        <v>0</v>
      </c>
      <c r="J75" s="53"/>
    </row>
    <row r="76" spans="1:10">
      <c r="A76" s="49">
        <v>80</v>
      </c>
      <c r="B76" s="49">
        <v>81</v>
      </c>
      <c r="C76" s="49">
        <v>1.3992</v>
      </c>
      <c r="D76" s="35">
        <f t="shared" si="5"/>
        <v>0.00263232514177694</v>
      </c>
      <c r="E76" s="35">
        <f t="shared" si="6"/>
        <v>0</v>
      </c>
      <c r="F76" s="35">
        <f t="shared" si="7"/>
        <v>0</v>
      </c>
      <c r="G76" s="35">
        <f t="shared" si="8"/>
        <v>0.00292480571308549</v>
      </c>
      <c r="H76" s="53">
        <v>0</v>
      </c>
      <c r="I76" s="53">
        <v>0</v>
      </c>
      <c r="J76" s="53"/>
    </row>
    <row r="77" spans="1:10">
      <c r="A77" s="49">
        <v>80</v>
      </c>
      <c r="B77" s="49">
        <v>82</v>
      </c>
      <c r="C77" s="49">
        <v>0.02831</v>
      </c>
      <c r="D77" s="35">
        <f t="shared" si="5"/>
        <v>0.00263232514177694</v>
      </c>
      <c r="E77" s="35">
        <f t="shared" si="6"/>
        <v>0</v>
      </c>
      <c r="F77" s="35">
        <f t="shared" si="7"/>
        <v>0</v>
      </c>
      <c r="G77" s="35">
        <f t="shared" si="8"/>
        <v>0.00292480571308549</v>
      </c>
      <c r="H77" s="53">
        <v>0</v>
      </c>
      <c r="I77" s="53">
        <v>0</v>
      </c>
      <c r="J77" s="53"/>
    </row>
    <row r="78" spans="1:10">
      <c r="A78" s="49">
        <v>82</v>
      </c>
      <c r="B78" s="49">
        <v>83</v>
      </c>
      <c r="C78" s="49">
        <v>1.8359</v>
      </c>
      <c r="D78" s="35">
        <f t="shared" si="5"/>
        <v>0.00263232514177694</v>
      </c>
      <c r="E78" s="35">
        <f t="shared" si="6"/>
        <v>0</v>
      </c>
      <c r="F78" s="35">
        <f t="shared" si="7"/>
        <v>0</v>
      </c>
      <c r="G78" s="35">
        <f t="shared" si="8"/>
        <v>0.00292480571308549</v>
      </c>
      <c r="H78" s="53">
        <v>0</v>
      </c>
      <c r="I78" s="53">
        <v>0</v>
      </c>
      <c r="J78" s="53"/>
    </row>
    <row r="79" spans="1:10">
      <c r="A79" s="49">
        <v>83</v>
      </c>
      <c r="B79" s="49">
        <v>84</v>
      </c>
      <c r="C79" s="49">
        <v>0.56634</v>
      </c>
      <c r="D79" s="35">
        <f t="shared" si="5"/>
        <v>0.00263232514177694</v>
      </c>
      <c r="E79" s="35">
        <f t="shared" si="6"/>
        <v>0</v>
      </c>
      <c r="F79" s="35">
        <f t="shared" si="7"/>
        <v>0</v>
      </c>
      <c r="G79" s="35">
        <f t="shared" si="8"/>
        <v>0.00292480571308549</v>
      </c>
      <c r="H79" s="53">
        <v>0</v>
      </c>
      <c r="I79" s="53">
        <v>0</v>
      </c>
      <c r="J79" s="53"/>
    </row>
    <row r="80" spans="1:10">
      <c r="A80" s="49">
        <v>84</v>
      </c>
      <c r="B80" s="49">
        <v>85</v>
      </c>
      <c r="C80" s="49">
        <v>0.52388</v>
      </c>
      <c r="D80" s="35">
        <f t="shared" si="5"/>
        <v>0.00263232514177694</v>
      </c>
      <c r="E80" s="35">
        <f t="shared" si="6"/>
        <v>0</v>
      </c>
      <c r="F80" s="35">
        <f t="shared" si="7"/>
        <v>0</v>
      </c>
      <c r="G80" s="35">
        <f t="shared" si="8"/>
        <v>0.00292480571308549</v>
      </c>
      <c r="H80" s="53">
        <v>0</v>
      </c>
      <c r="I80" s="53">
        <v>0</v>
      </c>
      <c r="J80" s="53"/>
    </row>
    <row r="81" spans="1:10">
      <c r="A81" s="49">
        <v>87</v>
      </c>
      <c r="B81" s="49">
        <v>88</v>
      </c>
      <c r="C81" s="49">
        <v>0.11799</v>
      </c>
      <c r="D81" s="35">
        <f t="shared" si="5"/>
        <v>0.00263232514177694</v>
      </c>
      <c r="E81" s="35">
        <f t="shared" si="6"/>
        <v>0</v>
      </c>
      <c r="F81" s="35">
        <f t="shared" si="7"/>
        <v>0</v>
      </c>
      <c r="G81" s="35">
        <f t="shared" si="8"/>
        <v>0.00292480571308549</v>
      </c>
      <c r="H81" s="53">
        <v>0</v>
      </c>
      <c r="I81" s="53">
        <v>0</v>
      </c>
      <c r="J81" s="53"/>
    </row>
    <row r="82" spans="1:10">
      <c r="A82" s="49">
        <v>90</v>
      </c>
      <c r="B82" s="49">
        <v>91</v>
      </c>
      <c r="C82" s="49">
        <v>0.87545</v>
      </c>
      <c r="D82" s="35">
        <f t="shared" si="5"/>
        <v>0.00263232514177694</v>
      </c>
      <c r="E82" s="35">
        <f t="shared" si="6"/>
        <v>0</v>
      </c>
      <c r="F82" s="35">
        <f t="shared" si="7"/>
        <v>0</v>
      </c>
      <c r="G82" s="35">
        <f t="shared" si="8"/>
        <v>0.00292480571308549</v>
      </c>
      <c r="H82" s="53">
        <v>0</v>
      </c>
      <c r="I82" s="53">
        <v>0</v>
      </c>
      <c r="J82" s="53"/>
    </row>
    <row r="83" spans="1:10">
      <c r="A83" s="49">
        <v>91</v>
      </c>
      <c r="B83" s="49">
        <v>92</v>
      </c>
      <c r="C83" s="49">
        <v>0.48117</v>
      </c>
      <c r="D83" s="35">
        <f t="shared" si="5"/>
        <v>0.00263232514177694</v>
      </c>
      <c r="E83" s="35">
        <f t="shared" si="6"/>
        <v>0</v>
      </c>
      <c r="F83" s="35">
        <f t="shared" si="7"/>
        <v>0</v>
      </c>
      <c r="G83" s="35">
        <f t="shared" si="8"/>
        <v>0.00292480571308549</v>
      </c>
      <c r="H83" s="53">
        <v>0</v>
      </c>
      <c r="I83" s="53">
        <v>0</v>
      </c>
      <c r="J83" s="53"/>
    </row>
    <row r="84" spans="1:10">
      <c r="A84" s="49">
        <v>92</v>
      </c>
      <c r="B84" s="49">
        <v>93</v>
      </c>
      <c r="C84" s="49">
        <v>0.64249</v>
      </c>
      <c r="D84" s="35">
        <f t="shared" si="5"/>
        <v>0.00263232514177694</v>
      </c>
      <c r="E84" s="35">
        <f t="shared" si="6"/>
        <v>0</v>
      </c>
      <c r="F84" s="35">
        <f t="shared" si="7"/>
        <v>0</v>
      </c>
      <c r="G84" s="35">
        <f t="shared" si="8"/>
        <v>0.00292480571308549</v>
      </c>
      <c r="H84" s="53">
        <v>0</v>
      </c>
      <c r="I84" s="53">
        <v>0</v>
      </c>
      <c r="J84" s="53"/>
    </row>
    <row r="85" spans="1:10">
      <c r="A85" s="49">
        <v>93</v>
      </c>
      <c r="B85" s="49">
        <v>94</v>
      </c>
      <c r="C85" s="49">
        <v>0.1537</v>
      </c>
      <c r="D85" s="35">
        <f t="shared" si="5"/>
        <v>0.00263232514177694</v>
      </c>
      <c r="E85" s="35">
        <f t="shared" si="6"/>
        <v>0</v>
      </c>
      <c r="F85" s="35">
        <f t="shared" si="7"/>
        <v>0</v>
      </c>
      <c r="G85" s="35">
        <f t="shared" si="8"/>
        <v>0.00292480571308549</v>
      </c>
      <c r="H85" s="53">
        <v>0</v>
      </c>
      <c r="I85" s="53">
        <v>0</v>
      </c>
      <c r="J85" s="53"/>
    </row>
    <row r="86" spans="1:10">
      <c r="A86" s="49">
        <v>95</v>
      </c>
      <c r="B86" s="49">
        <v>96</v>
      </c>
      <c r="C86" s="49">
        <v>0.64249</v>
      </c>
      <c r="D86" s="35">
        <f t="shared" si="5"/>
        <v>0.00263232514177694</v>
      </c>
      <c r="E86" s="35">
        <f t="shared" si="6"/>
        <v>0</v>
      </c>
      <c r="F86" s="35">
        <f t="shared" si="7"/>
        <v>0</v>
      </c>
      <c r="G86" s="35">
        <f t="shared" si="8"/>
        <v>0.00292480571308549</v>
      </c>
      <c r="H86" s="53">
        <v>0</v>
      </c>
      <c r="I86" s="53">
        <v>0</v>
      </c>
      <c r="J86" s="53"/>
    </row>
    <row r="87" spans="1:10">
      <c r="A87" s="49">
        <v>96</v>
      </c>
      <c r="B87" s="49">
        <v>97</v>
      </c>
      <c r="C87" s="49">
        <v>0.02831</v>
      </c>
      <c r="D87" s="35">
        <f t="shared" si="5"/>
        <v>0.00263232514177694</v>
      </c>
      <c r="E87" s="35">
        <f t="shared" si="6"/>
        <v>0</v>
      </c>
      <c r="F87" s="35">
        <f t="shared" si="7"/>
        <v>0</v>
      </c>
      <c r="G87" s="35">
        <f t="shared" si="8"/>
        <v>0.00292480571308549</v>
      </c>
      <c r="H87" s="53">
        <v>0</v>
      </c>
      <c r="I87" s="53">
        <v>0</v>
      </c>
      <c r="J87" s="53"/>
    </row>
    <row r="88" spans="1:10">
      <c r="A88" s="49">
        <v>97</v>
      </c>
      <c r="B88" s="49">
        <v>98</v>
      </c>
      <c r="C88" s="49">
        <v>1.0525</v>
      </c>
      <c r="D88" s="35">
        <f t="shared" si="5"/>
        <v>0.00263232514177694</v>
      </c>
      <c r="E88" s="35">
        <f t="shared" si="6"/>
        <v>0</v>
      </c>
      <c r="F88" s="35">
        <f t="shared" si="7"/>
        <v>0</v>
      </c>
      <c r="G88" s="35">
        <f t="shared" si="8"/>
        <v>0.00292480571308549</v>
      </c>
      <c r="H88" s="53">
        <v>0</v>
      </c>
      <c r="I88" s="53">
        <v>0</v>
      </c>
      <c r="J88" s="53"/>
    </row>
    <row r="89" spans="1:10">
      <c r="A89" s="49">
        <v>97</v>
      </c>
      <c r="B89" s="49">
        <v>99</v>
      </c>
      <c r="C89" s="49">
        <v>0.17214</v>
      </c>
      <c r="D89" s="35">
        <f t="shared" si="5"/>
        <v>0.00263232514177694</v>
      </c>
      <c r="E89" s="35">
        <f t="shared" si="6"/>
        <v>0</v>
      </c>
      <c r="F89" s="35">
        <f t="shared" si="7"/>
        <v>0</v>
      </c>
      <c r="G89" s="35">
        <f t="shared" si="8"/>
        <v>0.00292480571308549</v>
      </c>
      <c r="H89" s="53">
        <v>0</v>
      </c>
      <c r="I89" s="53">
        <v>0</v>
      </c>
      <c r="J89" s="53"/>
    </row>
    <row r="90" spans="1:10">
      <c r="A90" s="49">
        <v>99</v>
      </c>
      <c r="B90" s="49">
        <v>100</v>
      </c>
      <c r="C90" s="49">
        <v>1.1044</v>
      </c>
      <c r="D90" s="35">
        <f t="shared" si="5"/>
        <v>0.00263232514177694</v>
      </c>
      <c r="E90" s="35">
        <f t="shared" si="6"/>
        <v>0</v>
      </c>
      <c r="F90" s="35">
        <f t="shared" si="7"/>
        <v>0</v>
      </c>
      <c r="G90" s="35">
        <f t="shared" si="8"/>
        <v>0.00292480571308549</v>
      </c>
      <c r="H90" s="53">
        <v>0</v>
      </c>
      <c r="I90" s="53">
        <v>0</v>
      </c>
      <c r="J90" s="53"/>
    </row>
    <row r="91" spans="1:10">
      <c r="A91" s="51">
        <v>201</v>
      </c>
      <c r="B91" s="51">
        <v>17</v>
      </c>
      <c r="C91" s="51">
        <v>0.07949</v>
      </c>
      <c r="D91" s="35">
        <f t="shared" si="5"/>
        <v>0.00263232514177694</v>
      </c>
      <c r="E91" s="35">
        <f t="shared" si="6"/>
        <v>0.00225897920604915</v>
      </c>
      <c r="F91" s="35">
        <f t="shared" si="7"/>
        <v>0.00199905482041588</v>
      </c>
      <c r="G91" s="35">
        <f t="shared" si="8"/>
        <v>0.00292480571308549</v>
      </c>
      <c r="H91" s="35">
        <f>$M$4/($S$7^2/$S$8)</f>
        <v>0.00250997689561017</v>
      </c>
      <c r="I91" s="35">
        <f>$Q$4/($S$7^2/$S$8)</f>
        <v>0.00222117202268431</v>
      </c>
      <c r="J91" s="35"/>
    </row>
    <row r="92" spans="1:10">
      <c r="A92" s="51">
        <v>201</v>
      </c>
      <c r="B92" s="51">
        <v>35</v>
      </c>
      <c r="C92" s="51">
        <v>0.19351</v>
      </c>
      <c r="D92" s="35">
        <f t="shared" si="5"/>
        <v>0.00263232514177694</v>
      </c>
      <c r="E92" s="35">
        <f t="shared" si="6"/>
        <v>0.00225897920604915</v>
      </c>
      <c r="F92" s="35">
        <f t="shared" si="7"/>
        <v>0.00199905482041588</v>
      </c>
      <c r="G92" s="35">
        <f t="shared" si="8"/>
        <v>0.00292480571308549</v>
      </c>
      <c r="H92" s="35">
        <f t="shared" ref="H92:H102" si="9">$M$4/($S$7^2/$S$8)</f>
        <v>0.00250997689561017</v>
      </c>
      <c r="I92" s="35">
        <f t="shared" ref="I92:I102" si="10">$Q$4/($S$7^2/$S$8)</f>
        <v>0.00222117202268431</v>
      </c>
      <c r="J92" s="35"/>
    </row>
    <row r="93" spans="1:10">
      <c r="A93" s="51">
        <v>202</v>
      </c>
      <c r="B93" s="51">
        <v>86</v>
      </c>
      <c r="C93" s="51">
        <v>0.83536</v>
      </c>
      <c r="D93" s="35">
        <f t="shared" si="5"/>
        <v>0.00263232514177694</v>
      </c>
      <c r="E93" s="35">
        <f t="shared" si="6"/>
        <v>0.00225897920604915</v>
      </c>
      <c r="F93" s="35">
        <f t="shared" si="7"/>
        <v>0.00199905482041588</v>
      </c>
      <c r="G93" s="35">
        <f t="shared" si="8"/>
        <v>0.00292480571308549</v>
      </c>
      <c r="H93" s="35">
        <f t="shared" si="9"/>
        <v>0.00250997689561017</v>
      </c>
      <c r="I93" s="35">
        <f t="shared" si="10"/>
        <v>0.00222117202268431</v>
      </c>
      <c r="J93" s="35"/>
    </row>
    <row r="94" spans="1:10">
      <c r="A94" s="51">
        <v>17</v>
      </c>
      <c r="B94" s="51">
        <v>18</v>
      </c>
      <c r="C94" s="51">
        <v>0.21238</v>
      </c>
      <c r="D94" s="35">
        <f t="shared" si="5"/>
        <v>0.00263232514177694</v>
      </c>
      <c r="E94" s="35">
        <f t="shared" si="6"/>
        <v>0.00225897920604915</v>
      </c>
      <c r="F94" s="35">
        <f t="shared" si="7"/>
        <v>0.00199905482041588</v>
      </c>
      <c r="G94" s="35">
        <f t="shared" si="8"/>
        <v>0.00292480571308549</v>
      </c>
      <c r="H94" s="35">
        <f t="shared" si="9"/>
        <v>0.00250997689561017</v>
      </c>
      <c r="I94" s="35">
        <f t="shared" si="10"/>
        <v>0.00222117202268431</v>
      </c>
      <c r="J94" s="35"/>
    </row>
    <row r="95" spans="1:10">
      <c r="A95" s="51">
        <v>18</v>
      </c>
      <c r="B95" s="51">
        <v>19</v>
      </c>
      <c r="C95" s="51">
        <v>0.33509</v>
      </c>
      <c r="D95" s="35">
        <f t="shared" si="5"/>
        <v>0.00263232514177694</v>
      </c>
      <c r="E95" s="35">
        <f t="shared" si="6"/>
        <v>0.00225897920604915</v>
      </c>
      <c r="F95" s="35">
        <f t="shared" si="7"/>
        <v>0.00199905482041588</v>
      </c>
      <c r="G95" s="35">
        <f t="shared" si="8"/>
        <v>0.00292480571308549</v>
      </c>
      <c r="H95" s="35">
        <f t="shared" si="9"/>
        <v>0.00250997689561017</v>
      </c>
      <c r="I95" s="35">
        <f t="shared" si="10"/>
        <v>0.00222117202268431</v>
      </c>
      <c r="J95" s="35"/>
    </row>
    <row r="96" spans="1:10">
      <c r="A96" s="51">
        <v>19</v>
      </c>
      <c r="B96" s="51">
        <v>20</v>
      </c>
      <c r="C96" s="51">
        <v>0.41434</v>
      </c>
      <c r="D96" s="35">
        <f t="shared" si="5"/>
        <v>0.00263232514177694</v>
      </c>
      <c r="E96" s="35">
        <f t="shared" si="6"/>
        <v>0.00225897920604915</v>
      </c>
      <c r="F96" s="35">
        <f t="shared" si="7"/>
        <v>0.00199905482041588</v>
      </c>
      <c r="G96" s="35">
        <f t="shared" si="8"/>
        <v>0.00292480571308549</v>
      </c>
      <c r="H96" s="35">
        <f t="shared" si="9"/>
        <v>0.00250997689561017</v>
      </c>
      <c r="I96" s="35">
        <f t="shared" si="10"/>
        <v>0.00222117202268431</v>
      </c>
      <c r="J96" s="35"/>
    </row>
    <row r="97" spans="1:10">
      <c r="A97" s="51">
        <v>35</v>
      </c>
      <c r="B97" s="51">
        <v>36</v>
      </c>
      <c r="C97" s="51">
        <v>0.30741</v>
      </c>
      <c r="D97" s="35">
        <f t="shared" si="5"/>
        <v>0.00263232514177694</v>
      </c>
      <c r="E97" s="35">
        <f t="shared" si="6"/>
        <v>0.00225897920604915</v>
      </c>
      <c r="F97" s="35">
        <f t="shared" si="7"/>
        <v>0.00199905482041588</v>
      </c>
      <c r="G97" s="35">
        <f t="shared" si="8"/>
        <v>0.00292480571308549</v>
      </c>
      <c r="H97" s="35">
        <f t="shared" si="9"/>
        <v>0.00250997689561017</v>
      </c>
      <c r="I97" s="35">
        <f t="shared" si="10"/>
        <v>0.00222117202268431</v>
      </c>
      <c r="J97" s="35"/>
    </row>
    <row r="98" spans="1:10">
      <c r="A98" s="51">
        <v>36</v>
      </c>
      <c r="B98" s="51">
        <v>38</v>
      </c>
      <c r="C98" s="51">
        <v>0.37424</v>
      </c>
      <c r="D98" s="35">
        <f t="shared" si="5"/>
        <v>0.00263232514177694</v>
      </c>
      <c r="E98" s="35">
        <f t="shared" si="6"/>
        <v>0.00225897920604915</v>
      </c>
      <c r="F98" s="35">
        <f t="shared" si="7"/>
        <v>0.00199905482041588</v>
      </c>
      <c r="G98" s="35">
        <f t="shared" si="8"/>
        <v>0.00292480571308549</v>
      </c>
      <c r="H98" s="35">
        <f t="shared" si="9"/>
        <v>0.00250997689561017</v>
      </c>
      <c r="I98" s="35">
        <f t="shared" si="10"/>
        <v>0.00222117202268431</v>
      </c>
      <c r="J98" s="35"/>
    </row>
    <row r="99" spans="1:10">
      <c r="A99" s="51">
        <v>38</v>
      </c>
      <c r="B99" s="51">
        <v>39</v>
      </c>
      <c r="C99" s="51">
        <v>0.25958</v>
      </c>
      <c r="D99" s="35">
        <f t="shared" si="5"/>
        <v>0.00263232514177694</v>
      </c>
      <c r="E99" s="35">
        <f t="shared" si="6"/>
        <v>0.00225897920604915</v>
      </c>
      <c r="F99" s="35">
        <f t="shared" si="7"/>
        <v>0.00199905482041588</v>
      </c>
      <c r="G99" s="35">
        <f t="shared" si="8"/>
        <v>0.00292480571308549</v>
      </c>
      <c r="H99" s="35">
        <f t="shared" si="9"/>
        <v>0.00250997689561017</v>
      </c>
      <c r="I99" s="35">
        <f t="shared" si="10"/>
        <v>0.00222117202268431</v>
      </c>
      <c r="J99" s="35"/>
    </row>
    <row r="100" spans="1:10">
      <c r="A100" s="51">
        <v>86</v>
      </c>
      <c r="B100" s="51">
        <v>87</v>
      </c>
      <c r="C100" s="51">
        <v>0.33981</v>
      </c>
      <c r="D100" s="35">
        <f t="shared" si="5"/>
        <v>0.00263232514177694</v>
      </c>
      <c r="E100" s="35">
        <f t="shared" si="6"/>
        <v>0.00225897920604915</v>
      </c>
      <c r="F100" s="35">
        <f t="shared" si="7"/>
        <v>0.00199905482041588</v>
      </c>
      <c r="G100" s="35">
        <f t="shared" si="8"/>
        <v>0.00292480571308549</v>
      </c>
      <c r="H100" s="35">
        <f t="shared" si="9"/>
        <v>0.00250997689561017</v>
      </c>
      <c r="I100" s="35">
        <f t="shared" si="10"/>
        <v>0.00222117202268431</v>
      </c>
      <c r="J100" s="35"/>
    </row>
    <row r="101" spans="1:10">
      <c r="A101" s="51">
        <v>87</v>
      </c>
      <c r="B101" s="51">
        <v>89</v>
      </c>
      <c r="C101" s="51">
        <v>0.02359</v>
      </c>
      <c r="D101" s="35">
        <f t="shared" si="5"/>
        <v>0.00263232514177694</v>
      </c>
      <c r="E101" s="35">
        <f t="shared" si="6"/>
        <v>0.00225897920604915</v>
      </c>
      <c r="F101" s="35">
        <f t="shared" si="7"/>
        <v>0.00199905482041588</v>
      </c>
      <c r="G101" s="35">
        <f t="shared" si="8"/>
        <v>0.00292480571308549</v>
      </c>
      <c r="H101" s="35">
        <f t="shared" si="9"/>
        <v>0.00250997689561017</v>
      </c>
      <c r="I101" s="35">
        <f t="shared" si="10"/>
        <v>0.00222117202268431</v>
      </c>
      <c r="J101" s="35"/>
    </row>
    <row r="102" spans="1:10">
      <c r="A102" s="51">
        <v>89</v>
      </c>
      <c r="B102" s="51">
        <v>90</v>
      </c>
      <c r="C102" s="51">
        <v>0.42476</v>
      </c>
      <c r="D102" s="35">
        <f t="shared" si="5"/>
        <v>0.00263232514177694</v>
      </c>
      <c r="E102" s="35">
        <f t="shared" si="6"/>
        <v>0.00225897920604915</v>
      </c>
      <c r="F102" s="35">
        <f t="shared" si="7"/>
        <v>0.00199905482041588</v>
      </c>
      <c r="G102" s="35">
        <f t="shared" si="8"/>
        <v>0.00292480571308549</v>
      </c>
      <c r="H102" s="35">
        <f t="shared" si="9"/>
        <v>0.00250997689561017</v>
      </c>
      <c r="I102" s="35">
        <f t="shared" si="10"/>
        <v>0.00222117202268431</v>
      </c>
      <c r="J102" s="35"/>
    </row>
    <row r="103" spans="1:10">
      <c r="A103" s="52">
        <v>203</v>
      </c>
      <c r="B103" s="52">
        <v>103</v>
      </c>
      <c r="C103" s="52">
        <v>0.29733</v>
      </c>
      <c r="D103" s="35">
        <f t="shared" si="5"/>
        <v>0</v>
      </c>
      <c r="E103" s="35">
        <f t="shared" si="6"/>
        <v>0.00263232514177694</v>
      </c>
      <c r="F103" s="35">
        <f t="shared" si="7"/>
        <v>0.00225897920604915</v>
      </c>
      <c r="G103" s="53">
        <v>0</v>
      </c>
      <c r="H103" s="35">
        <f>$M$5/($S$7^2/$S$8)</f>
        <v>0.00292480571308549</v>
      </c>
      <c r="I103" s="35">
        <f>$Q$5/($S$7^2/$S$8)</f>
        <v>0.00250997689561017</v>
      </c>
      <c r="J103" s="35"/>
    </row>
    <row r="104" spans="1:10">
      <c r="A104" s="52">
        <v>203</v>
      </c>
      <c r="B104" s="52">
        <v>108</v>
      </c>
      <c r="C104" s="52">
        <v>2.4168</v>
      </c>
      <c r="D104" s="35">
        <f t="shared" si="5"/>
        <v>0</v>
      </c>
      <c r="E104" s="35">
        <f t="shared" si="6"/>
        <v>0.00263232514177694</v>
      </c>
      <c r="F104" s="35">
        <f t="shared" si="7"/>
        <v>0.00225897920604915</v>
      </c>
      <c r="G104" s="53">
        <v>0</v>
      </c>
      <c r="H104" s="35">
        <f t="shared" ref="H104:H153" si="11">$M$5/($S$7^2/$S$8)</f>
        <v>0.00292480571308549</v>
      </c>
      <c r="I104" s="35">
        <f>$Q$5/($S$7^2/$S$8)</f>
        <v>0.00250997689561017</v>
      </c>
      <c r="J104" s="35"/>
    </row>
    <row r="105" spans="1:10">
      <c r="A105" s="52">
        <v>203</v>
      </c>
      <c r="B105" s="52">
        <v>126</v>
      </c>
      <c r="C105" s="52">
        <v>1.1469</v>
      </c>
      <c r="D105" s="35">
        <f t="shared" si="5"/>
        <v>0</v>
      </c>
      <c r="E105" s="35">
        <f t="shared" si="6"/>
        <v>0.00263232514177694</v>
      </c>
      <c r="F105" s="35">
        <f t="shared" si="7"/>
        <v>0.00225897920604915</v>
      </c>
      <c r="G105" s="53">
        <v>0</v>
      </c>
      <c r="H105" s="35">
        <f t="shared" si="11"/>
        <v>0.00292480571308549</v>
      </c>
      <c r="I105" s="35">
        <f t="shared" ref="I105:I153" si="12">$Q$5/($S$7^2/$S$8)</f>
        <v>0.00250997689561017</v>
      </c>
      <c r="J105" s="35"/>
    </row>
    <row r="106" spans="1:10">
      <c r="A106" s="52">
        <v>203</v>
      </c>
      <c r="B106" s="52">
        <v>130</v>
      </c>
      <c r="C106" s="52">
        <v>1.751</v>
      </c>
      <c r="D106" s="35">
        <f t="shared" si="5"/>
        <v>0</v>
      </c>
      <c r="E106" s="35">
        <f t="shared" si="6"/>
        <v>0.00263232514177694</v>
      </c>
      <c r="F106" s="35">
        <f t="shared" si="7"/>
        <v>0.00225897920604915</v>
      </c>
      <c r="G106" s="53">
        <v>0</v>
      </c>
      <c r="H106" s="35">
        <f t="shared" si="11"/>
        <v>0.00292480571308549</v>
      </c>
      <c r="I106" s="35">
        <f t="shared" si="12"/>
        <v>0.00250997689561017</v>
      </c>
      <c r="J106" s="35"/>
    </row>
    <row r="107" spans="1:10">
      <c r="A107" s="52">
        <v>11</v>
      </c>
      <c r="B107" s="52">
        <v>121</v>
      </c>
      <c r="C107" s="52">
        <v>1.1516</v>
      </c>
      <c r="D107" s="35">
        <f t="shared" si="5"/>
        <v>0</v>
      </c>
      <c r="E107" s="35">
        <f t="shared" si="6"/>
        <v>0.00263232514177694</v>
      </c>
      <c r="F107" s="35">
        <f t="shared" si="7"/>
        <v>0.00225897920604915</v>
      </c>
      <c r="G107" s="53">
        <v>0</v>
      </c>
      <c r="H107" s="35">
        <f t="shared" si="11"/>
        <v>0.00292480571308549</v>
      </c>
      <c r="I107" s="35">
        <f t="shared" si="12"/>
        <v>0.00250997689561017</v>
      </c>
      <c r="J107" s="35"/>
    </row>
    <row r="108" spans="1:10">
      <c r="A108" s="52">
        <v>15</v>
      </c>
      <c r="B108" s="52">
        <v>120</v>
      </c>
      <c r="C108" s="52">
        <v>0.3328</v>
      </c>
      <c r="D108" s="35">
        <f t="shared" si="5"/>
        <v>0</v>
      </c>
      <c r="E108" s="35">
        <f t="shared" si="6"/>
        <v>0.00263232514177694</v>
      </c>
      <c r="F108" s="35">
        <f t="shared" si="7"/>
        <v>0.00225897920604915</v>
      </c>
      <c r="G108" s="53">
        <v>0</v>
      </c>
      <c r="H108" s="35">
        <f t="shared" si="11"/>
        <v>0.00292480571308549</v>
      </c>
      <c r="I108" s="35">
        <f t="shared" si="12"/>
        <v>0.00250997689561017</v>
      </c>
      <c r="J108" s="35"/>
    </row>
    <row r="109" spans="1:10">
      <c r="A109" s="52">
        <v>15</v>
      </c>
      <c r="B109" s="52">
        <v>121</v>
      </c>
      <c r="C109" s="52">
        <v>0.35001</v>
      </c>
      <c r="D109" s="35">
        <f t="shared" si="5"/>
        <v>0</v>
      </c>
      <c r="E109" s="35">
        <f t="shared" si="6"/>
        <v>0.00263232514177694</v>
      </c>
      <c r="F109" s="35">
        <f t="shared" si="7"/>
        <v>0.00225897920604915</v>
      </c>
      <c r="G109" s="53">
        <v>0</v>
      </c>
      <c r="H109" s="35">
        <f t="shared" si="11"/>
        <v>0.00292480571308549</v>
      </c>
      <c r="I109" s="35">
        <f t="shared" si="12"/>
        <v>0.00250997689561017</v>
      </c>
      <c r="J109" s="35"/>
    </row>
    <row r="110" spans="1:10">
      <c r="A110" s="52">
        <v>16</v>
      </c>
      <c r="B110" s="52">
        <v>120</v>
      </c>
      <c r="C110" s="52">
        <v>0.62108</v>
      </c>
      <c r="D110" s="35">
        <f t="shared" si="5"/>
        <v>0</v>
      </c>
      <c r="E110" s="35">
        <f t="shared" si="6"/>
        <v>0.00263232514177694</v>
      </c>
      <c r="F110" s="35">
        <f t="shared" si="7"/>
        <v>0.00225897920604915</v>
      </c>
      <c r="G110" s="53">
        <v>0</v>
      </c>
      <c r="H110" s="35">
        <f t="shared" si="11"/>
        <v>0.00292480571308549</v>
      </c>
      <c r="I110" s="35">
        <f t="shared" si="12"/>
        <v>0.00250997689561017</v>
      </c>
      <c r="J110" s="35"/>
    </row>
    <row r="111" spans="1:10">
      <c r="A111" s="52">
        <v>30</v>
      </c>
      <c r="B111" s="52">
        <v>113</v>
      </c>
      <c r="C111" s="52">
        <v>0.61037</v>
      </c>
      <c r="D111" s="35">
        <f t="shared" si="5"/>
        <v>0</v>
      </c>
      <c r="E111" s="35">
        <f t="shared" si="6"/>
        <v>0.00263232514177694</v>
      </c>
      <c r="F111" s="35">
        <f t="shared" si="7"/>
        <v>0.00225897920604915</v>
      </c>
      <c r="G111" s="53">
        <v>0</v>
      </c>
      <c r="H111" s="35">
        <f t="shared" si="11"/>
        <v>0.00292480571308549</v>
      </c>
      <c r="I111" s="35">
        <f t="shared" si="12"/>
        <v>0.00250997689561017</v>
      </c>
      <c r="J111" s="35"/>
    </row>
    <row r="112" spans="1:10">
      <c r="A112" s="52">
        <v>31</v>
      </c>
      <c r="B112" s="52">
        <v>123</v>
      </c>
      <c r="C112" s="52">
        <v>0.07459</v>
      </c>
      <c r="D112" s="35">
        <f t="shared" si="5"/>
        <v>0</v>
      </c>
      <c r="E112" s="35">
        <f t="shared" si="6"/>
        <v>0.00263232514177694</v>
      </c>
      <c r="F112" s="35">
        <f t="shared" si="7"/>
        <v>0.00225897920604915</v>
      </c>
      <c r="G112" s="53">
        <v>0</v>
      </c>
      <c r="H112" s="35">
        <f t="shared" si="11"/>
        <v>0.00292480571308549</v>
      </c>
      <c r="I112" s="35">
        <f t="shared" si="12"/>
        <v>0.00250997689561017</v>
      </c>
      <c r="J112" s="35"/>
    </row>
    <row r="113" spans="1:10">
      <c r="A113" s="52">
        <v>45</v>
      </c>
      <c r="B113" s="52">
        <v>108</v>
      </c>
      <c r="C113" s="52">
        <v>0.53541</v>
      </c>
      <c r="D113" s="35">
        <f t="shared" si="5"/>
        <v>0</v>
      </c>
      <c r="E113" s="35">
        <f t="shared" si="6"/>
        <v>0.00263232514177694</v>
      </c>
      <c r="F113" s="35">
        <f t="shared" si="7"/>
        <v>0.00225897920604915</v>
      </c>
      <c r="G113" s="53">
        <v>0</v>
      </c>
      <c r="H113" s="35">
        <f t="shared" si="11"/>
        <v>0.00292480571308549</v>
      </c>
      <c r="I113" s="35">
        <f t="shared" si="12"/>
        <v>0.00250997689561017</v>
      </c>
      <c r="J113" s="35"/>
    </row>
    <row r="114" spans="1:10">
      <c r="A114" s="52">
        <v>46</v>
      </c>
      <c r="B114" s="52">
        <v>129</v>
      </c>
      <c r="C114" s="52">
        <v>0.97444</v>
      </c>
      <c r="D114" s="35">
        <f t="shared" si="5"/>
        <v>0</v>
      </c>
      <c r="E114" s="35">
        <f t="shared" si="6"/>
        <v>0.00263232514177694</v>
      </c>
      <c r="F114" s="35">
        <f t="shared" si="7"/>
        <v>0.00225897920604915</v>
      </c>
      <c r="G114" s="53">
        <v>0</v>
      </c>
      <c r="H114" s="35">
        <f t="shared" si="11"/>
        <v>0.00292480571308549</v>
      </c>
      <c r="I114" s="35">
        <f t="shared" si="12"/>
        <v>0.00250997689561017</v>
      </c>
      <c r="J114" s="35"/>
    </row>
    <row r="115" spans="1:10">
      <c r="A115" s="52">
        <v>50</v>
      </c>
      <c r="B115" s="52">
        <v>101</v>
      </c>
      <c r="C115" s="52">
        <v>0.64249</v>
      </c>
      <c r="D115" s="35">
        <f t="shared" si="5"/>
        <v>0</v>
      </c>
      <c r="E115" s="35">
        <f t="shared" si="6"/>
        <v>0.00263232514177694</v>
      </c>
      <c r="F115" s="35">
        <f t="shared" si="7"/>
        <v>0.00225897920604915</v>
      </c>
      <c r="G115" s="53">
        <v>0</v>
      </c>
      <c r="H115" s="35">
        <f t="shared" si="11"/>
        <v>0.00292480571308549</v>
      </c>
      <c r="I115" s="35">
        <f t="shared" si="12"/>
        <v>0.00250997689561017</v>
      </c>
      <c r="J115" s="35"/>
    </row>
    <row r="116" spans="1:10">
      <c r="A116" s="52">
        <v>51</v>
      </c>
      <c r="B116" s="52">
        <v>101</v>
      </c>
      <c r="C116" s="52">
        <v>0.87807</v>
      </c>
      <c r="D116" s="35">
        <f t="shared" si="5"/>
        <v>0</v>
      </c>
      <c r="E116" s="35">
        <f t="shared" si="6"/>
        <v>0.00263232514177694</v>
      </c>
      <c r="F116" s="35">
        <f t="shared" si="7"/>
        <v>0.00225897920604915</v>
      </c>
      <c r="G116" s="53">
        <v>0</v>
      </c>
      <c r="H116" s="35">
        <f t="shared" si="11"/>
        <v>0.00292480571308549</v>
      </c>
      <c r="I116" s="35">
        <f t="shared" si="12"/>
        <v>0.00250997689561017</v>
      </c>
      <c r="J116" s="35"/>
    </row>
    <row r="117" spans="1:10">
      <c r="A117" s="52">
        <v>56</v>
      </c>
      <c r="B117" s="52">
        <v>107</v>
      </c>
      <c r="C117" s="52">
        <v>1.2207</v>
      </c>
      <c r="D117" s="35">
        <f t="shared" si="5"/>
        <v>0</v>
      </c>
      <c r="E117" s="35">
        <f t="shared" si="6"/>
        <v>0.00263232514177694</v>
      </c>
      <c r="F117" s="35">
        <f t="shared" si="7"/>
        <v>0.00225897920604915</v>
      </c>
      <c r="G117" s="53">
        <v>0</v>
      </c>
      <c r="H117" s="35">
        <f t="shared" si="11"/>
        <v>0.00292480571308549</v>
      </c>
      <c r="I117" s="35">
        <f t="shared" si="12"/>
        <v>0.00250997689561017</v>
      </c>
      <c r="J117" s="35"/>
    </row>
    <row r="118" spans="1:10">
      <c r="A118" s="52">
        <v>59</v>
      </c>
      <c r="B118" s="52">
        <v>104</v>
      </c>
      <c r="C118" s="52">
        <v>1.213</v>
      </c>
      <c r="D118" s="35">
        <f t="shared" si="5"/>
        <v>0</v>
      </c>
      <c r="E118" s="35">
        <f t="shared" si="6"/>
        <v>0.00263232514177694</v>
      </c>
      <c r="F118" s="35">
        <f t="shared" si="7"/>
        <v>0.00225897920604915</v>
      </c>
      <c r="G118" s="53">
        <v>0</v>
      </c>
      <c r="H118" s="35">
        <f t="shared" si="11"/>
        <v>0.00292480571308549</v>
      </c>
      <c r="I118" s="35">
        <f t="shared" si="12"/>
        <v>0.00250997689561017</v>
      </c>
      <c r="J118" s="35"/>
    </row>
    <row r="119" spans="1:10">
      <c r="A119" s="52">
        <v>65</v>
      </c>
      <c r="B119" s="52">
        <v>131</v>
      </c>
      <c r="C119" s="52">
        <v>0.53541</v>
      </c>
      <c r="D119" s="35">
        <f t="shared" si="5"/>
        <v>0</v>
      </c>
      <c r="E119" s="35">
        <f t="shared" si="6"/>
        <v>0.00263232514177694</v>
      </c>
      <c r="F119" s="35">
        <f t="shared" si="7"/>
        <v>0.00225897920604915</v>
      </c>
      <c r="G119" s="53">
        <v>0</v>
      </c>
      <c r="H119" s="35">
        <f t="shared" si="11"/>
        <v>0.00292480571308549</v>
      </c>
      <c r="I119" s="35">
        <f t="shared" si="12"/>
        <v>0.00250997689561017</v>
      </c>
      <c r="J119" s="35"/>
    </row>
    <row r="120" spans="1:10">
      <c r="A120" s="52">
        <v>65</v>
      </c>
      <c r="B120" s="52">
        <v>133</v>
      </c>
      <c r="C120" s="52">
        <v>0.81176</v>
      </c>
      <c r="D120" s="35">
        <f t="shared" si="5"/>
        <v>0</v>
      </c>
      <c r="E120" s="35">
        <f t="shared" si="6"/>
        <v>0.00263232514177694</v>
      </c>
      <c r="F120" s="35">
        <f t="shared" si="7"/>
        <v>0.00225897920604915</v>
      </c>
      <c r="G120" s="53">
        <v>0</v>
      </c>
      <c r="H120" s="35">
        <f t="shared" si="11"/>
        <v>0.00292480571308549</v>
      </c>
      <c r="I120" s="35">
        <f t="shared" si="12"/>
        <v>0.00250997689561017</v>
      </c>
      <c r="J120" s="35"/>
    </row>
    <row r="121" spans="1:10">
      <c r="A121" s="52">
        <v>72</v>
      </c>
      <c r="B121" s="52">
        <v>119</v>
      </c>
      <c r="C121" s="52">
        <v>0.36812</v>
      </c>
      <c r="D121" s="35">
        <f t="shared" si="5"/>
        <v>0</v>
      </c>
      <c r="E121" s="35">
        <f t="shared" si="6"/>
        <v>0.00263232514177694</v>
      </c>
      <c r="F121" s="35">
        <f t="shared" si="7"/>
        <v>0.00225897920604915</v>
      </c>
      <c r="G121" s="53">
        <v>0</v>
      </c>
      <c r="H121" s="35">
        <f t="shared" si="11"/>
        <v>0.00292480571308549</v>
      </c>
      <c r="I121" s="35">
        <f t="shared" si="12"/>
        <v>0.00250997689561017</v>
      </c>
      <c r="J121" s="35"/>
    </row>
    <row r="122" spans="1:10">
      <c r="A122" s="52">
        <v>85</v>
      </c>
      <c r="B122" s="52">
        <v>111</v>
      </c>
      <c r="C122" s="52">
        <v>0.3115</v>
      </c>
      <c r="D122" s="35">
        <f t="shared" si="5"/>
        <v>0</v>
      </c>
      <c r="E122" s="35">
        <f t="shared" si="6"/>
        <v>0.00263232514177694</v>
      </c>
      <c r="F122" s="35">
        <f t="shared" si="7"/>
        <v>0.00225897920604915</v>
      </c>
      <c r="G122" s="53">
        <v>0</v>
      </c>
      <c r="H122" s="35">
        <f t="shared" si="11"/>
        <v>0.00292480571308549</v>
      </c>
      <c r="I122" s="35">
        <f t="shared" si="12"/>
        <v>0.00250997689561017</v>
      </c>
      <c r="J122" s="35"/>
    </row>
    <row r="123" spans="1:10">
      <c r="A123" s="52">
        <v>94</v>
      </c>
      <c r="B123" s="52">
        <v>106</v>
      </c>
      <c r="C123" s="52">
        <v>0.02831</v>
      </c>
      <c r="D123" s="35">
        <f t="shared" si="5"/>
        <v>0</v>
      </c>
      <c r="E123" s="35">
        <f t="shared" si="6"/>
        <v>0.00263232514177694</v>
      </c>
      <c r="F123" s="35">
        <f t="shared" si="7"/>
        <v>0.00225897920604915</v>
      </c>
      <c r="G123" s="53">
        <v>0</v>
      </c>
      <c r="H123" s="35">
        <f t="shared" si="11"/>
        <v>0.00292480571308549</v>
      </c>
      <c r="I123" s="35">
        <f t="shared" si="12"/>
        <v>0.00250997689561017</v>
      </c>
      <c r="J123" s="35"/>
    </row>
    <row r="124" spans="1:10">
      <c r="A124" s="52">
        <v>94</v>
      </c>
      <c r="B124" s="52">
        <v>110</v>
      </c>
      <c r="C124" s="52">
        <v>1.633</v>
      </c>
      <c r="D124" s="35">
        <f t="shared" si="5"/>
        <v>0</v>
      </c>
      <c r="E124" s="35">
        <f t="shared" si="6"/>
        <v>0.00263232514177694</v>
      </c>
      <c r="F124" s="35">
        <f t="shared" si="7"/>
        <v>0.00225897920604915</v>
      </c>
      <c r="G124" s="53">
        <v>0</v>
      </c>
      <c r="H124" s="35">
        <f t="shared" si="11"/>
        <v>0.00292480571308549</v>
      </c>
      <c r="I124" s="35">
        <f t="shared" si="12"/>
        <v>0.00250997689561017</v>
      </c>
      <c r="J124" s="35"/>
    </row>
    <row r="125" spans="1:10">
      <c r="A125" s="52">
        <v>100</v>
      </c>
      <c r="B125" s="52">
        <v>128</v>
      </c>
      <c r="C125" s="52">
        <v>0.11327</v>
      </c>
      <c r="D125" s="35">
        <f t="shared" si="5"/>
        <v>0</v>
      </c>
      <c r="E125" s="35">
        <f t="shared" si="6"/>
        <v>0.00263232514177694</v>
      </c>
      <c r="F125" s="35">
        <f t="shared" si="7"/>
        <v>0.00225897920604915</v>
      </c>
      <c r="G125" s="53">
        <v>0</v>
      </c>
      <c r="H125" s="35">
        <f t="shared" si="11"/>
        <v>0.00292480571308549</v>
      </c>
      <c r="I125" s="35">
        <f t="shared" si="12"/>
        <v>0.00250997689561017</v>
      </c>
      <c r="J125" s="35"/>
    </row>
    <row r="126" spans="1:10">
      <c r="A126" s="52">
        <v>101</v>
      </c>
      <c r="B126" s="52">
        <v>102</v>
      </c>
      <c r="C126" s="52">
        <v>0.55651</v>
      </c>
      <c r="D126" s="35">
        <f t="shared" si="5"/>
        <v>0</v>
      </c>
      <c r="E126" s="35">
        <f t="shared" si="6"/>
        <v>0.00263232514177694</v>
      </c>
      <c r="F126" s="35">
        <f t="shared" si="7"/>
        <v>0.00225897920604915</v>
      </c>
      <c r="G126" s="53">
        <v>0</v>
      </c>
      <c r="H126" s="35">
        <f t="shared" si="11"/>
        <v>0.00292480571308549</v>
      </c>
      <c r="I126" s="35">
        <f t="shared" si="12"/>
        <v>0.00250997689561017</v>
      </c>
      <c r="J126" s="35"/>
    </row>
    <row r="127" spans="1:10">
      <c r="A127" s="52">
        <v>102</v>
      </c>
      <c r="B127" s="52">
        <v>103</v>
      </c>
      <c r="C127" s="52">
        <v>1.05191</v>
      </c>
      <c r="D127" s="35">
        <f t="shared" si="5"/>
        <v>0</v>
      </c>
      <c r="E127" s="35">
        <f t="shared" si="6"/>
        <v>0.00263232514177694</v>
      </c>
      <c r="F127" s="35">
        <f t="shared" si="7"/>
        <v>0.00225897920604915</v>
      </c>
      <c r="G127" s="53">
        <v>0</v>
      </c>
      <c r="H127" s="35">
        <f t="shared" si="11"/>
        <v>0.00292480571308549</v>
      </c>
      <c r="I127" s="35">
        <f t="shared" si="12"/>
        <v>0.00250997689561017</v>
      </c>
      <c r="J127" s="35"/>
    </row>
    <row r="128" spans="1:10">
      <c r="A128" s="52">
        <v>104</v>
      </c>
      <c r="B128" s="52">
        <v>105</v>
      </c>
      <c r="C128" s="52">
        <v>0.59966</v>
      </c>
      <c r="D128" s="35">
        <f t="shared" si="5"/>
        <v>0</v>
      </c>
      <c r="E128" s="35">
        <f t="shared" si="6"/>
        <v>0.00263232514177694</v>
      </c>
      <c r="F128" s="35">
        <f t="shared" si="7"/>
        <v>0.00225897920604915</v>
      </c>
      <c r="G128" s="53">
        <v>0</v>
      </c>
      <c r="H128" s="35">
        <f t="shared" si="11"/>
        <v>0.00292480571308549</v>
      </c>
      <c r="I128" s="35">
        <f t="shared" si="12"/>
        <v>0.00250997689561017</v>
      </c>
      <c r="J128" s="35"/>
    </row>
    <row r="129" spans="1:10">
      <c r="A129" s="52">
        <v>105</v>
      </c>
      <c r="B129" s="52">
        <v>122</v>
      </c>
      <c r="C129" s="52">
        <v>0.24542</v>
      </c>
      <c r="D129" s="35">
        <f t="shared" si="5"/>
        <v>0</v>
      </c>
      <c r="E129" s="35">
        <f t="shared" si="6"/>
        <v>0.00263232514177694</v>
      </c>
      <c r="F129" s="35">
        <f t="shared" si="7"/>
        <v>0.00225897920604915</v>
      </c>
      <c r="G129" s="53">
        <v>0</v>
      </c>
      <c r="H129" s="35">
        <f t="shared" si="11"/>
        <v>0.00292480571308549</v>
      </c>
      <c r="I129" s="35">
        <f t="shared" si="12"/>
        <v>0.00250997689561017</v>
      </c>
      <c r="J129" s="35"/>
    </row>
    <row r="130" spans="1:10">
      <c r="A130" s="52">
        <v>106</v>
      </c>
      <c r="B130" s="52">
        <v>107</v>
      </c>
      <c r="C130" s="52">
        <v>0.29733</v>
      </c>
      <c r="D130" s="35">
        <f t="shared" si="5"/>
        <v>0</v>
      </c>
      <c r="E130" s="35">
        <f t="shared" si="6"/>
        <v>0.00263232514177694</v>
      </c>
      <c r="F130" s="35">
        <f t="shared" si="7"/>
        <v>0.00225897920604915</v>
      </c>
      <c r="G130" s="53">
        <v>0</v>
      </c>
      <c r="H130" s="35">
        <f t="shared" si="11"/>
        <v>0.00292480571308549</v>
      </c>
      <c r="I130" s="35">
        <f t="shared" si="12"/>
        <v>0.00250997689561017</v>
      </c>
      <c r="J130" s="35"/>
    </row>
    <row r="131" spans="1:10">
      <c r="A131" s="52">
        <v>107</v>
      </c>
      <c r="B131" s="52">
        <v>122</v>
      </c>
      <c r="C131" s="52">
        <v>0.34924</v>
      </c>
      <c r="D131" s="35">
        <f t="shared" si="5"/>
        <v>0</v>
      </c>
      <c r="E131" s="35">
        <f t="shared" si="6"/>
        <v>0.00263232514177694</v>
      </c>
      <c r="F131" s="35">
        <f t="shared" si="7"/>
        <v>0.00225897920604915</v>
      </c>
      <c r="G131" s="53">
        <v>0</v>
      </c>
      <c r="H131" s="35">
        <f t="shared" si="11"/>
        <v>0.00292480571308549</v>
      </c>
      <c r="I131" s="35">
        <f t="shared" si="12"/>
        <v>0.00250997689561017</v>
      </c>
      <c r="J131" s="35"/>
    </row>
    <row r="132" spans="1:10">
      <c r="A132" s="52">
        <v>107</v>
      </c>
      <c r="B132" s="52">
        <v>125</v>
      </c>
      <c r="C132" s="52">
        <v>1.10855</v>
      </c>
      <c r="D132" s="35">
        <f t="shared" ref="D132:D153" si="13">G132*$S$9</f>
        <v>0</v>
      </c>
      <c r="E132" s="35">
        <f t="shared" ref="E132:E153" si="14">H132*$S$9</f>
        <v>0.00263232514177694</v>
      </c>
      <c r="F132" s="35">
        <f t="shared" ref="F132:F153" si="15">I132*$S$9</f>
        <v>0.00225897920604915</v>
      </c>
      <c r="G132" s="53">
        <v>0</v>
      </c>
      <c r="H132" s="35">
        <f t="shared" si="11"/>
        <v>0.00292480571308549</v>
      </c>
      <c r="I132" s="35">
        <f t="shared" si="12"/>
        <v>0.00250997689561017</v>
      </c>
      <c r="J132" s="35"/>
    </row>
    <row r="133" spans="1:10">
      <c r="A133" s="52">
        <v>108</v>
      </c>
      <c r="B133" s="52">
        <v>109</v>
      </c>
      <c r="C133" s="52">
        <v>0.23125</v>
      </c>
      <c r="D133" s="35">
        <f t="shared" si="13"/>
        <v>0</v>
      </c>
      <c r="E133" s="35">
        <f t="shared" si="14"/>
        <v>0.00263232514177694</v>
      </c>
      <c r="F133" s="35">
        <f t="shared" si="15"/>
        <v>0.00225897920604915</v>
      </c>
      <c r="G133" s="53">
        <v>0</v>
      </c>
      <c r="H133" s="35">
        <f t="shared" si="11"/>
        <v>0.00292480571308549</v>
      </c>
      <c r="I133" s="35">
        <f t="shared" si="12"/>
        <v>0.00250997689561017</v>
      </c>
      <c r="J133" s="35"/>
    </row>
    <row r="134" spans="1:10">
      <c r="A134" s="52">
        <v>108</v>
      </c>
      <c r="B134" s="52">
        <v>122</v>
      </c>
      <c r="C134" s="52">
        <v>0.40588</v>
      </c>
      <c r="D134" s="35">
        <f t="shared" si="13"/>
        <v>0</v>
      </c>
      <c r="E134" s="35">
        <f t="shared" si="14"/>
        <v>0.00263232514177694</v>
      </c>
      <c r="F134" s="35">
        <f t="shared" si="15"/>
        <v>0.00225897920604915</v>
      </c>
      <c r="G134" s="53">
        <v>0</v>
      </c>
      <c r="H134" s="35">
        <f t="shared" si="11"/>
        <v>0.00292480571308549</v>
      </c>
      <c r="I134" s="35">
        <f t="shared" si="12"/>
        <v>0.00250997689561017</v>
      </c>
      <c r="J134" s="35"/>
    </row>
    <row r="135" spans="1:10">
      <c r="A135" s="52">
        <v>109</v>
      </c>
      <c r="B135" s="52">
        <v>110</v>
      </c>
      <c r="C135" s="52">
        <v>0.53462</v>
      </c>
      <c r="D135" s="35">
        <f t="shared" si="13"/>
        <v>0</v>
      </c>
      <c r="E135" s="35">
        <f t="shared" si="14"/>
        <v>0.00263232514177694</v>
      </c>
      <c r="F135" s="35">
        <f t="shared" si="15"/>
        <v>0.00225897920604915</v>
      </c>
      <c r="G135" s="53">
        <v>0</v>
      </c>
      <c r="H135" s="35">
        <f t="shared" si="11"/>
        <v>0.00292480571308549</v>
      </c>
      <c r="I135" s="35">
        <f t="shared" si="12"/>
        <v>0.00250997689561017</v>
      </c>
      <c r="J135" s="35"/>
    </row>
    <row r="136" spans="1:10">
      <c r="A136" s="52">
        <v>111</v>
      </c>
      <c r="B136" s="52">
        <v>112</v>
      </c>
      <c r="C136" s="52">
        <v>0.56136</v>
      </c>
      <c r="D136" s="35">
        <f t="shared" si="13"/>
        <v>0</v>
      </c>
      <c r="E136" s="35">
        <f t="shared" si="14"/>
        <v>0.00263232514177694</v>
      </c>
      <c r="F136" s="35">
        <f t="shared" si="15"/>
        <v>0.00225897920604915</v>
      </c>
      <c r="G136" s="53">
        <v>0</v>
      </c>
      <c r="H136" s="35">
        <f t="shared" si="11"/>
        <v>0.00292480571308549</v>
      </c>
      <c r="I136" s="35">
        <f t="shared" si="12"/>
        <v>0.00250997689561017</v>
      </c>
      <c r="J136" s="35"/>
    </row>
    <row r="137" spans="1:10">
      <c r="A137" s="52">
        <v>112</v>
      </c>
      <c r="B137" s="52">
        <v>113</v>
      </c>
      <c r="C137" s="52">
        <v>0.41434</v>
      </c>
      <c r="D137" s="35">
        <f t="shared" si="13"/>
        <v>0</v>
      </c>
      <c r="E137" s="35">
        <f t="shared" si="14"/>
        <v>0.00263232514177694</v>
      </c>
      <c r="F137" s="35">
        <f t="shared" si="15"/>
        <v>0.00225897920604915</v>
      </c>
      <c r="G137" s="53">
        <v>0</v>
      </c>
      <c r="H137" s="35">
        <f t="shared" si="11"/>
        <v>0.00292480571308549</v>
      </c>
      <c r="I137" s="35">
        <f t="shared" si="12"/>
        <v>0.00250997689561017</v>
      </c>
      <c r="J137" s="35"/>
    </row>
    <row r="138" spans="1:10">
      <c r="A138" s="52">
        <v>113</v>
      </c>
      <c r="B138" s="52">
        <v>114</v>
      </c>
      <c r="C138" s="54">
        <v>0.916562465369815</v>
      </c>
      <c r="D138" s="35">
        <f t="shared" si="13"/>
        <v>0</v>
      </c>
      <c r="E138" s="35">
        <f t="shared" si="14"/>
        <v>0.00263232514177694</v>
      </c>
      <c r="F138" s="35">
        <f t="shared" si="15"/>
        <v>0.00225897920604915</v>
      </c>
      <c r="G138" s="53">
        <v>0</v>
      </c>
      <c r="H138" s="35">
        <f t="shared" si="11"/>
        <v>0.00292480571308549</v>
      </c>
      <c r="I138" s="35">
        <f t="shared" si="12"/>
        <v>0.00250997689561017</v>
      </c>
      <c r="J138" s="35"/>
    </row>
    <row r="139" spans="1:10">
      <c r="A139" s="52">
        <v>114</v>
      </c>
      <c r="B139" s="52">
        <v>123</v>
      </c>
      <c r="C139" s="54">
        <v>1.70231450692765</v>
      </c>
      <c r="D139" s="35">
        <f t="shared" si="13"/>
        <v>0</v>
      </c>
      <c r="E139" s="35">
        <f t="shared" si="14"/>
        <v>0.00263232514177694</v>
      </c>
      <c r="F139" s="35">
        <f t="shared" si="15"/>
        <v>0.00225897920604915</v>
      </c>
      <c r="G139" s="53">
        <v>0</v>
      </c>
      <c r="H139" s="35">
        <f t="shared" si="11"/>
        <v>0.00292480571308549</v>
      </c>
      <c r="I139" s="35">
        <f t="shared" si="12"/>
        <v>0.00250997689561017</v>
      </c>
      <c r="J139" s="35"/>
    </row>
    <row r="140" spans="1:10">
      <c r="A140" s="52">
        <v>115</v>
      </c>
      <c r="B140" s="52">
        <v>116</v>
      </c>
      <c r="C140" s="54">
        <v>0.27625502642996</v>
      </c>
      <c r="D140" s="35">
        <f t="shared" si="13"/>
        <v>0</v>
      </c>
      <c r="E140" s="35">
        <f t="shared" si="14"/>
        <v>0.00263232514177694</v>
      </c>
      <c r="F140" s="35">
        <f t="shared" si="15"/>
        <v>0.00225897920604915</v>
      </c>
      <c r="G140" s="53">
        <v>0</v>
      </c>
      <c r="H140" s="35">
        <f t="shared" si="11"/>
        <v>0.00292480571308549</v>
      </c>
      <c r="I140" s="35">
        <f t="shared" si="12"/>
        <v>0.00250997689561017</v>
      </c>
      <c r="J140" s="35"/>
    </row>
    <row r="141" spans="1:10">
      <c r="A141" s="52">
        <v>115</v>
      </c>
      <c r="B141" s="52">
        <v>129</v>
      </c>
      <c r="C141" s="54">
        <v>0.904129555617597</v>
      </c>
      <c r="D141" s="35">
        <f t="shared" si="13"/>
        <v>0</v>
      </c>
      <c r="E141" s="35">
        <f t="shared" si="14"/>
        <v>0.00263232514177694</v>
      </c>
      <c r="F141" s="35">
        <f t="shared" si="15"/>
        <v>0.00225897920604915</v>
      </c>
      <c r="G141" s="53">
        <v>0</v>
      </c>
      <c r="H141" s="35">
        <f t="shared" si="11"/>
        <v>0.00292480571308549</v>
      </c>
      <c r="I141" s="35">
        <f t="shared" si="12"/>
        <v>0.00250997689561017</v>
      </c>
      <c r="J141" s="35"/>
    </row>
    <row r="142" spans="1:10">
      <c r="A142" s="52">
        <v>116</v>
      </c>
      <c r="B142" s="52">
        <v>117</v>
      </c>
      <c r="C142" s="54">
        <v>1.25492939949946</v>
      </c>
      <c r="D142" s="35">
        <f t="shared" si="13"/>
        <v>0</v>
      </c>
      <c r="E142" s="35">
        <f t="shared" si="14"/>
        <v>0.00263232514177694</v>
      </c>
      <c r="F142" s="35">
        <f t="shared" si="15"/>
        <v>0.00225897920604915</v>
      </c>
      <c r="G142" s="53">
        <v>0</v>
      </c>
      <c r="H142" s="35">
        <f t="shared" si="11"/>
        <v>0.00292480571308549</v>
      </c>
      <c r="I142" s="35">
        <f t="shared" si="12"/>
        <v>0.00250997689561017</v>
      </c>
      <c r="J142" s="35"/>
    </row>
    <row r="143" spans="1:10">
      <c r="A143" s="52">
        <v>117</v>
      </c>
      <c r="B143" s="52">
        <v>118</v>
      </c>
      <c r="C143" s="54">
        <v>0.862264174265412</v>
      </c>
      <c r="D143" s="35">
        <f t="shared" si="13"/>
        <v>0</v>
      </c>
      <c r="E143" s="35">
        <f t="shared" si="14"/>
        <v>0.00263232514177694</v>
      </c>
      <c r="F143" s="35">
        <f t="shared" si="15"/>
        <v>0.00225897920604915</v>
      </c>
      <c r="G143" s="53">
        <v>0</v>
      </c>
      <c r="H143" s="35">
        <f t="shared" si="11"/>
        <v>0.00292480571308549</v>
      </c>
      <c r="I143" s="35">
        <f t="shared" si="12"/>
        <v>0.00250997689561017</v>
      </c>
      <c r="J143" s="35"/>
    </row>
    <row r="144" spans="1:10">
      <c r="A144" s="52">
        <v>118</v>
      </c>
      <c r="B144" s="52">
        <v>130</v>
      </c>
      <c r="C144" s="54">
        <v>0.555481685339079</v>
      </c>
      <c r="D144" s="35">
        <f t="shared" si="13"/>
        <v>0</v>
      </c>
      <c r="E144" s="35">
        <f t="shared" si="14"/>
        <v>0.00263232514177694</v>
      </c>
      <c r="F144" s="35">
        <f t="shared" si="15"/>
        <v>0.00225897920604915</v>
      </c>
      <c r="G144" s="53">
        <v>0</v>
      </c>
      <c r="H144" s="35">
        <f t="shared" si="11"/>
        <v>0.00292480571308549</v>
      </c>
      <c r="I144" s="35">
        <f t="shared" si="12"/>
        <v>0.00250997689561017</v>
      </c>
      <c r="J144" s="35"/>
    </row>
    <row r="145" spans="1:10">
      <c r="A145" s="52">
        <v>119</v>
      </c>
      <c r="B145" s="52">
        <v>120</v>
      </c>
      <c r="C145" s="54">
        <v>0.641857069868741</v>
      </c>
      <c r="D145" s="35">
        <f t="shared" si="13"/>
        <v>0</v>
      </c>
      <c r="E145" s="35">
        <f t="shared" si="14"/>
        <v>0.00263232514177694</v>
      </c>
      <c r="F145" s="35">
        <f t="shared" si="15"/>
        <v>0.00225897920604915</v>
      </c>
      <c r="G145" s="53">
        <v>0</v>
      </c>
      <c r="H145" s="35">
        <f t="shared" si="11"/>
        <v>0.00292480571308549</v>
      </c>
      <c r="I145" s="35">
        <f t="shared" si="12"/>
        <v>0.00250997689561017</v>
      </c>
      <c r="J145" s="35"/>
    </row>
    <row r="146" spans="1:10">
      <c r="A146" s="52">
        <v>121</v>
      </c>
      <c r="B146" s="52">
        <v>132</v>
      </c>
      <c r="C146" s="54">
        <v>0.964301690101224</v>
      </c>
      <c r="D146" s="35">
        <f t="shared" si="13"/>
        <v>0</v>
      </c>
      <c r="E146" s="35">
        <f t="shared" si="14"/>
        <v>0.00263232514177694</v>
      </c>
      <c r="F146" s="35">
        <f t="shared" si="15"/>
        <v>0.00225897920604915</v>
      </c>
      <c r="G146" s="53">
        <v>0</v>
      </c>
      <c r="H146" s="35">
        <f t="shared" si="11"/>
        <v>0.00292480571308549</v>
      </c>
      <c r="I146" s="35">
        <f t="shared" si="12"/>
        <v>0.00250997689561017</v>
      </c>
      <c r="J146" s="35"/>
    </row>
    <row r="147" spans="1:10">
      <c r="A147" s="52">
        <v>123</v>
      </c>
      <c r="B147" s="52">
        <v>124</v>
      </c>
      <c r="C147" s="54">
        <v>0.581637430450087</v>
      </c>
      <c r="D147" s="35">
        <f t="shared" si="13"/>
        <v>0</v>
      </c>
      <c r="E147" s="35">
        <f t="shared" si="14"/>
        <v>0.00263232514177694</v>
      </c>
      <c r="F147" s="35">
        <f t="shared" si="15"/>
        <v>0.00225897920604915</v>
      </c>
      <c r="G147" s="53">
        <v>0</v>
      </c>
      <c r="H147" s="35">
        <f t="shared" si="11"/>
        <v>0.00292480571308549</v>
      </c>
      <c r="I147" s="35">
        <f t="shared" si="12"/>
        <v>0.00250997689561017</v>
      </c>
      <c r="J147" s="35"/>
    </row>
    <row r="148" spans="1:10">
      <c r="A148" s="52">
        <v>124</v>
      </c>
      <c r="B148" s="52">
        <v>125</v>
      </c>
      <c r="C148" s="54">
        <v>0.357120695029446</v>
      </c>
      <c r="D148" s="35">
        <f t="shared" si="13"/>
        <v>0</v>
      </c>
      <c r="E148" s="35">
        <f t="shared" si="14"/>
        <v>0.00263232514177694</v>
      </c>
      <c r="F148" s="35">
        <f t="shared" si="15"/>
        <v>0.00225897920604915</v>
      </c>
      <c r="G148" s="53">
        <v>0</v>
      </c>
      <c r="H148" s="35">
        <f t="shared" si="11"/>
        <v>0.00292480571308549</v>
      </c>
      <c r="I148" s="35">
        <f t="shared" si="12"/>
        <v>0.00250997689561017</v>
      </c>
      <c r="J148" s="35"/>
    </row>
    <row r="149" spans="1:10">
      <c r="A149" s="52">
        <v>126</v>
      </c>
      <c r="B149" s="52">
        <v>127</v>
      </c>
      <c r="C149" s="54">
        <v>1.35827169624217</v>
      </c>
      <c r="D149" s="35">
        <f t="shared" si="13"/>
        <v>0</v>
      </c>
      <c r="E149" s="35">
        <f t="shared" si="14"/>
        <v>0.00263232514177694</v>
      </c>
      <c r="F149" s="35">
        <f t="shared" si="15"/>
        <v>0.00225897920604915</v>
      </c>
      <c r="G149" s="53">
        <v>0</v>
      </c>
      <c r="H149" s="35">
        <f t="shared" si="11"/>
        <v>0.00292480571308549</v>
      </c>
      <c r="I149" s="35">
        <f t="shared" si="12"/>
        <v>0.00250997689561017</v>
      </c>
      <c r="J149" s="35"/>
    </row>
    <row r="150" spans="1:10">
      <c r="A150" s="52">
        <v>127</v>
      </c>
      <c r="B150" s="52">
        <v>128</v>
      </c>
      <c r="C150" s="54">
        <v>0.359297049035422</v>
      </c>
      <c r="D150" s="35">
        <f t="shared" si="13"/>
        <v>0</v>
      </c>
      <c r="E150" s="35">
        <f t="shared" si="14"/>
        <v>0.00263232514177694</v>
      </c>
      <c r="F150" s="35">
        <f t="shared" si="15"/>
        <v>0.00225897920604915</v>
      </c>
      <c r="G150" s="53">
        <v>0</v>
      </c>
      <c r="H150" s="35">
        <f t="shared" si="11"/>
        <v>0.00292480571308549</v>
      </c>
      <c r="I150" s="35">
        <f t="shared" si="12"/>
        <v>0.00250997689561017</v>
      </c>
      <c r="J150" s="35"/>
    </row>
    <row r="151" spans="1:10">
      <c r="A151" s="52">
        <v>132</v>
      </c>
      <c r="B151" s="52">
        <v>133</v>
      </c>
      <c r="C151" s="54">
        <v>0.307052012567015</v>
      </c>
      <c r="D151" s="35">
        <f t="shared" si="13"/>
        <v>0</v>
      </c>
      <c r="E151" s="35">
        <f t="shared" si="14"/>
        <v>0.00263232514177694</v>
      </c>
      <c r="F151" s="35">
        <f t="shared" si="15"/>
        <v>0.00225897920604915</v>
      </c>
      <c r="G151" s="53">
        <v>0</v>
      </c>
      <c r="H151" s="35">
        <f t="shared" si="11"/>
        <v>0.00292480571308549</v>
      </c>
      <c r="I151" s="35">
        <f t="shared" si="12"/>
        <v>0.00250997689561017</v>
      </c>
      <c r="J151" s="35"/>
    </row>
    <row r="152" spans="1:10">
      <c r="A152" s="52">
        <v>133</v>
      </c>
      <c r="B152" s="52">
        <v>134</v>
      </c>
      <c r="C152" s="54">
        <v>0.452773103981693</v>
      </c>
      <c r="D152" s="35">
        <f t="shared" si="13"/>
        <v>0</v>
      </c>
      <c r="E152" s="35">
        <f t="shared" si="14"/>
        <v>0.00263232514177694</v>
      </c>
      <c r="F152" s="35">
        <f t="shared" si="15"/>
        <v>0.00225897920604915</v>
      </c>
      <c r="G152" s="53">
        <v>0</v>
      </c>
      <c r="H152" s="35">
        <f t="shared" si="11"/>
        <v>0.00292480571308549</v>
      </c>
      <c r="I152" s="35">
        <f t="shared" si="12"/>
        <v>0.00250997689561017</v>
      </c>
      <c r="J152" s="35"/>
    </row>
    <row r="153" spans="1:10">
      <c r="A153" s="52">
        <v>134</v>
      </c>
      <c r="B153" s="52">
        <v>135</v>
      </c>
      <c r="C153" s="54">
        <v>0.560965435989149</v>
      </c>
      <c r="D153" s="35">
        <f t="shared" si="13"/>
        <v>0</v>
      </c>
      <c r="E153" s="35">
        <f t="shared" si="14"/>
        <v>0.00263232514177694</v>
      </c>
      <c r="F153" s="35">
        <f t="shared" si="15"/>
        <v>0.00225897920604915</v>
      </c>
      <c r="G153" s="53">
        <v>0</v>
      </c>
      <c r="H153" s="35">
        <f t="shared" si="11"/>
        <v>0.00292480571308549</v>
      </c>
      <c r="I153" s="35">
        <f t="shared" si="12"/>
        <v>0.00250997689561017</v>
      </c>
      <c r="J153" s="35"/>
    </row>
  </sheetData>
  <mergeCells count="5">
    <mergeCell ref="D1:F1"/>
    <mergeCell ref="G1:I1"/>
    <mergeCell ref="L1:O1"/>
    <mergeCell ref="P1:S1"/>
    <mergeCell ref="K1:K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3"/>
  <sheetViews>
    <sheetView topLeftCell="S109" workbookViewId="0">
      <selection activeCell="X3" sqref="X3:AF153"/>
    </sheetView>
  </sheetViews>
  <sheetFormatPr defaultColWidth="11" defaultRowHeight="13.5"/>
  <cols>
    <col min="3" max="3" width="12.425" customWidth="1"/>
    <col min="4" max="4" width="12" customWidth="1"/>
    <col min="24" max="32" width="12.5666666666667" customWidth="1"/>
  </cols>
  <sheetData>
    <row r="1" spans="1:32">
      <c r="A1" s="48" t="s">
        <v>165</v>
      </c>
      <c r="B1" s="48" t="s">
        <v>166</v>
      </c>
      <c r="C1" s="48" t="s">
        <v>167</v>
      </c>
      <c r="D1" s="2" t="s">
        <v>168</v>
      </c>
      <c r="E1" s="2"/>
      <c r="F1" s="2"/>
      <c r="I1" s="48" t="s">
        <v>165</v>
      </c>
      <c r="J1" s="48" t="s">
        <v>166</v>
      </c>
      <c r="K1" s="2" t="s">
        <v>185</v>
      </c>
      <c r="L1" s="2"/>
      <c r="M1" s="2"/>
      <c r="N1" s="2"/>
      <c r="O1" s="2"/>
      <c r="P1" s="2"/>
      <c r="Q1" s="2"/>
      <c r="R1" s="2"/>
      <c r="S1" s="2"/>
      <c r="V1" s="48" t="s">
        <v>165</v>
      </c>
      <c r="W1" s="48" t="s">
        <v>166</v>
      </c>
      <c r="X1" s="2" t="s">
        <v>186</v>
      </c>
      <c r="Y1" s="2"/>
      <c r="Z1" s="2"/>
      <c r="AA1" s="2"/>
      <c r="AB1" s="2"/>
      <c r="AC1" s="2"/>
      <c r="AD1" s="2"/>
      <c r="AE1" s="2"/>
      <c r="AF1" s="2"/>
    </row>
    <row r="2" spans="1:32">
      <c r="A2" s="48"/>
      <c r="B2" s="48"/>
      <c r="C2" s="48"/>
      <c r="D2" t="s">
        <v>173</v>
      </c>
      <c r="E2">
        <v>1</v>
      </c>
      <c r="F2">
        <v>2</v>
      </c>
      <c r="I2" s="48"/>
      <c r="J2" s="48"/>
      <c r="K2" t="s">
        <v>187</v>
      </c>
      <c r="L2" t="s">
        <v>188</v>
      </c>
      <c r="M2" t="s">
        <v>189</v>
      </c>
      <c r="N2">
        <v>1.1</v>
      </c>
      <c r="O2">
        <v>1.2</v>
      </c>
      <c r="P2">
        <v>1.3</v>
      </c>
      <c r="Q2">
        <v>2.1</v>
      </c>
      <c r="R2">
        <v>2.2</v>
      </c>
      <c r="S2">
        <v>2.3</v>
      </c>
      <c r="V2" s="48"/>
      <c r="W2" s="48"/>
      <c r="X2" t="s">
        <v>187</v>
      </c>
      <c r="Y2" t="s">
        <v>188</v>
      </c>
      <c r="Z2" t="s">
        <v>189</v>
      </c>
      <c r="AA2">
        <v>1.1</v>
      </c>
      <c r="AB2">
        <v>1.2</v>
      </c>
      <c r="AC2">
        <v>1.3</v>
      </c>
      <c r="AD2">
        <v>2.1</v>
      </c>
      <c r="AE2">
        <v>2.2</v>
      </c>
      <c r="AF2">
        <v>2.3</v>
      </c>
    </row>
    <row r="3" spans="1:32">
      <c r="A3" s="49">
        <v>201</v>
      </c>
      <c r="B3" s="49">
        <v>1</v>
      </c>
      <c r="C3" s="49">
        <v>0.83536</v>
      </c>
      <c r="D3" s="49">
        <v>0.00263232514177694</v>
      </c>
      <c r="E3" s="49">
        <v>0</v>
      </c>
      <c r="F3" s="49">
        <v>0</v>
      </c>
      <c r="I3" s="49">
        <v>201</v>
      </c>
      <c r="J3" s="49">
        <v>1</v>
      </c>
      <c r="K3">
        <f>M3*0.25</f>
        <v>1.57</v>
      </c>
      <c r="L3">
        <f>M3*0.55</f>
        <v>3.454</v>
      </c>
      <c r="M3">
        <v>6.28</v>
      </c>
      <c r="N3">
        <f>P3*0.25</f>
        <v>0</v>
      </c>
      <c r="O3">
        <f>P3*0.55</f>
        <v>0</v>
      </c>
      <c r="P3">
        <v>0</v>
      </c>
      <c r="Q3">
        <f t="shared" ref="Q3:Q26" si="0">S3*0.25</f>
        <v>0</v>
      </c>
      <c r="R3">
        <f t="shared" ref="R3:R27" si="1">S3*0.55</f>
        <v>0</v>
      </c>
      <c r="S3">
        <v>0</v>
      </c>
      <c r="V3" s="49">
        <v>201</v>
      </c>
      <c r="W3" s="49">
        <v>1</v>
      </c>
      <c r="X3" s="50">
        <f>K3^2*D3*C3</f>
        <v>0.0054201650626087</v>
      </c>
      <c r="Y3" s="50">
        <f>L3^2*D3*C3</f>
        <v>0.0262335989030261</v>
      </c>
      <c r="Z3" s="50">
        <f>M3^2*D3*C3</f>
        <v>0.0867226410017391</v>
      </c>
      <c r="AA3" s="50">
        <f>N3^2*E3*C3</f>
        <v>0</v>
      </c>
      <c r="AB3" s="50">
        <f>O3^2*E3*C3</f>
        <v>0</v>
      </c>
      <c r="AC3" s="50">
        <f>P3^2*E3*C3</f>
        <v>0</v>
      </c>
      <c r="AD3" s="50">
        <f>Q3^2*F3*C3</f>
        <v>0</v>
      </c>
      <c r="AE3" s="50">
        <f>R3^2*F3*C3</f>
        <v>0</v>
      </c>
      <c r="AF3" s="50">
        <f>S3^2*F3*C3</f>
        <v>0</v>
      </c>
    </row>
    <row r="4" spans="1:32">
      <c r="A4" s="49">
        <v>202</v>
      </c>
      <c r="B4" s="49">
        <v>60</v>
      </c>
      <c r="C4" s="49">
        <v>0.00472</v>
      </c>
      <c r="D4" s="49">
        <v>0.00263232514177694</v>
      </c>
      <c r="E4" s="49">
        <v>0</v>
      </c>
      <c r="F4" s="49">
        <v>0</v>
      </c>
      <c r="I4" s="49">
        <v>202</v>
      </c>
      <c r="J4" s="49">
        <v>60</v>
      </c>
      <c r="K4">
        <f t="shared" ref="K4:K11" si="2">M4*0.25</f>
        <v>1.57</v>
      </c>
      <c r="L4">
        <f t="shared" ref="L4:L67" si="3">M4*0.55</f>
        <v>3.454</v>
      </c>
      <c r="M4">
        <v>6.28</v>
      </c>
      <c r="N4">
        <f t="shared" ref="N4:N67" si="4">P4*0.25</f>
        <v>0</v>
      </c>
      <c r="O4">
        <f t="shared" ref="O4:O67" si="5">P4*0.55</f>
        <v>0</v>
      </c>
      <c r="P4">
        <v>0</v>
      </c>
      <c r="Q4">
        <f t="shared" si="0"/>
        <v>0</v>
      </c>
      <c r="R4">
        <f t="shared" si="1"/>
        <v>0</v>
      </c>
      <c r="S4">
        <v>0</v>
      </c>
      <c r="V4" s="49">
        <v>202</v>
      </c>
      <c r="W4" s="49">
        <v>60</v>
      </c>
      <c r="X4" s="50">
        <f>K4^2*D4*C4</f>
        <v>3.06253341020794e-5</v>
      </c>
      <c r="Y4" s="50">
        <f>L4^2*D4*C4</f>
        <v>0.000148226617054064</v>
      </c>
      <c r="Z4" s="50">
        <f>M4^2*D4*C4</f>
        <v>0.00049000534563327</v>
      </c>
      <c r="AA4" s="50">
        <f t="shared" ref="AA4:AA67" si="6">N4^2*E4*C4</f>
        <v>0</v>
      </c>
      <c r="AB4" s="50">
        <f t="shared" ref="AB4:AB67" si="7">O4^2*E4*C4</f>
        <v>0</v>
      </c>
      <c r="AC4" s="50">
        <f t="shared" ref="AC4:AC67" si="8">P4^2*E4*C4</f>
        <v>0</v>
      </c>
      <c r="AD4" s="50">
        <f t="shared" ref="AD4:AD67" si="9">Q4^2*F4*C4</f>
        <v>0</v>
      </c>
      <c r="AE4" s="50">
        <f t="shared" ref="AE4:AE67" si="10">R4^2*F4*C4</f>
        <v>0</v>
      </c>
      <c r="AF4" s="50">
        <f t="shared" ref="AF4:AF67" si="11">S4^2*F4*C4</f>
        <v>0</v>
      </c>
    </row>
    <row r="5" spans="1:32">
      <c r="A5" s="49">
        <v>202</v>
      </c>
      <c r="B5" s="49">
        <v>66</v>
      </c>
      <c r="C5" s="49">
        <v>0.56169</v>
      </c>
      <c r="D5" s="49">
        <v>0.00263232514177694</v>
      </c>
      <c r="E5" s="49">
        <v>0</v>
      </c>
      <c r="F5" s="49">
        <v>0</v>
      </c>
      <c r="I5" s="49">
        <v>202</v>
      </c>
      <c r="J5" s="49">
        <v>66</v>
      </c>
      <c r="K5">
        <f t="shared" si="2"/>
        <v>1.57</v>
      </c>
      <c r="L5">
        <f t="shared" si="3"/>
        <v>3.454</v>
      </c>
      <c r="M5">
        <v>6.28</v>
      </c>
      <c r="N5">
        <f t="shared" si="4"/>
        <v>0</v>
      </c>
      <c r="O5">
        <f t="shared" si="5"/>
        <v>0</v>
      </c>
      <c r="P5">
        <v>0</v>
      </c>
      <c r="Q5">
        <f t="shared" si="0"/>
        <v>0</v>
      </c>
      <c r="R5">
        <f t="shared" si="1"/>
        <v>0</v>
      </c>
      <c r="S5">
        <v>0</v>
      </c>
      <c r="V5" s="49">
        <v>202</v>
      </c>
      <c r="W5" s="49">
        <v>66</v>
      </c>
      <c r="X5" s="50">
        <f t="shared" ref="X5:X68" si="12">K5^2*D5*C5</f>
        <v>0.00364447964232987</v>
      </c>
      <c r="Y5" s="50">
        <f t="shared" ref="Y5:Y68" si="13">L5^2*D5*C5</f>
        <v>0.0176392814688766</v>
      </c>
      <c r="Z5" s="50">
        <f t="shared" ref="Z5:Z68" si="14">M5^2*D5*C5</f>
        <v>0.0583116742772779</v>
      </c>
      <c r="AA5" s="50">
        <f t="shared" si="6"/>
        <v>0</v>
      </c>
      <c r="AB5" s="50">
        <f t="shared" si="7"/>
        <v>0</v>
      </c>
      <c r="AC5" s="50">
        <f t="shared" si="8"/>
        <v>0</v>
      </c>
      <c r="AD5" s="50">
        <f t="shared" si="9"/>
        <v>0</v>
      </c>
      <c r="AE5" s="50">
        <f t="shared" si="10"/>
        <v>0</v>
      </c>
      <c r="AF5" s="50">
        <f t="shared" si="11"/>
        <v>0</v>
      </c>
    </row>
    <row r="6" spans="1:32">
      <c r="A6" s="49">
        <v>202</v>
      </c>
      <c r="B6" s="49">
        <v>74</v>
      </c>
      <c r="C6" s="49">
        <v>0.25014</v>
      </c>
      <c r="D6" s="49">
        <v>0.00263232514177694</v>
      </c>
      <c r="E6" s="49">
        <v>0</v>
      </c>
      <c r="F6" s="49">
        <v>0</v>
      </c>
      <c r="I6" s="49">
        <v>202</v>
      </c>
      <c r="J6" s="49">
        <v>74</v>
      </c>
      <c r="K6">
        <f t="shared" si="2"/>
        <v>1.57</v>
      </c>
      <c r="L6">
        <f t="shared" si="3"/>
        <v>3.454</v>
      </c>
      <c r="M6">
        <v>6.28</v>
      </c>
      <c r="N6">
        <f t="shared" si="4"/>
        <v>0</v>
      </c>
      <c r="O6">
        <f t="shared" si="5"/>
        <v>0</v>
      </c>
      <c r="P6">
        <v>0</v>
      </c>
      <c r="Q6">
        <f t="shared" si="0"/>
        <v>0</v>
      </c>
      <c r="R6">
        <f t="shared" si="1"/>
        <v>0</v>
      </c>
      <c r="S6">
        <v>0</v>
      </c>
      <c r="V6" s="49">
        <v>202</v>
      </c>
      <c r="W6" s="49">
        <v>74</v>
      </c>
      <c r="X6" s="50">
        <f t="shared" si="12"/>
        <v>0.00162301293904537</v>
      </c>
      <c r="Y6" s="50">
        <f t="shared" si="13"/>
        <v>0.00785538262497959</v>
      </c>
      <c r="Z6" s="50">
        <f t="shared" si="14"/>
        <v>0.0259682070247259</v>
      </c>
      <c r="AA6" s="50">
        <f t="shared" si="6"/>
        <v>0</v>
      </c>
      <c r="AB6" s="50">
        <f t="shared" si="7"/>
        <v>0</v>
      </c>
      <c r="AC6" s="50">
        <f t="shared" si="8"/>
        <v>0</v>
      </c>
      <c r="AD6" s="50">
        <f t="shared" si="9"/>
        <v>0</v>
      </c>
      <c r="AE6" s="50">
        <f t="shared" si="10"/>
        <v>0</v>
      </c>
      <c r="AF6" s="50">
        <f t="shared" si="11"/>
        <v>0</v>
      </c>
    </row>
    <row r="7" spans="1:32">
      <c r="A7" s="49">
        <v>202</v>
      </c>
      <c r="B7" s="49">
        <v>95</v>
      </c>
      <c r="C7" s="49">
        <v>0.39173</v>
      </c>
      <c r="D7" s="49">
        <v>0.00263232514177694</v>
      </c>
      <c r="E7" s="49">
        <v>0</v>
      </c>
      <c r="F7" s="49">
        <v>0</v>
      </c>
      <c r="I7" s="49">
        <v>202</v>
      </c>
      <c r="J7" s="49">
        <v>95</v>
      </c>
      <c r="K7">
        <f t="shared" si="2"/>
        <v>1.57</v>
      </c>
      <c r="L7">
        <f t="shared" si="3"/>
        <v>3.454</v>
      </c>
      <c r="M7">
        <v>6.28</v>
      </c>
      <c r="N7">
        <f t="shared" si="4"/>
        <v>0</v>
      </c>
      <c r="O7">
        <f t="shared" si="5"/>
        <v>0</v>
      </c>
      <c r="P7">
        <v>0</v>
      </c>
      <c r="Q7">
        <f t="shared" si="0"/>
        <v>0</v>
      </c>
      <c r="R7">
        <f t="shared" si="1"/>
        <v>0</v>
      </c>
      <c r="S7">
        <v>0</v>
      </c>
      <c r="V7" s="49">
        <v>202</v>
      </c>
      <c r="W7" s="49">
        <v>95</v>
      </c>
      <c r="X7" s="50">
        <f t="shared" si="12"/>
        <v>0.00254170807792533</v>
      </c>
      <c r="Y7" s="50">
        <f t="shared" si="13"/>
        <v>0.0123018670971586</v>
      </c>
      <c r="Z7" s="50">
        <f t="shared" si="14"/>
        <v>0.0406673292468053</v>
      </c>
      <c r="AA7" s="50">
        <f t="shared" si="6"/>
        <v>0</v>
      </c>
      <c r="AB7" s="50">
        <f t="shared" si="7"/>
        <v>0</v>
      </c>
      <c r="AC7" s="50">
        <f t="shared" si="8"/>
        <v>0</v>
      </c>
      <c r="AD7" s="50">
        <f t="shared" si="9"/>
        <v>0</v>
      </c>
      <c r="AE7" s="50">
        <f t="shared" si="10"/>
        <v>0</v>
      </c>
      <c r="AF7" s="50">
        <f t="shared" si="11"/>
        <v>0</v>
      </c>
    </row>
    <row r="8" spans="1:32">
      <c r="A8" s="49">
        <v>1</v>
      </c>
      <c r="B8" s="49">
        <v>2</v>
      </c>
      <c r="C8" s="49">
        <v>0.4106</v>
      </c>
      <c r="D8" s="49">
        <v>0.00263232514177694</v>
      </c>
      <c r="E8" s="49">
        <v>0</v>
      </c>
      <c r="F8" s="49">
        <v>0</v>
      </c>
      <c r="I8" s="49">
        <v>1</v>
      </c>
      <c r="J8" s="49">
        <v>2</v>
      </c>
      <c r="K8">
        <f t="shared" si="2"/>
        <v>1.57</v>
      </c>
      <c r="L8">
        <f t="shared" si="3"/>
        <v>3.454</v>
      </c>
      <c r="M8">
        <v>6.28</v>
      </c>
      <c r="N8">
        <f t="shared" si="4"/>
        <v>0</v>
      </c>
      <c r="O8">
        <f t="shared" si="5"/>
        <v>0</v>
      </c>
      <c r="P8">
        <v>0</v>
      </c>
      <c r="Q8">
        <f t="shared" si="0"/>
        <v>0</v>
      </c>
      <c r="R8">
        <f t="shared" si="1"/>
        <v>0</v>
      </c>
      <c r="S8">
        <v>0</v>
      </c>
      <c r="V8" s="49">
        <v>1</v>
      </c>
      <c r="W8" s="49">
        <v>2</v>
      </c>
      <c r="X8" s="50">
        <f t="shared" si="12"/>
        <v>0.00266414453015123</v>
      </c>
      <c r="Y8" s="50">
        <f t="shared" si="13"/>
        <v>0.012894459525932</v>
      </c>
      <c r="Z8" s="50">
        <f t="shared" si="14"/>
        <v>0.0426263124824197</v>
      </c>
      <c r="AA8" s="50">
        <f t="shared" si="6"/>
        <v>0</v>
      </c>
      <c r="AB8" s="50">
        <f t="shared" si="7"/>
        <v>0</v>
      </c>
      <c r="AC8" s="50">
        <f t="shared" si="8"/>
        <v>0</v>
      </c>
      <c r="AD8" s="50">
        <f t="shared" si="9"/>
        <v>0</v>
      </c>
      <c r="AE8" s="50">
        <f t="shared" si="10"/>
        <v>0</v>
      </c>
      <c r="AF8" s="50">
        <f t="shared" si="11"/>
        <v>0</v>
      </c>
    </row>
    <row r="9" spans="1:32">
      <c r="A9" s="49">
        <v>2</v>
      </c>
      <c r="B9" s="49">
        <v>3</v>
      </c>
      <c r="C9" s="49">
        <v>0.28789</v>
      </c>
      <c r="D9" s="49">
        <v>0.00263232514177694</v>
      </c>
      <c r="E9" s="49">
        <v>0</v>
      </c>
      <c r="F9" s="49">
        <v>0</v>
      </c>
      <c r="I9" s="49">
        <v>2</v>
      </c>
      <c r="J9" s="49">
        <v>3</v>
      </c>
      <c r="K9">
        <f t="shared" si="2"/>
        <v>1.57</v>
      </c>
      <c r="L9">
        <f t="shared" si="3"/>
        <v>3.454</v>
      </c>
      <c r="M9">
        <v>6.28</v>
      </c>
      <c r="N9">
        <f t="shared" si="4"/>
        <v>0</v>
      </c>
      <c r="O9">
        <f t="shared" si="5"/>
        <v>0</v>
      </c>
      <c r="P9">
        <v>0</v>
      </c>
      <c r="Q9">
        <f t="shared" si="0"/>
        <v>0</v>
      </c>
      <c r="R9">
        <f t="shared" si="1"/>
        <v>0</v>
      </c>
      <c r="S9">
        <v>0</v>
      </c>
      <c r="V9" s="49">
        <v>2</v>
      </c>
      <c r="W9" s="49">
        <v>3</v>
      </c>
      <c r="X9" s="50">
        <f t="shared" si="12"/>
        <v>0.00186795072767958</v>
      </c>
      <c r="Y9" s="50">
        <f t="shared" si="13"/>
        <v>0.00904088152196919</v>
      </c>
      <c r="Z9" s="50">
        <f t="shared" si="14"/>
        <v>0.0298872116428733</v>
      </c>
      <c r="AA9" s="50">
        <f t="shared" si="6"/>
        <v>0</v>
      </c>
      <c r="AB9" s="50">
        <f t="shared" si="7"/>
        <v>0</v>
      </c>
      <c r="AC9" s="50">
        <f t="shared" si="8"/>
        <v>0</v>
      </c>
      <c r="AD9" s="50">
        <f t="shared" si="9"/>
        <v>0</v>
      </c>
      <c r="AE9" s="50">
        <f t="shared" si="10"/>
        <v>0</v>
      </c>
      <c r="AF9" s="50">
        <f t="shared" si="11"/>
        <v>0</v>
      </c>
    </row>
    <row r="10" spans="1:32">
      <c r="A10" s="49">
        <v>3</v>
      </c>
      <c r="B10" s="49">
        <v>4</v>
      </c>
      <c r="C10" s="49">
        <v>0.08019</v>
      </c>
      <c r="D10" s="49">
        <v>0.00263232514177694</v>
      </c>
      <c r="E10" s="49">
        <v>0</v>
      </c>
      <c r="F10" s="49">
        <v>0</v>
      </c>
      <c r="I10" s="49">
        <v>3</v>
      </c>
      <c r="J10" s="49">
        <v>4</v>
      </c>
      <c r="K10">
        <f t="shared" si="2"/>
        <v>1.57</v>
      </c>
      <c r="L10">
        <f t="shared" si="3"/>
        <v>3.454</v>
      </c>
      <c r="M10">
        <v>6.28</v>
      </c>
      <c r="N10">
        <f t="shared" si="4"/>
        <v>0</v>
      </c>
      <c r="O10">
        <f t="shared" si="5"/>
        <v>0</v>
      </c>
      <c r="P10">
        <v>0</v>
      </c>
      <c r="Q10">
        <f t="shared" si="0"/>
        <v>0</v>
      </c>
      <c r="R10">
        <f t="shared" si="1"/>
        <v>0</v>
      </c>
      <c r="S10">
        <v>0</v>
      </c>
      <c r="V10" s="49">
        <v>3</v>
      </c>
      <c r="W10" s="49">
        <v>4</v>
      </c>
      <c r="X10" s="50">
        <f t="shared" si="12"/>
        <v>0.000520306258823251</v>
      </c>
      <c r="Y10" s="50">
        <f t="shared" si="13"/>
        <v>0.00251828229270454</v>
      </c>
      <c r="Z10" s="50">
        <f t="shared" si="14"/>
        <v>0.00832490014117202</v>
      </c>
      <c r="AA10" s="50">
        <f t="shared" si="6"/>
        <v>0</v>
      </c>
      <c r="AB10" s="50">
        <f t="shared" si="7"/>
        <v>0</v>
      </c>
      <c r="AC10" s="50">
        <f t="shared" si="8"/>
        <v>0</v>
      </c>
      <c r="AD10" s="50">
        <f t="shared" si="9"/>
        <v>0</v>
      </c>
      <c r="AE10" s="50">
        <f t="shared" si="10"/>
        <v>0</v>
      </c>
      <c r="AF10" s="50">
        <f t="shared" si="11"/>
        <v>0</v>
      </c>
    </row>
    <row r="11" spans="1:32">
      <c r="A11" s="49">
        <v>4</v>
      </c>
      <c r="B11" s="49">
        <v>5</v>
      </c>
      <c r="C11" s="49">
        <v>0.58895</v>
      </c>
      <c r="D11" s="49">
        <v>0.00263232514177694</v>
      </c>
      <c r="E11" s="49">
        <v>0</v>
      </c>
      <c r="F11" s="49">
        <v>0</v>
      </c>
      <c r="I11" s="49">
        <v>4</v>
      </c>
      <c r="J11" s="49">
        <v>5</v>
      </c>
      <c r="K11">
        <f t="shared" si="2"/>
        <v>1.57</v>
      </c>
      <c r="L11">
        <f t="shared" si="3"/>
        <v>3.454</v>
      </c>
      <c r="M11">
        <v>6.28</v>
      </c>
      <c r="N11">
        <f t="shared" si="4"/>
        <v>0</v>
      </c>
      <c r="O11">
        <f t="shared" si="5"/>
        <v>0</v>
      </c>
      <c r="P11">
        <v>0</v>
      </c>
      <c r="Q11">
        <f t="shared" si="0"/>
        <v>0</v>
      </c>
      <c r="R11">
        <f t="shared" si="1"/>
        <v>0</v>
      </c>
      <c r="S11">
        <v>0</v>
      </c>
      <c r="V11" s="49">
        <v>4</v>
      </c>
      <c r="W11" s="49">
        <v>5</v>
      </c>
      <c r="X11" s="50">
        <f t="shared" si="12"/>
        <v>0.00382135392360586</v>
      </c>
      <c r="Y11" s="50">
        <f t="shared" si="13"/>
        <v>0.0184953529902524</v>
      </c>
      <c r="Z11" s="50">
        <f t="shared" si="14"/>
        <v>0.0611416627776938</v>
      </c>
      <c r="AA11" s="50">
        <f t="shared" si="6"/>
        <v>0</v>
      </c>
      <c r="AB11" s="50">
        <f t="shared" si="7"/>
        <v>0</v>
      </c>
      <c r="AC11" s="50">
        <f t="shared" si="8"/>
        <v>0</v>
      </c>
      <c r="AD11" s="50">
        <f t="shared" si="9"/>
        <v>0</v>
      </c>
      <c r="AE11" s="50">
        <f t="shared" si="10"/>
        <v>0</v>
      </c>
      <c r="AF11" s="50">
        <f t="shared" si="11"/>
        <v>0</v>
      </c>
    </row>
    <row r="12" spans="1:32">
      <c r="A12" s="49">
        <v>5</v>
      </c>
      <c r="B12" s="49">
        <v>6</v>
      </c>
      <c r="C12" s="49">
        <v>0.1537</v>
      </c>
      <c r="D12" s="49">
        <v>0.00263232514177694</v>
      </c>
      <c r="E12" s="49">
        <v>0</v>
      </c>
      <c r="F12" s="49">
        <v>0</v>
      </c>
      <c r="I12" s="49">
        <v>5</v>
      </c>
      <c r="J12" s="49">
        <v>6</v>
      </c>
      <c r="K12">
        <f t="shared" ref="K12:K75" si="15">M12*0.25</f>
        <v>1.57</v>
      </c>
      <c r="L12">
        <f t="shared" si="3"/>
        <v>3.454</v>
      </c>
      <c r="M12">
        <v>6.28</v>
      </c>
      <c r="N12">
        <f t="shared" si="4"/>
        <v>0</v>
      </c>
      <c r="O12">
        <f t="shared" si="5"/>
        <v>0</v>
      </c>
      <c r="P12">
        <v>0</v>
      </c>
      <c r="Q12">
        <f t="shared" si="0"/>
        <v>0</v>
      </c>
      <c r="R12">
        <f t="shared" si="1"/>
        <v>0</v>
      </c>
      <c r="S12">
        <v>0</v>
      </c>
      <c r="V12" s="49">
        <v>5</v>
      </c>
      <c r="W12" s="49">
        <v>6</v>
      </c>
      <c r="X12" s="50">
        <f t="shared" si="12"/>
        <v>0.00099726988379017</v>
      </c>
      <c r="Y12" s="50">
        <f t="shared" si="13"/>
        <v>0.00482678623754443</v>
      </c>
      <c r="Z12" s="50">
        <f t="shared" si="14"/>
        <v>0.0159563181406427</v>
      </c>
      <c r="AA12" s="50">
        <f t="shared" si="6"/>
        <v>0</v>
      </c>
      <c r="AB12" s="50">
        <f t="shared" si="7"/>
        <v>0</v>
      </c>
      <c r="AC12" s="50">
        <f t="shared" si="8"/>
        <v>0</v>
      </c>
      <c r="AD12" s="50">
        <f t="shared" si="9"/>
        <v>0</v>
      </c>
      <c r="AE12" s="50">
        <f t="shared" si="10"/>
        <v>0</v>
      </c>
      <c r="AF12" s="50">
        <f t="shared" si="11"/>
        <v>0</v>
      </c>
    </row>
    <row r="13" spans="1:32">
      <c r="A13" s="49">
        <v>6</v>
      </c>
      <c r="B13" s="49">
        <v>7</v>
      </c>
      <c r="C13" s="49">
        <v>0.44974</v>
      </c>
      <c r="D13" s="49">
        <v>0.00263232514177694</v>
      </c>
      <c r="E13" s="49">
        <v>0</v>
      </c>
      <c r="F13" s="49">
        <v>0</v>
      </c>
      <c r="I13" s="49">
        <v>6</v>
      </c>
      <c r="J13" s="49">
        <v>7</v>
      </c>
      <c r="K13">
        <f t="shared" si="15"/>
        <v>1.57</v>
      </c>
      <c r="L13">
        <f t="shared" si="3"/>
        <v>3.454</v>
      </c>
      <c r="M13">
        <v>6.28</v>
      </c>
      <c r="N13">
        <f t="shared" si="4"/>
        <v>0</v>
      </c>
      <c r="O13">
        <f t="shared" si="5"/>
        <v>0</v>
      </c>
      <c r="P13">
        <v>0</v>
      </c>
      <c r="Q13">
        <f t="shared" si="0"/>
        <v>0</v>
      </c>
      <c r="R13">
        <f t="shared" si="1"/>
        <v>0</v>
      </c>
      <c r="S13">
        <v>0</v>
      </c>
      <c r="V13" s="49">
        <v>6</v>
      </c>
      <c r="W13" s="49">
        <v>7</v>
      </c>
      <c r="X13" s="50">
        <f t="shared" si="12"/>
        <v>0.00291810122014178</v>
      </c>
      <c r="Y13" s="50">
        <f t="shared" si="13"/>
        <v>0.0141236099054862</v>
      </c>
      <c r="Z13" s="50">
        <f t="shared" si="14"/>
        <v>0.0466896195222684</v>
      </c>
      <c r="AA13" s="50">
        <f t="shared" si="6"/>
        <v>0</v>
      </c>
      <c r="AB13" s="50">
        <f t="shared" si="7"/>
        <v>0</v>
      </c>
      <c r="AC13" s="50">
        <f t="shared" si="8"/>
        <v>0</v>
      </c>
      <c r="AD13" s="50">
        <f t="shared" si="9"/>
        <v>0</v>
      </c>
      <c r="AE13" s="50">
        <f t="shared" si="10"/>
        <v>0</v>
      </c>
      <c r="AF13" s="50">
        <f t="shared" si="11"/>
        <v>0</v>
      </c>
    </row>
    <row r="14" spans="1:32">
      <c r="A14" s="49">
        <v>6</v>
      </c>
      <c r="B14" s="49">
        <v>8</v>
      </c>
      <c r="C14" s="49">
        <v>0.96991</v>
      </c>
      <c r="D14" s="49">
        <v>0.00263232514177694</v>
      </c>
      <c r="E14" s="49">
        <v>0</v>
      </c>
      <c r="F14" s="49">
        <v>0</v>
      </c>
      <c r="I14" s="49">
        <v>6</v>
      </c>
      <c r="J14" s="49">
        <v>8</v>
      </c>
      <c r="K14">
        <f t="shared" si="15"/>
        <v>1.57</v>
      </c>
      <c r="L14">
        <f t="shared" si="3"/>
        <v>3.454</v>
      </c>
      <c r="M14">
        <v>6.28</v>
      </c>
      <c r="N14">
        <f t="shared" si="4"/>
        <v>0</v>
      </c>
      <c r="O14">
        <f t="shared" si="5"/>
        <v>0</v>
      </c>
      <c r="P14">
        <v>0</v>
      </c>
      <c r="Q14">
        <f t="shared" si="0"/>
        <v>0</v>
      </c>
      <c r="R14">
        <f t="shared" si="1"/>
        <v>0</v>
      </c>
      <c r="S14">
        <v>0</v>
      </c>
      <c r="V14" s="49">
        <v>6</v>
      </c>
      <c r="W14" s="49">
        <v>8</v>
      </c>
      <c r="X14" s="50">
        <f t="shared" si="12"/>
        <v>0.00629318173706522</v>
      </c>
      <c r="Y14" s="50">
        <f t="shared" si="13"/>
        <v>0.0304589996073957</v>
      </c>
      <c r="Z14" s="50">
        <f t="shared" si="14"/>
        <v>0.100690907793044</v>
      </c>
      <c r="AA14" s="50">
        <f t="shared" si="6"/>
        <v>0</v>
      </c>
      <c r="AB14" s="50">
        <f t="shared" si="7"/>
        <v>0</v>
      </c>
      <c r="AC14" s="50">
        <f t="shared" si="8"/>
        <v>0</v>
      </c>
      <c r="AD14" s="50">
        <f t="shared" si="9"/>
        <v>0</v>
      </c>
      <c r="AE14" s="50">
        <f t="shared" si="10"/>
        <v>0</v>
      </c>
      <c r="AF14" s="50">
        <f t="shared" si="11"/>
        <v>0</v>
      </c>
    </row>
    <row r="15" spans="1:32">
      <c r="A15" s="49">
        <v>8</v>
      </c>
      <c r="B15" s="49">
        <v>9</v>
      </c>
      <c r="C15" s="49">
        <v>0.16708</v>
      </c>
      <c r="D15" s="49">
        <v>0.00263232514177694</v>
      </c>
      <c r="E15" s="49">
        <v>0</v>
      </c>
      <c r="F15" s="49">
        <v>0</v>
      </c>
      <c r="I15" s="49">
        <v>8</v>
      </c>
      <c r="J15" s="49">
        <v>9</v>
      </c>
      <c r="K15">
        <f t="shared" si="15"/>
        <v>1.57</v>
      </c>
      <c r="L15">
        <f t="shared" si="3"/>
        <v>3.454</v>
      </c>
      <c r="M15">
        <v>6.28</v>
      </c>
      <c r="N15">
        <f t="shared" si="4"/>
        <v>0</v>
      </c>
      <c r="O15">
        <f t="shared" si="5"/>
        <v>0</v>
      </c>
      <c r="P15">
        <v>0</v>
      </c>
      <c r="Q15">
        <f t="shared" si="0"/>
        <v>0</v>
      </c>
      <c r="R15">
        <f t="shared" si="1"/>
        <v>0</v>
      </c>
      <c r="S15">
        <v>0</v>
      </c>
      <c r="V15" s="49">
        <v>8</v>
      </c>
      <c r="W15" s="49">
        <v>9</v>
      </c>
      <c r="X15" s="50">
        <f t="shared" si="12"/>
        <v>0.00108408491986768</v>
      </c>
      <c r="Y15" s="50">
        <f t="shared" si="13"/>
        <v>0.00524697101215955</v>
      </c>
      <c r="Z15" s="50">
        <f t="shared" si="14"/>
        <v>0.0173453587178828</v>
      </c>
      <c r="AA15" s="50">
        <f t="shared" si="6"/>
        <v>0</v>
      </c>
      <c r="AB15" s="50">
        <f t="shared" si="7"/>
        <v>0</v>
      </c>
      <c r="AC15" s="50">
        <f t="shared" si="8"/>
        <v>0</v>
      </c>
      <c r="AD15" s="50">
        <f t="shared" si="9"/>
        <v>0</v>
      </c>
      <c r="AE15" s="50">
        <f t="shared" si="10"/>
        <v>0</v>
      </c>
      <c r="AF15" s="50">
        <f t="shared" si="11"/>
        <v>0</v>
      </c>
    </row>
    <row r="16" spans="1:32">
      <c r="A16" s="49">
        <v>8</v>
      </c>
      <c r="B16" s="49">
        <v>10</v>
      </c>
      <c r="C16" s="49">
        <v>0.56753</v>
      </c>
      <c r="D16" s="49">
        <v>0.00263232514177694</v>
      </c>
      <c r="E16" s="49">
        <v>0</v>
      </c>
      <c r="F16" s="49">
        <v>0</v>
      </c>
      <c r="I16" s="49">
        <v>8</v>
      </c>
      <c r="J16" s="49">
        <v>10</v>
      </c>
      <c r="K16">
        <f t="shared" si="15"/>
        <v>1.57</v>
      </c>
      <c r="L16">
        <f t="shared" si="3"/>
        <v>3.454</v>
      </c>
      <c r="M16">
        <v>6.28</v>
      </c>
      <c r="N16">
        <f t="shared" si="4"/>
        <v>0</v>
      </c>
      <c r="O16">
        <f t="shared" si="5"/>
        <v>0</v>
      </c>
      <c r="P16">
        <v>0</v>
      </c>
      <c r="Q16">
        <f t="shared" si="0"/>
        <v>0</v>
      </c>
      <c r="R16">
        <f t="shared" si="1"/>
        <v>0</v>
      </c>
      <c r="S16">
        <v>0</v>
      </c>
      <c r="V16" s="49">
        <v>8</v>
      </c>
      <c r="W16" s="49">
        <v>10</v>
      </c>
      <c r="X16" s="50">
        <f t="shared" si="12"/>
        <v>0.00368237200486295</v>
      </c>
      <c r="Y16" s="50">
        <f t="shared" si="13"/>
        <v>0.0178226805035367</v>
      </c>
      <c r="Z16" s="50">
        <f t="shared" si="14"/>
        <v>0.0589179520778072</v>
      </c>
      <c r="AA16" s="50">
        <f t="shared" si="6"/>
        <v>0</v>
      </c>
      <c r="AB16" s="50">
        <f t="shared" si="7"/>
        <v>0</v>
      </c>
      <c r="AC16" s="50">
        <f t="shared" si="8"/>
        <v>0</v>
      </c>
      <c r="AD16" s="50">
        <f t="shared" si="9"/>
        <v>0</v>
      </c>
      <c r="AE16" s="50">
        <f t="shared" si="10"/>
        <v>0</v>
      </c>
      <c r="AF16" s="50">
        <f t="shared" si="11"/>
        <v>0</v>
      </c>
    </row>
    <row r="17" spans="1:32">
      <c r="A17" s="49">
        <v>10</v>
      </c>
      <c r="B17" s="49">
        <v>11</v>
      </c>
      <c r="C17" s="49">
        <v>0.08019</v>
      </c>
      <c r="D17" s="49">
        <v>0.00263232514177694</v>
      </c>
      <c r="E17" s="49">
        <v>0</v>
      </c>
      <c r="F17" s="49">
        <v>0</v>
      </c>
      <c r="I17" s="49">
        <v>10</v>
      </c>
      <c r="J17" s="49">
        <v>11</v>
      </c>
      <c r="K17">
        <f t="shared" si="15"/>
        <v>1.57</v>
      </c>
      <c r="L17">
        <f t="shared" si="3"/>
        <v>3.454</v>
      </c>
      <c r="M17">
        <v>6.28</v>
      </c>
      <c r="N17">
        <f t="shared" si="4"/>
        <v>0</v>
      </c>
      <c r="O17">
        <f t="shared" si="5"/>
        <v>0</v>
      </c>
      <c r="P17">
        <v>0</v>
      </c>
      <c r="Q17">
        <f t="shared" si="0"/>
        <v>0</v>
      </c>
      <c r="R17">
        <f t="shared" si="1"/>
        <v>0</v>
      </c>
      <c r="S17">
        <v>0</v>
      </c>
      <c r="V17" s="49">
        <v>10</v>
      </c>
      <c r="W17" s="49">
        <v>11</v>
      </c>
      <c r="X17" s="50">
        <f t="shared" si="12"/>
        <v>0.000520306258823251</v>
      </c>
      <c r="Y17" s="50">
        <f t="shared" si="13"/>
        <v>0.00251828229270454</v>
      </c>
      <c r="Z17" s="50">
        <f t="shared" si="14"/>
        <v>0.00832490014117202</v>
      </c>
      <c r="AA17" s="50">
        <f t="shared" si="6"/>
        <v>0</v>
      </c>
      <c r="AB17" s="50">
        <f t="shared" si="7"/>
        <v>0</v>
      </c>
      <c r="AC17" s="50">
        <f t="shared" si="8"/>
        <v>0</v>
      </c>
      <c r="AD17" s="50">
        <f t="shared" si="9"/>
        <v>0</v>
      </c>
      <c r="AE17" s="50">
        <f t="shared" si="10"/>
        <v>0</v>
      </c>
      <c r="AF17" s="50">
        <f t="shared" si="11"/>
        <v>0</v>
      </c>
    </row>
    <row r="18" spans="1:32">
      <c r="A18" s="49">
        <v>10</v>
      </c>
      <c r="B18" s="49">
        <v>12</v>
      </c>
      <c r="C18" s="49">
        <v>0.33196</v>
      </c>
      <c r="D18" s="49">
        <v>0.00263232514177694</v>
      </c>
      <c r="E18" s="49">
        <v>0</v>
      </c>
      <c r="F18" s="49">
        <v>0</v>
      </c>
      <c r="I18" s="49">
        <v>10</v>
      </c>
      <c r="J18" s="49">
        <v>12</v>
      </c>
      <c r="K18">
        <f t="shared" si="15"/>
        <v>1.57</v>
      </c>
      <c r="L18">
        <f t="shared" si="3"/>
        <v>3.454</v>
      </c>
      <c r="M18">
        <v>6.28</v>
      </c>
      <c r="N18">
        <f t="shared" si="4"/>
        <v>0</v>
      </c>
      <c r="O18">
        <f t="shared" si="5"/>
        <v>0</v>
      </c>
      <c r="P18">
        <v>0</v>
      </c>
      <c r="Q18">
        <f t="shared" si="0"/>
        <v>0</v>
      </c>
      <c r="R18">
        <f t="shared" si="1"/>
        <v>0</v>
      </c>
      <c r="S18">
        <v>0</v>
      </c>
      <c r="V18" s="49">
        <v>10</v>
      </c>
      <c r="W18" s="49">
        <v>12</v>
      </c>
      <c r="X18" s="50">
        <f t="shared" si="12"/>
        <v>0.00215389531960302</v>
      </c>
      <c r="Y18" s="50">
        <f t="shared" si="13"/>
        <v>0.0104248533468786</v>
      </c>
      <c r="Z18" s="50">
        <f t="shared" si="14"/>
        <v>0.0344623251136484</v>
      </c>
      <c r="AA18" s="50">
        <f t="shared" si="6"/>
        <v>0</v>
      </c>
      <c r="AB18" s="50">
        <f t="shared" si="7"/>
        <v>0</v>
      </c>
      <c r="AC18" s="50">
        <f t="shared" si="8"/>
        <v>0</v>
      </c>
      <c r="AD18" s="50">
        <f t="shared" si="9"/>
        <v>0</v>
      </c>
      <c r="AE18" s="50">
        <f t="shared" si="10"/>
        <v>0</v>
      </c>
      <c r="AF18" s="50">
        <f t="shared" si="11"/>
        <v>0</v>
      </c>
    </row>
    <row r="19" spans="1:32">
      <c r="A19" s="49">
        <v>10</v>
      </c>
      <c r="B19" s="49">
        <v>13</v>
      </c>
      <c r="C19" s="49">
        <v>0.83536</v>
      </c>
      <c r="D19" s="49">
        <v>0.00263232514177694</v>
      </c>
      <c r="E19" s="49">
        <v>0</v>
      </c>
      <c r="F19" s="49">
        <v>0</v>
      </c>
      <c r="I19" s="49">
        <v>10</v>
      </c>
      <c r="J19" s="49">
        <v>13</v>
      </c>
      <c r="K19">
        <f t="shared" si="15"/>
        <v>1.57</v>
      </c>
      <c r="L19">
        <f t="shared" si="3"/>
        <v>3.454</v>
      </c>
      <c r="M19">
        <v>6.28</v>
      </c>
      <c r="N19">
        <f t="shared" si="4"/>
        <v>0</v>
      </c>
      <c r="O19">
        <f t="shared" si="5"/>
        <v>0</v>
      </c>
      <c r="P19">
        <v>0</v>
      </c>
      <c r="Q19">
        <f t="shared" si="0"/>
        <v>0</v>
      </c>
      <c r="R19">
        <f t="shared" si="1"/>
        <v>0</v>
      </c>
      <c r="S19">
        <v>0</v>
      </c>
      <c r="V19" s="49">
        <v>10</v>
      </c>
      <c r="W19" s="49">
        <v>13</v>
      </c>
      <c r="X19" s="50">
        <f t="shared" si="12"/>
        <v>0.0054201650626087</v>
      </c>
      <c r="Y19" s="50">
        <f t="shared" si="13"/>
        <v>0.0262335989030261</v>
      </c>
      <c r="Z19" s="50">
        <f t="shared" si="14"/>
        <v>0.0867226410017391</v>
      </c>
      <c r="AA19" s="50">
        <f t="shared" si="6"/>
        <v>0</v>
      </c>
      <c r="AB19" s="50">
        <f t="shared" si="7"/>
        <v>0</v>
      </c>
      <c r="AC19" s="50">
        <f t="shared" si="8"/>
        <v>0</v>
      </c>
      <c r="AD19" s="50">
        <f t="shared" si="9"/>
        <v>0</v>
      </c>
      <c r="AE19" s="50">
        <f t="shared" si="10"/>
        <v>0</v>
      </c>
      <c r="AF19" s="50">
        <f t="shared" si="11"/>
        <v>0</v>
      </c>
    </row>
    <row r="20" spans="1:32">
      <c r="A20" s="49">
        <v>13</v>
      </c>
      <c r="B20" s="49">
        <v>14</v>
      </c>
      <c r="C20" s="49">
        <v>0.00472</v>
      </c>
      <c r="D20" s="49">
        <v>0.00263232514177694</v>
      </c>
      <c r="E20" s="49">
        <v>0</v>
      </c>
      <c r="F20" s="49">
        <v>0</v>
      </c>
      <c r="I20" s="49">
        <v>13</v>
      </c>
      <c r="J20" s="49">
        <v>14</v>
      </c>
      <c r="K20">
        <f t="shared" si="15"/>
        <v>1.57</v>
      </c>
      <c r="L20">
        <f t="shared" si="3"/>
        <v>3.454</v>
      </c>
      <c r="M20">
        <v>6.28</v>
      </c>
      <c r="N20">
        <f t="shared" si="4"/>
        <v>0</v>
      </c>
      <c r="O20">
        <f t="shared" si="5"/>
        <v>0</v>
      </c>
      <c r="P20">
        <v>0</v>
      </c>
      <c r="Q20">
        <f t="shared" si="0"/>
        <v>0</v>
      </c>
      <c r="R20">
        <f t="shared" si="1"/>
        <v>0</v>
      </c>
      <c r="S20">
        <v>0</v>
      </c>
      <c r="V20" s="49">
        <v>13</v>
      </c>
      <c r="W20" s="49">
        <v>14</v>
      </c>
      <c r="X20" s="50">
        <f t="shared" si="12"/>
        <v>3.06253341020794e-5</v>
      </c>
      <c r="Y20" s="50">
        <f t="shared" si="13"/>
        <v>0.000148226617054064</v>
      </c>
      <c r="Z20" s="50">
        <f t="shared" si="14"/>
        <v>0.00049000534563327</v>
      </c>
      <c r="AA20" s="50">
        <f t="shared" si="6"/>
        <v>0</v>
      </c>
      <c r="AB20" s="50">
        <f t="shared" si="7"/>
        <v>0</v>
      </c>
      <c r="AC20" s="50">
        <f t="shared" si="8"/>
        <v>0</v>
      </c>
      <c r="AD20" s="50">
        <f t="shared" si="9"/>
        <v>0</v>
      </c>
      <c r="AE20" s="50">
        <f t="shared" si="10"/>
        <v>0</v>
      </c>
      <c r="AF20" s="50">
        <f t="shared" si="11"/>
        <v>0</v>
      </c>
    </row>
    <row r="21" spans="1:32">
      <c r="A21" s="49">
        <v>13</v>
      </c>
      <c r="B21" s="49">
        <v>15</v>
      </c>
      <c r="C21" s="49">
        <v>0.56162</v>
      </c>
      <c r="D21" s="49">
        <v>0.00263232514177694</v>
      </c>
      <c r="E21" s="49">
        <v>0</v>
      </c>
      <c r="F21" s="49">
        <v>0</v>
      </c>
      <c r="I21" s="49">
        <v>13</v>
      </c>
      <c r="J21" s="49">
        <v>15</v>
      </c>
      <c r="K21">
        <f t="shared" si="15"/>
        <v>1.57</v>
      </c>
      <c r="L21">
        <f t="shared" si="3"/>
        <v>3.454</v>
      </c>
      <c r="M21">
        <v>6.28</v>
      </c>
      <c r="N21">
        <f t="shared" si="4"/>
        <v>0</v>
      </c>
      <c r="O21">
        <f t="shared" si="5"/>
        <v>0</v>
      </c>
      <c r="P21">
        <v>0</v>
      </c>
      <c r="Q21">
        <f t="shared" si="0"/>
        <v>0</v>
      </c>
      <c r="R21">
        <f t="shared" si="1"/>
        <v>0</v>
      </c>
      <c r="S21">
        <v>0</v>
      </c>
      <c r="V21" s="49">
        <v>13</v>
      </c>
      <c r="W21" s="49">
        <v>15</v>
      </c>
      <c r="X21" s="50">
        <f t="shared" si="12"/>
        <v>0.00364402545305293</v>
      </c>
      <c r="Y21" s="50">
        <f t="shared" si="13"/>
        <v>0.0176370831927762</v>
      </c>
      <c r="Z21" s="50">
        <f t="shared" si="14"/>
        <v>0.0583044072488469</v>
      </c>
      <c r="AA21" s="50">
        <f t="shared" si="6"/>
        <v>0</v>
      </c>
      <c r="AB21" s="50">
        <f t="shared" si="7"/>
        <v>0</v>
      </c>
      <c r="AC21" s="50">
        <f t="shared" si="8"/>
        <v>0</v>
      </c>
      <c r="AD21" s="50">
        <f t="shared" si="9"/>
        <v>0</v>
      </c>
      <c r="AE21" s="50">
        <f t="shared" si="10"/>
        <v>0</v>
      </c>
      <c r="AF21" s="50">
        <f t="shared" si="11"/>
        <v>0</v>
      </c>
    </row>
    <row r="22" spans="1:32">
      <c r="A22" s="49">
        <v>15</v>
      </c>
      <c r="B22" s="49">
        <v>16</v>
      </c>
      <c r="C22" s="49">
        <v>0.27374</v>
      </c>
      <c r="D22" s="49">
        <v>0.00263232514177694</v>
      </c>
      <c r="E22" s="49">
        <v>0</v>
      </c>
      <c r="F22" s="49">
        <v>0</v>
      </c>
      <c r="I22" s="49">
        <v>15</v>
      </c>
      <c r="J22" s="49">
        <v>16</v>
      </c>
      <c r="K22">
        <f t="shared" si="15"/>
        <v>1.57</v>
      </c>
      <c r="L22">
        <f t="shared" si="3"/>
        <v>3.454</v>
      </c>
      <c r="M22">
        <v>6.28</v>
      </c>
      <c r="N22">
        <f t="shared" si="4"/>
        <v>0</v>
      </c>
      <c r="O22">
        <f t="shared" si="5"/>
        <v>0</v>
      </c>
      <c r="P22">
        <v>0</v>
      </c>
      <c r="Q22">
        <f t="shared" si="0"/>
        <v>0</v>
      </c>
      <c r="R22">
        <f t="shared" si="1"/>
        <v>0</v>
      </c>
      <c r="S22">
        <v>0</v>
      </c>
      <c r="V22" s="49">
        <v>15</v>
      </c>
      <c r="W22" s="49">
        <v>16</v>
      </c>
      <c r="X22" s="50">
        <f t="shared" si="12"/>
        <v>0.00177613960955577</v>
      </c>
      <c r="Y22" s="50">
        <f t="shared" si="13"/>
        <v>0.00859651571024991</v>
      </c>
      <c r="Z22" s="50">
        <f t="shared" si="14"/>
        <v>0.0284182337528922</v>
      </c>
      <c r="AA22" s="50">
        <f t="shared" si="6"/>
        <v>0</v>
      </c>
      <c r="AB22" s="50">
        <f t="shared" si="7"/>
        <v>0</v>
      </c>
      <c r="AC22" s="50">
        <f t="shared" si="8"/>
        <v>0</v>
      </c>
      <c r="AD22" s="50">
        <f t="shared" si="9"/>
        <v>0</v>
      </c>
      <c r="AE22" s="50">
        <f t="shared" si="10"/>
        <v>0</v>
      </c>
      <c r="AF22" s="50">
        <f t="shared" si="11"/>
        <v>0</v>
      </c>
    </row>
    <row r="23" spans="1:32">
      <c r="A23" s="49">
        <v>20</v>
      </c>
      <c r="B23" s="49">
        <v>21</v>
      </c>
      <c r="C23" s="49">
        <v>0.80312</v>
      </c>
      <c r="D23" s="49">
        <v>0.00263232514177694</v>
      </c>
      <c r="E23" s="49">
        <v>0</v>
      </c>
      <c r="F23" s="49">
        <v>0</v>
      </c>
      <c r="I23" s="49">
        <v>20</v>
      </c>
      <c r="J23" s="49">
        <v>21</v>
      </c>
      <c r="K23">
        <f t="shared" si="15"/>
        <v>1.57</v>
      </c>
      <c r="L23">
        <f t="shared" si="3"/>
        <v>3.454</v>
      </c>
      <c r="M23">
        <v>6.28</v>
      </c>
      <c r="N23">
        <f t="shared" si="4"/>
        <v>0</v>
      </c>
      <c r="O23">
        <f t="shared" si="5"/>
        <v>0</v>
      </c>
      <c r="P23">
        <v>0</v>
      </c>
      <c r="Q23">
        <f t="shared" si="0"/>
        <v>0</v>
      </c>
      <c r="R23">
        <f t="shared" si="1"/>
        <v>0</v>
      </c>
      <c r="S23">
        <v>0</v>
      </c>
      <c r="V23" s="49">
        <v>20</v>
      </c>
      <c r="W23" s="49">
        <v>21</v>
      </c>
      <c r="X23" s="50">
        <f t="shared" si="12"/>
        <v>0.00521097845848771</v>
      </c>
      <c r="Y23" s="50">
        <f t="shared" si="13"/>
        <v>0.0252211357390805</v>
      </c>
      <c r="Z23" s="50">
        <f t="shared" si="14"/>
        <v>0.0833756553358034</v>
      </c>
      <c r="AA23" s="50">
        <f t="shared" si="6"/>
        <v>0</v>
      </c>
      <c r="AB23" s="50">
        <f t="shared" si="7"/>
        <v>0</v>
      </c>
      <c r="AC23" s="50">
        <f t="shared" si="8"/>
        <v>0</v>
      </c>
      <c r="AD23" s="50">
        <f t="shared" si="9"/>
        <v>0</v>
      </c>
      <c r="AE23" s="50">
        <f t="shared" si="10"/>
        <v>0</v>
      </c>
      <c r="AF23" s="50">
        <f t="shared" si="11"/>
        <v>0</v>
      </c>
    </row>
    <row r="24" spans="1:32">
      <c r="A24" s="49">
        <v>20</v>
      </c>
      <c r="B24" s="49">
        <v>22</v>
      </c>
      <c r="C24" s="49">
        <v>0.4578</v>
      </c>
      <c r="D24" s="49">
        <v>0.00263232514177694</v>
      </c>
      <c r="E24" s="49">
        <v>0</v>
      </c>
      <c r="F24" s="49">
        <v>0</v>
      </c>
      <c r="I24" s="49">
        <v>20</v>
      </c>
      <c r="J24" s="49">
        <v>22</v>
      </c>
      <c r="K24">
        <f t="shared" si="15"/>
        <v>1.57</v>
      </c>
      <c r="L24">
        <f t="shared" si="3"/>
        <v>3.454</v>
      </c>
      <c r="M24">
        <v>6.28</v>
      </c>
      <c r="N24">
        <f t="shared" si="4"/>
        <v>0</v>
      </c>
      <c r="O24">
        <f t="shared" si="5"/>
        <v>0</v>
      </c>
      <c r="P24">
        <v>0</v>
      </c>
      <c r="Q24">
        <f t="shared" si="0"/>
        <v>0</v>
      </c>
      <c r="R24">
        <f t="shared" si="1"/>
        <v>0</v>
      </c>
      <c r="S24">
        <v>0</v>
      </c>
      <c r="V24" s="49">
        <v>20</v>
      </c>
      <c r="W24" s="49">
        <v>22</v>
      </c>
      <c r="X24" s="50">
        <f t="shared" si="12"/>
        <v>0.00297039787117202</v>
      </c>
      <c r="Y24" s="50">
        <f t="shared" si="13"/>
        <v>0.0143767256964726</v>
      </c>
      <c r="Z24" s="50">
        <f t="shared" si="14"/>
        <v>0.0475263659387524</v>
      </c>
      <c r="AA24" s="50">
        <f t="shared" si="6"/>
        <v>0</v>
      </c>
      <c r="AB24" s="50">
        <f t="shared" si="7"/>
        <v>0</v>
      </c>
      <c r="AC24" s="50">
        <f t="shared" si="8"/>
        <v>0</v>
      </c>
      <c r="AD24" s="50">
        <f t="shared" si="9"/>
        <v>0</v>
      </c>
      <c r="AE24" s="50">
        <f t="shared" si="10"/>
        <v>0</v>
      </c>
      <c r="AF24" s="50">
        <f t="shared" si="11"/>
        <v>0</v>
      </c>
    </row>
    <row r="25" spans="1:32">
      <c r="A25" s="49">
        <v>22</v>
      </c>
      <c r="B25" s="49">
        <v>23</v>
      </c>
      <c r="C25" s="49">
        <v>0.34266</v>
      </c>
      <c r="D25" s="49">
        <v>0.00263232514177694</v>
      </c>
      <c r="E25" s="49">
        <v>0</v>
      </c>
      <c r="F25" s="49">
        <v>0</v>
      </c>
      <c r="I25" s="49">
        <v>22</v>
      </c>
      <c r="J25" s="49">
        <v>23</v>
      </c>
      <c r="K25">
        <f t="shared" si="15"/>
        <v>1.57</v>
      </c>
      <c r="L25">
        <f t="shared" si="3"/>
        <v>3.454</v>
      </c>
      <c r="M25">
        <v>6.28</v>
      </c>
      <c r="N25">
        <f t="shared" si="4"/>
        <v>0</v>
      </c>
      <c r="O25">
        <f t="shared" si="5"/>
        <v>0</v>
      </c>
      <c r="P25">
        <v>0</v>
      </c>
      <c r="Q25">
        <f t="shared" si="0"/>
        <v>0</v>
      </c>
      <c r="R25">
        <f t="shared" si="1"/>
        <v>0</v>
      </c>
      <c r="S25">
        <v>0</v>
      </c>
      <c r="V25" s="49">
        <v>22</v>
      </c>
      <c r="W25" s="49">
        <v>23</v>
      </c>
      <c r="X25" s="50">
        <f t="shared" si="12"/>
        <v>0.00222332139479206</v>
      </c>
      <c r="Y25" s="50">
        <f t="shared" si="13"/>
        <v>0.0107608755507936</v>
      </c>
      <c r="Z25" s="50">
        <f t="shared" si="14"/>
        <v>0.035573142316673</v>
      </c>
      <c r="AA25" s="50">
        <f t="shared" si="6"/>
        <v>0</v>
      </c>
      <c r="AB25" s="50">
        <f t="shared" si="7"/>
        <v>0</v>
      </c>
      <c r="AC25" s="50">
        <f t="shared" si="8"/>
        <v>0</v>
      </c>
      <c r="AD25" s="50">
        <f t="shared" si="9"/>
        <v>0</v>
      </c>
      <c r="AE25" s="50">
        <f t="shared" si="10"/>
        <v>0</v>
      </c>
      <c r="AF25" s="50">
        <f t="shared" si="11"/>
        <v>0</v>
      </c>
    </row>
    <row r="26" spans="1:32">
      <c r="A26" s="49">
        <v>22</v>
      </c>
      <c r="B26" s="49">
        <v>24</v>
      </c>
      <c r="C26" s="49">
        <v>0.06135</v>
      </c>
      <c r="D26" s="49">
        <v>0.00263232514177694</v>
      </c>
      <c r="E26" s="49">
        <v>0</v>
      </c>
      <c r="F26" s="49">
        <v>0</v>
      </c>
      <c r="I26" s="49">
        <v>22</v>
      </c>
      <c r="J26" s="49">
        <v>24</v>
      </c>
      <c r="K26">
        <f t="shared" si="15"/>
        <v>1.57</v>
      </c>
      <c r="L26">
        <f t="shared" si="3"/>
        <v>3.454</v>
      </c>
      <c r="M26">
        <v>6.28</v>
      </c>
      <c r="N26">
        <f t="shared" si="4"/>
        <v>0</v>
      </c>
      <c r="O26">
        <f t="shared" si="5"/>
        <v>0</v>
      </c>
      <c r="P26">
        <v>0</v>
      </c>
      <c r="Q26">
        <f t="shared" si="0"/>
        <v>0</v>
      </c>
      <c r="R26">
        <f t="shared" si="1"/>
        <v>0</v>
      </c>
      <c r="S26">
        <v>0</v>
      </c>
      <c r="V26" s="49">
        <v>22</v>
      </c>
      <c r="W26" s="49">
        <v>24</v>
      </c>
      <c r="X26" s="50">
        <f t="shared" si="12"/>
        <v>0.000398064459144613</v>
      </c>
      <c r="Y26" s="50">
        <f t="shared" si="13"/>
        <v>0.00192663198225993</v>
      </c>
      <c r="Z26" s="50">
        <f t="shared" si="14"/>
        <v>0.0063690313463138</v>
      </c>
      <c r="AA26" s="50">
        <f t="shared" si="6"/>
        <v>0</v>
      </c>
      <c r="AB26" s="50">
        <f t="shared" si="7"/>
        <v>0</v>
      </c>
      <c r="AC26" s="50">
        <f t="shared" si="8"/>
        <v>0</v>
      </c>
      <c r="AD26" s="50">
        <f t="shared" si="9"/>
        <v>0</v>
      </c>
      <c r="AE26" s="50">
        <f t="shared" si="10"/>
        <v>0</v>
      </c>
      <c r="AF26" s="50">
        <f t="shared" si="11"/>
        <v>0</v>
      </c>
    </row>
    <row r="27" spans="1:32">
      <c r="A27" s="49">
        <v>24</v>
      </c>
      <c r="B27" s="49">
        <v>25</v>
      </c>
      <c r="C27" s="49">
        <v>0.11327</v>
      </c>
      <c r="D27" s="49">
        <v>0.00263232514177694</v>
      </c>
      <c r="E27" s="49">
        <v>0</v>
      </c>
      <c r="F27" s="49">
        <v>0</v>
      </c>
      <c r="I27" s="49">
        <v>24</v>
      </c>
      <c r="J27" s="49">
        <v>25</v>
      </c>
      <c r="K27">
        <f t="shared" si="15"/>
        <v>1.57</v>
      </c>
      <c r="L27">
        <f t="shared" si="3"/>
        <v>3.454</v>
      </c>
      <c r="M27">
        <v>6.28</v>
      </c>
      <c r="N27">
        <f t="shared" si="4"/>
        <v>0</v>
      </c>
      <c r="O27">
        <f t="shared" si="5"/>
        <v>0</v>
      </c>
      <c r="P27">
        <v>0</v>
      </c>
      <c r="Q27">
        <f t="shared" ref="Q27" si="16">S27*0.25</f>
        <v>0</v>
      </c>
      <c r="R27">
        <f t="shared" si="1"/>
        <v>0</v>
      </c>
      <c r="S27">
        <v>0</v>
      </c>
      <c r="V27" s="49">
        <v>24</v>
      </c>
      <c r="W27" s="49">
        <v>25</v>
      </c>
      <c r="X27" s="50">
        <f t="shared" si="12"/>
        <v>0.000734943134267486</v>
      </c>
      <c r="Y27" s="50">
        <f t="shared" si="13"/>
        <v>0.00355712476985463</v>
      </c>
      <c r="Z27" s="50">
        <f t="shared" si="14"/>
        <v>0.0117590901482798</v>
      </c>
      <c r="AA27" s="50">
        <f t="shared" si="6"/>
        <v>0</v>
      </c>
      <c r="AB27" s="50">
        <f t="shared" si="7"/>
        <v>0</v>
      </c>
      <c r="AC27" s="50">
        <f t="shared" si="8"/>
        <v>0</v>
      </c>
      <c r="AD27" s="50">
        <f t="shared" si="9"/>
        <v>0</v>
      </c>
      <c r="AE27" s="50">
        <f t="shared" si="10"/>
        <v>0</v>
      </c>
      <c r="AF27" s="50">
        <f t="shared" si="11"/>
        <v>0</v>
      </c>
    </row>
    <row r="28" spans="1:32">
      <c r="A28" s="49">
        <v>25</v>
      </c>
      <c r="B28" s="49">
        <v>26</v>
      </c>
      <c r="C28" s="49">
        <v>0.04719</v>
      </c>
      <c r="D28" s="49">
        <v>0.00263232514177694</v>
      </c>
      <c r="E28" s="49">
        <v>0</v>
      </c>
      <c r="F28" s="49">
        <v>0</v>
      </c>
      <c r="I28" s="49">
        <v>25</v>
      </c>
      <c r="J28" s="49">
        <v>26</v>
      </c>
      <c r="K28">
        <f t="shared" si="15"/>
        <v>1.57</v>
      </c>
      <c r="L28">
        <f t="shared" si="3"/>
        <v>3.454</v>
      </c>
      <c r="M28">
        <v>6.28</v>
      </c>
      <c r="N28">
        <f t="shared" si="4"/>
        <v>0</v>
      </c>
      <c r="O28">
        <f t="shared" si="5"/>
        <v>0</v>
      </c>
      <c r="P28">
        <v>0</v>
      </c>
      <c r="Q28">
        <f t="shared" ref="Q28:Q91" si="17">S28*0.25</f>
        <v>0</v>
      </c>
      <c r="R28">
        <f t="shared" ref="R28:R91" si="18">S28*0.55</f>
        <v>0</v>
      </c>
      <c r="S28">
        <v>0</v>
      </c>
      <c r="V28" s="49">
        <v>25</v>
      </c>
      <c r="W28" s="49">
        <v>26</v>
      </c>
      <c r="X28" s="50">
        <f t="shared" si="12"/>
        <v>0.000306188456838374</v>
      </c>
      <c r="Y28" s="50">
        <f t="shared" si="13"/>
        <v>0.00148195213109773</v>
      </c>
      <c r="Z28" s="50">
        <f t="shared" si="14"/>
        <v>0.00489901530941399</v>
      </c>
      <c r="AA28" s="50">
        <f t="shared" si="6"/>
        <v>0</v>
      </c>
      <c r="AB28" s="50">
        <f t="shared" si="7"/>
        <v>0</v>
      </c>
      <c r="AC28" s="50">
        <f t="shared" si="8"/>
        <v>0</v>
      </c>
      <c r="AD28" s="50">
        <f t="shared" si="9"/>
        <v>0</v>
      </c>
      <c r="AE28" s="50">
        <f t="shared" si="10"/>
        <v>0</v>
      </c>
      <c r="AF28" s="50">
        <f t="shared" si="11"/>
        <v>0</v>
      </c>
    </row>
    <row r="29" spans="1:32">
      <c r="A29" s="49">
        <v>26</v>
      </c>
      <c r="B29" s="49">
        <v>27</v>
      </c>
      <c r="C29" s="49">
        <v>0.16306</v>
      </c>
      <c r="D29" s="49">
        <v>0.00263232514177694</v>
      </c>
      <c r="E29" s="49">
        <v>0</v>
      </c>
      <c r="F29" s="49">
        <v>0</v>
      </c>
      <c r="I29" s="49">
        <v>26</v>
      </c>
      <c r="J29" s="49">
        <v>27</v>
      </c>
      <c r="K29">
        <f t="shared" si="15"/>
        <v>1.57</v>
      </c>
      <c r="L29">
        <f t="shared" si="3"/>
        <v>3.454</v>
      </c>
      <c r="M29">
        <v>6.28</v>
      </c>
      <c r="N29">
        <f t="shared" si="4"/>
        <v>0</v>
      </c>
      <c r="O29">
        <f t="shared" si="5"/>
        <v>0</v>
      </c>
      <c r="P29">
        <v>0</v>
      </c>
      <c r="Q29">
        <f t="shared" si="17"/>
        <v>0</v>
      </c>
      <c r="R29">
        <f t="shared" si="18"/>
        <v>0</v>
      </c>
      <c r="S29">
        <v>0</v>
      </c>
      <c r="V29" s="49">
        <v>26</v>
      </c>
      <c r="W29" s="49">
        <v>27</v>
      </c>
      <c r="X29" s="50">
        <f t="shared" si="12"/>
        <v>0.00105800147853497</v>
      </c>
      <c r="Y29" s="50">
        <f t="shared" si="13"/>
        <v>0.00512072715610926</v>
      </c>
      <c r="Z29" s="50">
        <f t="shared" si="14"/>
        <v>0.0169280236565596</v>
      </c>
      <c r="AA29" s="50">
        <f t="shared" si="6"/>
        <v>0</v>
      </c>
      <c r="AB29" s="50">
        <f t="shared" si="7"/>
        <v>0</v>
      </c>
      <c r="AC29" s="50">
        <f t="shared" si="8"/>
        <v>0</v>
      </c>
      <c r="AD29" s="50">
        <f t="shared" si="9"/>
        <v>0</v>
      </c>
      <c r="AE29" s="50">
        <f t="shared" si="10"/>
        <v>0</v>
      </c>
      <c r="AF29" s="50">
        <f t="shared" si="11"/>
        <v>0</v>
      </c>
    </row>
    <row r="30" spans="1:32">
      <c r="A30" s="49">
        <v>27</v>
      </c>
      <c r="B30" s="49">
        <v>28</v>
      </c>
      <c r="C30" s="49">
        <v>0.03341</v>
      </c>
      <c r="D30" s="49">
        <v>0.00263232514177694</v>
      </c>
      <c r="E30" s="49">
        <v>0</v>
      </c>
      <c r="F30" s="49">
        <v>0</v>
      </c>
      <c r="I30" s="49">
        <v>27</v>
      </c>
      <c r="J30" s="49">
        <v>28</v>
      </c>
      <c r="K30">
        <f t="shared" si="15"/>
        <v>1.57</v>
      </c>
      <c r="L30">
        <f t="shared" si="3"/>
        <v>3.454</v>
      </c>
      <c r="M30">
        <v>6.28</v>
      </c>
      <c r="N30">
        <f t="shared" si="4"/>
        <v>0</v>
      </c>
      <c r="O30">
        <f t="shared" si="5"/>
        <v>0</v>
      </c>
      <c r="P30">
        <v>0</v>
      </c>
      <c r="Q30">
        <f t="shared" si="17"/>
        <v>0</v>
      </c>
      <c r="R30">
        <f t="shared" si="18"/>
        <v>0</v>
      </c>
      <c r="S30">
        <v>0</v>
      </c>
      <c r="V30" s="49">
        <v>27</v>
      </c>
      <c r="W30" s="49">
        <v>28</v>
      </c>
      <c r="X30" s="50">
        <f t="shared" si="12"/>
        <v>0.000216778053464083</v>
      </c>
      <c r="Y30" s="50">
        <f t="shared" si="13"/>
        <v>0.00104920577876616</v>
      </c>
      <c r="Z30" s="50">
        <f t="shared" si="14"/>
        <v>0.00346844885542533</v>
      </c>
      <c r="AA30" s="50">
        <f t="shared" si="6"/>
        <v>0</v>
      </c>
      <c r="AB30" s="50">
        <f t="shared" si="7"/>
        <v>0</v>
      </c>
      <c r="AC30" s="50">
        <f t="shared" si="8"/>
        <v>0</v>
      </c>
      <c r="AD30" s="50">
        <f t="shared" si="9"/>
        <v>0</v>
      </c>
      <c r="AE30" s="50">
        <f t="shared" si="10"/>
        <v>0</v>
      </c>
      <c r="AF30" s="50">
        <f t="shared" si="11"/>
        <v>0</v>
      </c>
    </row>
    <row r="31" spans="1:32">
      <c r="A31" s="49">
        <v>28</v>
      </c>
      <c r="B31" s="49">
        <v>29</v>
      </c>
      <c r="C31" s="49">
        <v>0.21416</v>
      </c>
      <c r="D31" s="49">
        <v>0.00263232514177694</v>
      </c>
      <c r="E31" s="49">
        <v>0</v>
      </c>
      <c r="F31" s="49">
        <v>0</v>
      </c>
      <c r="I31" s="49">
        <v>28</v>
      </c>
      <c r="J31" s="49">
        <v>29</v>
      </c>
      <c r="K31">
        <f t="shared" si="15"/>
        <v>1.57</v>
      </c>
      <c r="L31">
        <f t="shared" si="3"/>
        <v>3.454</v>
      </c>
      <c r="M31">
        <v>6.28</v>
      </c>
      <c r="N31">
        <f t="shared" si="4"/>
        <v>0</v>
      </c>
      <c r="O31">
        <f t="shared" si="5"/>
        <v>0</v>
      </c>
      <c r="P31">
        <v>0</v>
      </c>
      <c r="Q31">
        <f t="shared" si="17"/>
        <v>0</v>
      </c>
      <c r="R31">
        <f t="shared" si="18"/>
        <v>0</v>
      </c>
      <c r="S31">
        <v>0</v>
      </c>
      <c r="V31" s="49">
        <v>28</v>
      </c>
      <c r="W31" s="49">
        <v>29</v>
      </c>
      <c r="X31" s="50">
        <f t="shared" si="12"/>
        <v>0.00138955965069943</v>
      </c>
      <c r="Y31" s="50">
        <f t="shared" si="13"/>
        <v>0.00672546870938526</v>
      </c>
      <c r="Z31" s="50">
        <f t="shared" si="14"/>
        <v>0.0222329544111909</v>
      </c>
      <c r="AA31" s="50">
        <f t="shared" si="6"/>
        <v>0</v>
      </c>
      <c r="AB31" s="50">
        <f t="shared" si="7"/>
        <v>0</v>
      </c>
      <c r="AC31" s="50">
        <f t="shared" si="8"/>
        <v>0</v>
      </c>
      <c r="AD31" s="50">
        <f t="shared" si="9"/>
        <v>0</v>
      </c>
      <c r="AE31" s="50">
        <f t="shared" si="10"/>
        <v>0</v>
      </c>
      <c r="AF31" s="50">
        <f t="shared" si="11"/>
        <v>0</v>
      </c>
    </row>
    <row r="32" spans="1:32">
      <c r="A32" s="49">
        <v>28</v>
      </c>
      <c r="B32" s="49">
        <v>31</v>
      </c>
      <c r="C32" s="49">
        <v>0.44974</v>
      </c>
      <c r="D32" s="49">
        <v>0.00263232514177694</v>
      </c>
      <c r="E32" s="49">
        <v>0</v>
      </c>
      <c r="F32" s="49">
        <v>0</v>
      </c>
      <c r="I32" s="49">
        <v>28</v>
      </c>
      <c r="J32" s="49">
        <v>31</v>
      </c>
      <c r="K32">
        <f t="shared" si="15"/>
        <v>1.57</v>
      </c>
      <c r="L32">
        <f t="shared" si="3"/>
        <v>3.454</v>
      </c>
      <c r="M32">
        <v>6.28</v>
      </c>
      <c r="N32">
        <f t="shared" si="4"/>
        <v>0</v>
      </c>
      <c r="O32">
        <f t="shared" si="5"/>
        <v>0</v>
      </c>
      <c r="P32">
        <v>0</v>
      </c>
      <c r="Q32">
        <f t="shared" si="17"/>
        <v>0</v>
      </c>
      <c r="R32">
        <f t="shared" si="18"/>
        <v>0</v>
      </c>
      <c r="S32">
        <v>0</v>
      </c>
      <c r="V32" s="49">
        <v>28</v>
      </c>
      <c r="W32" s="49">
        <v>31</v>
      </c>
      <c r="X32" s="50">
        <f t="shared" si="12"/>
        <v>0.00291810122014178</v>
      </c>
      <c r="Y32" s="50">
        <f t="shared" si="13"/>
        <v>0.0141236099054862</v>
      </c>
      <c r="Z32" s="50">
        <f t="shared" si="14"/>
        <v>0.0466896195222684</v>
      </c>
      <c r="AA32" s="50">
        <f t="shared" si="6"/>
        <v>0</v>
      </c>
      <c r="AB32" s="50">
        <f t="shared" si="7"/>
        <v>0</v>
      </c>
      <c r="AC32" s="50">
        <f t="shared" si="8"/>
        <v>0</v>
      </c>
      <c r="AD32" s="50">
        <f t="shared" si="9"/>
        <v>0</v>
      </c>
      <c r="AE32" s="50">
        <f t="shared" si="10"/>
        <v>0</v>
      </c>
      <c r="AF32" s="50">
        <f t="shared" si="11"/>
        <v>0</v>
      </c>
    </row>
    <row r="33" spans="1:32">
      <c r="A33" s="49">
        <v>29</v>
      </c>
      <c r="B33" s="49">
        <v>30</v>
      </c>
      <c r="C33" s="49">
        <v>0.08019</v>
      </c>
      <c r="D33" s="49">
        <v>0.00263232514177694</v>
      </c>
      <c r="E33" s="49">
        <v>0</v>
      </c>
      <c r="F33" s="49">
        <v>0</v>
      </c>
      <c r="I33" s="49">
        <v>29</v>
      </c>
      <c r="J33" s="49">
        <v>30</v>
      </c>
      <c r="K33">
        <f t="shared" si="15"/>
        <v>1.57</v>
      </c>
      <c r="L33">
        <f t="shared" si="3"/>
        <v>3.454</v>
      </c>
      <c r="M33">
        <v>6.28</v>
      </c>
      <c r="N33">
        <f t="shared" si="4"/>
        <v>0</v>
      </c>
      <c r="O33">
        <f t="shared" si="5"/>
        <v>0</v>
      </c>
      <c r="P33">
        <v>0</v>
      </c>
      <c r="Q33">
        <f t="shared" si="17"/>
        <v>0</v>
      </c>
      <c r="R33">
        <f t="shared" si="18"/>
        <v>0</v>
      </c>
      <c r="S33">
        <v>0</v>
      </c>
      <c r="V33" s="49">
        <v>29</v>
      </c>
      <c r="W33" s="49">
        <v>30</v>
      </c>
      <c r="X33" s="50">
        <f t="shared" si="12"/>
        <v>0.000520306258823251</v>
      </c>
      <c r="Y33" s="50">
        <f t="shared" si="13"/>
        <v>0.00251828229270454</v>
      </c>
      <c r="Z33" s="50">
        <f t="shared" si="14"/>
        <v>0.00832490014117202</v>
      </c>
      <c r="AA33" s="50">
        <f t="shared" si="6"/>
        <v>0</v>
      </c>
      <c r="AB33" s="50">
        <f t="shared" si="7"/>
        <v>0</v>
      </c>
      <c r="AC33" s="50">
        <f t="shared" si="8"/>
        <v>0</v>
      </c>
      <c r="AD33" s="50">
        <f t="shared" si="9"/>
        <v>0</v>
      </c>
      <c r="AE33" s="50">
        <f t="shared" si="10"/>
        <v>0</v>
      </c>
      <c r="AF33" s="50">
        <f t="shared" si="11"/>
        <v>0</v>
      </c>
    </row>
    <row r="34" spans="1:32">
      <c r="A34" s="49">
        <v>31</v>
      </c>
      <c r="B34" s="49">
        <v>32</v>
      </c>
      <c r="C34" s="49">
        <v>0.10708</v>
      </c>
      <c r="D34" s="49">
        <v>0.00263232514177694</v>
      </c>
      <c r="E34" s="49">
        <v>0</v>
      </c>
      <c r="F34" s="49">
        <v>0</v>
      </c>
      <c r="I34" s="49">
        <v>31</v>
      </c>
      <c r="J34" s="49">
        <v>32</v>
      </c>
      <c r="K34">
        <f t="shared" si="15"/>
        <v>1.57</v>
      </c>
      <c r="L34">
        <f t="shared" si="3"/>
        <v>3.454</v>
      </c>
      <c r="M34">
        <v>6.28</v>
      </c>
      <c r="N34">
        <f t="shared" si="4"/>
        <v>0</v>
      </c>
      <c r="O34">
        <f t="shared" si="5"/>
        <v>0</v>
      </c>
      <c r="P34">
        <v>0</v>
      </c>
      <c r="Q34">
        <f t="shared" si="17"/>
        <v>0</v>
      </c>
      <c r="R34">
        <f t="shared" si="18"/>
        <v>0</v>
      </c>
      <c r="S34">
        <v>0</v>
      </c>
      <c r="V34" s="49">
        <v>31</v>
      </c>
      <c r="W34" s="49">
        <v>32</v>
      </c>
      <c r="X34" s="50">
        <f t="shared" si="12"/>
        <v>0.000694779825349716</v>
      </c>
      <c r="Y34" s="50">
        <f t="shared" si="13"/>
        <v>0.00336273435469263</v>
      </c>
      <c r="Z34" s="50">
        <f t="shared" si="14"/>
        <v>0.0111164772055955</v>
      </c>
      <c r="AA34" s="50">
        <f t="shared" si="6"/>
        <v>0</v>
      </c>
      <c r="AB34" s="50">
        <f t="shared" si="7"/>
        <v>0</v>
      </c>
      <c r="AC34" s="50">
        <f t="shared" si="8"/>
        <v>0</v>
      </c>
      <c r="AD34" s="50">
        <f t="shared" si="9"/>
        <v>0</v>
      </c>
      <c r="AE34" s="50">
        <f t="shared" si="10"/>
        <v>0</v>
      </c>
      <c r="AF34" s="50">
        <f t="shared" si="11"/>
        <v>0</v>
      </c>
    </row>
    <row r="35" spans="1:32">
      <c r="A35" s="49">
        <v>32</v>
      </c>
      <c r="B35" s="49">
        <v>33</v>
      </c>
      <c r="C35" s="49">
        <v>0.47116</v>
      </c>
      <c r="D35" s="49">
        <v>0.00263232514177694</v>
      </c>
      <c r="E35" s="49">
        <v>0</v>
      </c>
      <c r="F35" s="49">
        <v>0</v>
      </c>
      <c r="I35" s="49">
        <v>32</v>
      </c>
      <c r="J35" s="49">
        <v>33</v>
      </c>
      <c r="K35">
        <f t="shared" si="15"/>
        <v>1.57</v>
      </c>
      <c r="L35">
        <f t="shared" si="3"/>
        <v>3.454</v>
      </c>
      <c r="M35">
        <v>6.28</v>
      </c>
      <c r="N35">
        <f t="shared" si="4"/>
        <v>0</v>
      </c>
      <c r="O35">
        <f t="shared" si="5"/>
        <v>0</v>
      </c>
      <c r="P35">
        <v>0</v>
      </c>
      <c r="Q35">
        <f t="shared" si="17"/>
        <v>0</v>
      </c>
      <c r="R35">
        <f t="shared" si="18"/>
        <v>0</v>
      </c>
      <c r="S35">
        <v>0</v>
      </c>
      <c r="V35" s="49">
        <v>32</v>
      </c>
      <c r="W35" s="49">
        <v>33</v>
      </c>
      <c r="X35" s="50">
        <f t="shared" si="12"/>
        <v>0.00305708313888469</v>
      </c>
      <c r="Y35" s="50">
        <f t="shared" si="13"/>
        <v>0.0147962823922019</v>
      </c>
      <c r="Z35" s="50">
        <f t="shared" si="14"/>
        <v>0.048913330222155</v>
      </c>
      <c r="AA35" s="50">
        <f t="shared" si="6"/>
        <v>0</v>
      </c>
      <c r="AB35" s="50">
        <f t="shared" si="7"/>
        <v>0</v>
      </c>
      <c r="AC35" s="50">
        <f t="shared" si="8"/>
        <v>0</v>
      </c>
      <c r="AD35" s="50">
        <f t="shared" si="9"/>
        <v>0</v>
      </c>
      <c r="AE35" s="50">
        <f t="shared" si="10"/>
        <v>0</v>
      </c>
      <c r="AF35" s="50">
        <f t="shared" si="11"/>
        <v>0</v>
      </c>
    </row>
    <row r="36" spans="1:32">
      <c r="A36" s="49">
        <v>33</v>
      </c>
      <c r="B36" s="49">
        <v>34</v>
      </c>
      <c r="C36" s="49">
        <v>1.12849</v>
      </c>
      <c r="D36" s="49">
        <v>0.00263232514177694</v>
      </c>
      <c r="E36" s="49">
        <v>0</v>
      </c>
      <c r="F36" s="49">
        <v>0</v>
      </c>
      <c r="I36" s="49">
        <v>33</v>
      </c>
      <c r="J36" s="49">
        <v>34</v>
      </c>
      <c r="K36">
        <f t="shared" si="15"/>
        <v>1.57</v>
      </c>
      <c r="L36">
        <f t="shared" si="3"/>
        <v>3.454</v>
      </c>
      <c r="M36">
        <v>6.28</v>
      </c>
      <c r="N36">
        <f t="shared" si="4"/>
        <v>0</v>
      </c>
      <c r="O36">
        <f t="shared" si="5"/>
        <v>0</v>
      </c>
      <c r="P36">
        <v>0</v>
      </c>
      <c r="Q36">
        <f t="shared" si="17"/>
        <v>0</v>
      </c>
      <c r="R36">
        <f t="shared" si="18"/>
        <v>0</v>
      </c>
      <c r="S36">
        <v>0</v>
      </c>
      <c r="V36" s="49">
        <v>33</v>
      </c>
      <c r="W36" s="49">
        <v>34</v>
      </c>
      <c r="X36" s="50">
        <f t="shared" si="12"/>
        <v>0.00732211510187618</v>
      </c>
      <c r="Y36" s="50">
        <f t="shared" si="13"/>
        <v>0.0354390370930807</v>
      </c>
      <c r="Z36" s="50">
        <f t="shared" si="14"/>
        <v>0.117153841630019</v>
      </c>
      <c r="AA36" s="50">
        <f t="shared" si="6"/>
        <v>0</v>
      </c>
      <c r="AB36" s="50">
        <f t="shared" si="7"/>
        <v>0</v>
      </c>
      <c r="AC36" s="50">
        <f t="shared" si="8"/>
        <v>0</v>
      </c>
      <c r="AD36" s="50">
        <f t="shared" si="9"/>
        <v>0</v>
      </c>
      <c r="AE36" s="50">
        <f t="shared" si="10"/>
        <v>0</v>
      </c>
      <c r="AF36" s="50">
        <f t="shared" si="11"/>
        <v>0</v>
      </c>
    </row>
    <row r="37" spans="1:32">
      <c r="A37" s="49">
        <v>36</v>
      </c>
      <c r="B37" s="49">
        <v>37</v>
      </c>
      <c r="C37" s="49">
        <v>0.10692</v>
      </c>
      <c r="D37" s="49">
        <v>0.00263232514177694</v>
      </c>
      <c r="E37" s="49">
        <v>0</v>
      </c>
      <c r="F37" s="49">
        <v>0</v>
      </c>
      <c r="I37" s="49">
        <v>36</v>
      </c>
      <c r="J37" s="49">
        <v>37</v>
      </c>
      <c r="K37">
        <f t="shared" si="15"/>
        <v>1.57</v>
      </c>
      <c r="L37">
        <f t="shared" si="3"/>
        <v>3.454</v>
      </c>
      <c r="M37">
        <v>6.28</v>
      </c>
      <c r="N37">
        <f t="shared" si="4"/>
        <v>0</v>
      </c>
      <c r="O37">
        <f t="shared" si="5"/>
        <v>0</v>
      </c>
      <c r="P37">
        <v>0</v>
      </c>
      <c r="Q37">
        <f t="shared" si="17"/>
        <v>0</v>
      </c>
      <c r="R37">
        <f t="shared" si="18"/>
        <v>0</v>
      </c>
      <c r="S37">
        <v>0</v>
      </c>
      <c r="V37" s="49">
        <v>36</v>
      </c>
      <c r="W37" s="49">
        <v>37</v>
      </c>
      <c r="X37" s="50">
        <f t="shared" si="12"/>
        <v>0.000693741678431002</v>
      </c>
      <c r="Y37" s="50">
        <f t="shared" si="13"/>
        <v>0.00335770972360605</v>
      </c>
      <c r="Z37" s="50">
        <f t="shared" si="14"/>
        <v>0.011099866854896</v>
      </c>
      <c r="AA37" s="50">
        <f t="shared" si="6"/>
        <v>0</v>
      </c>
      <c r="AB37" s="50">
        <f t="shared" si="7"/>
        <v>0</v>
      </c>
      <c r="AC37" s="50">
        <f t="shared" si="8"/>
        <v>0</v>
      </c>
      <c r="AD37" s="50">
        <f t="shared" si="9"/>
        <v>0</v>
      </c>
      <c r="AE37" s="50">
        <f t="shared" si="10"/>
        <v>0</v>
      </c>
      <c r="AF37" s="50">
        <f t="shared" si="11"/>
        <v>0</v>
      </c>
    </row>
    <row r="38" spans="1:32">
      <c r="A38" s="49">
        <v>39</v>
      </c>
      <c r="B38" s="49">
        <v>40</v>
      </c>
      <c r="C38" s="49">
        <v>0.41762</v>
      </c>
      <c r="D38" s="49">
        <v>0.00263232514177694</v>
      </c>
      <c r="E38" s="49">
        <v>0</v>
      </c>
      <c r="F38" s="49">
        <v>0</v>
      </c>
      <c r="I38" s="49">
        <v>39</v>
      </c>
      <c r="J38" s="49">
        <v>40</v>
      </c>
      <c r="K38">
        <f t="shared" si="15"/>
        <v>1.57</v>
      </c>
      <c r="L38">
        <f t="shared" si="3"/>
        <v>3.454</v>
      </c>
      <c r="M38">
        <v>6.28</v>
      </c>
      <c r="N38">
        <f t="shared" si="4"/>
        <v>0</v>
      </c>
      <c r="O38">
        <f t="shared" si="5"/>
        <v>0</v>
      </c>
      <c r="P38">
        <v>0</v>
      </c>
      <c r="Q38">
        <f t="shared" si="17"/>
        <v>0</v>
      </c>
      <c r="R38">
        <f t="shared" si="18"/>
        <v>0</v>
      </c>
      <c r="S38">
        <v>0</v>
      </c>
      <c r="V38" s="49">
        <v>39</v>
      </c>
      <c r="W38" s="49">
        <v>40</v>
      </c>
      <c r="X38" s="50">
        <f t="shared" si="12"/>
        <v>0.00270969322620983</v>
      </c>
      <c r="Y38" s="50">
        <f t="shared" si="13"/>
        <v>0.0131149152148556</v>
      </c>
      <c r="Z38" s="50">
        <f t="shared" si="14"/>
        <v>0.0433550916193573</v>
      </c>
      <c r="AA38" s="50">
        <f t="shared" si="6"/>
        <v>0</v>
      </c>
      <c r="AB38" s="50">
        <f t="shared" si="7"/>
        <v>0</v>
      </c>
      <c r="AC38" s="50">
        <f t="shared" si="8"/>
        <v>0</v>
      </c>
      <c r="AD38" s="50">
        <f t="shared" si="9"/>
        <v>0</v>
      </c>
      <c r="AE38" s="50">
        <f t="shared" si="10"/>
        <v>0</v>
      </c>
      <c r="AF38" s="50">
        <f t="shared" si="11"/>
        <v>0</v>
      </c>
    </row>
    <row r="39" spans="1:32">
      <c r="A39" s="49">
        <v>39</v>
      </c>
      <c r="B39" s="49">
        <v>46</v>
      </c>
      <c r="C39" s="49">
        <v>0.29983</v>
      </c>
      <c r="D39" s="49">
        <v>0.00263232514177694</v>
      </c>
      <c r="E39" s="49">
        <v>0</v>
      </c>
      <c r="F39" s="49">
        <v>0</v>
      </c>
      <c r="I39" s="49">
        <v>39</v>
      </c>
      <c r="J39" s="49">
        <v>46</v>
      </c>
      <c r="K39">
        <f t="shared" si="15"/>
        <v>1.57</v>
      </c>
      <c r="L39">
        <f t="shared" si="3"/>
        <v>3.454</v>
      </c>
      <c r="M39">
        <v>6.28</v>
      </c>
      <c r="N39">
        <f t="shared" si="4"/>
        <v>0</v>
      </c>
      <c r="O39">
        <f t="shared" si="5"/>
        <v>0</v>
      </c>
      <c r="P39">
        <v>0</v>
      </c>
      <c r="Q39">
        <f t="shared" si="17"/>
        <v>0</v>
      </c>
      <c r="R39">
        <f t="shared" si="18"/>
        <v>0</v>
      </c>
      <c r="S39">
        <v>0</v>
      </c>
      <c r="V39" s="49">
        <v>39</v>
      </c>
      <c r="W39" s="49">
        <v>46</v>
      </c>
      <c r="X39" s="50">
        <f t="shared" si="12"/>
        <v>0.00194542244148866</v>
      </c>
      <c r="Y39" s="50">
        <f t="shared" si="13"/>
        <v>0.00941584461680511</v>
      </c>
      <c r="Z39" s="50">
        <f t="shared" si="14"/>
        <v>0.0311267590638185</v>
      </c>
      <c r="AA39" s="50">
        <f t="shared" si="6"/>
        <v>0</v>
      </c>
      <c r="AB39" s="50">
        <f t="shared" si="7"/>
        <v>0</v>
      </c>
      <c r="AC39" s="50">
        <f t="shared" si="8"/>
        <v>0</v>
      </c>
      <c r="AD39" s="50">
        <f t="shared" si="9"/>
        <v>0</v>
      </c>
      <c r="AE39" s="50">
        <f t="shared" si="10"/>
        <v>0</v>
      </c>
      <c r="AF39" s="50">
        <f t="shared" si="11"/>
        <v>0</v>
      </c>
    </row>
    <row r="40" spans="1:32">
      <c r="A40" s="49">
        <v>40</v>
      </c>
      <c r="B40" s="49">
        <v>41</v>
      </c>
      <c r="C40" s="49">
        <v>0.08015</v>
      </c>
      <c r="D40" s="49">
        <v>0.00263232514177694</v>
      </c>
      <c r="E40" s="49">
        <v>0</v>
      </c>
      <c r="F40" s="49">
        <v>0</v>
      </c>
      <c r="I40" s="49">
        <v>40</v>
      </c>
      <c r="J40" s="49">
        <v>41</v>
      </c>
      <c r="K40">
        <f t="shared" si="15"/>
        <v>1.57</v>
      </c>
      <c r="L40">
        <f t="shared" si="3"/>
        <v>3.454</v>
      </c>
      <c r="M40">
        <v>6.28</v>
      </c>
      <c r="N40">
        <f t="shared" si="4"/>
        <v>0</v>
      </c>
      <c r="O40">
        <f t="shared" si="5"/>
        <v>0</v>
      </c>
      <c r="P40">
        <v>0</v>
      </c>
      <c r="Q40">
        <f t="shared" si="17"/>
        <v>0</v>
      </c>
      <c r="R40">
        <f t="shared" si="18"/>
        <v>0</v>
      </c>
      <c r="S40">
        <v>0</v>
      </c>
      <c r="V40" s="49">
        <v>40</v>
      </c>
      <c r="W40" s="49">
        <v>41</v>
      </c>
      <c r="X40" s="50">
        <f t="shared" si="12"/>
        <v>0.000520046722093573</v>
      </c>
      <c r="Y40" s="50">
        <f t="shared" si="13"/>
        <v>0.00251702613493289</v>
      </c>
      <c r="Z40" s="50">
        <f t="shared" si="14"/>
        <v>0.00832074755349716</v>
      </c>
      <c r="AA40" s="50">
        <f t="shared" si="6"/>
        <v>0</v>
      </c>
      <c r="AB40" s="50">
        <f t="shared" si="7"/>
        <v>0</v>
      </c>
      <c r="AC40" s="50">
        <f t="shared" si="8"/>
        <v>0</v>
      </c>
      <c r="AD40" s="50">
        <f t="shared" si="9"/>
        <v>0</v>
      </c>
      <c r="AE40" s="50">
        <f t="shared" si="10"/>
        <v>0</v>
      </c>
      <c r="AF40" s="50">
        <f t="shared" si="11"/>
        <v>0</v>
      </c>
    </row>
    <row r="41" spans="1:32">
      <c r="A41" s="49">
        <v>41</v>
      </c>
      <c r="B41" s="49">
        <v>42</v>
      </c>
      <c r="C41" s="49">
        <v>0.83536</v>
      </c>
      <c r="D41" s="49">
        <v>0.00263232514177694</v>
      </c>
      <c r="E41" s="49">
        <v>0</v>
      </c>
      <c r="F41" s="49">
        <v>0</v>
      </c>
      <c r="I41" s="49">
        <v>41</v>
      </c>
      <c r="J41" s="49">
        <v>42</v>
      </c>
      <c r="K41">
        <f t="shared" si="15"/>
        <v>1.57</v>
      </c>
      <c r="L41">
        <f t="shared" si="3"/>
        <v>3.454</v>
      </c>
      <c r="M41">
        <v>6.28</v>
      </c>
      <c r="N41">
        <f t="shared" si="4"/>
        <v>0</v>
      </c>
      <c r="O41">
        <f t="shared" si="5"/>
        <v>0</v>
      </c>
      <c r="P41">
        <v>0</v>
      </c>
      <c r="Q41">
        <f t="shared" si="17"/>
        <v>0</v>
      </c>
      <c r="R41">
        <f t="shared" si="18"/>
        <v>0</v>
      </c>
      <c r="S41">
        <v>0</v>
      </c>
      <c r="V41" s="49">
        <v>41</v>
      </c>
      <c r="W41" s="49">
        <v>42</v>
      </c>
      <c r="X41" s="50">
        <f t="shared" si="12"/>
        <v>0.0054201650626087</v>
      </c>
      <c r="Y41" s="50">
        <f t="shared" si="13"/>
        <v>0.0262335989030261</v>
      </c>
      <c r="Z41" s="50">
        <f t="shared" si="14"/>
        <v>0.0867226410017391</v>
      </c>
      <c r="AA41" s="50">
        <f t="shared" si="6"/>
        <v>0</v>
      </c>
      <c r="AB41" s="50">
        <f t="shared" si="7"/>
        <v>0</v>
      </c>
      <c r="AC41" s="50">
        <f t="shared" si="8"/>
        <v>0</v>
      </c>
      <c r="AD41" s="50">
        <f t="shared" si="9"/>
        <v>0</v>
      </c>
      <c r="AE41" s="50">
        <f t="shared" si="10"/>
        <v>0</v>
      </c>
      <c r="AF41" s="50">
        <f t="shared" si="11"/>
        <v>0</v>
      </c>
    </row>
    <row r="42" spans="1:32">
      <c r="A42" s="49">
        <v>42</v>
      </c>
      <c r="B42" s="49">
        <v>43</v>
      </c>
      <c r="C42" s="49">
        <v>0.29733</v>
      </c>
      <c r="D42" s="49">
        <v>0.00263232514177694</v>
      </c>
      <c r="E42" s="49">
        <v>0</v>
      </c>
      <c r="F42" s="49">
        <v>0</v>
      </c>
      <c r="I42" s="49">
        <v>42</v>
      </c>
      <c r="J42" s="49">
        <v>43</v>
      </c>
      <c r="K42">
        <f t="shared" si="15"/>
        <v>1.57</v>
      </c>
      <c r="L42">
        <f t="shared" si="3"/>
        <v>3.454</v>
      </c>
      <c r="M42">
        <v>6.28</v>
      </c>
      <c r="N42">
        <f t="shared" si="4"/>
        <v>0</v>
      </c>
      <c r="O42">
        <f t="shared" si="5"/>
        <v>0</v>
      </c>
      <c r="P42">
        <v>0</v>
      </c>
      <c r="Q42">
        <f t="shared" si="17"/>
        <v>0</v>
      </c>
      <c r="R42">
        <f t="shared" si="18"/>
        <v>0</v>
      </c>
      <c r="S42">
        <v>0</v>
      </c>
      <c r="V42" s="49">
        <v>42</v>
      </c>
      <c r="W42" s="49">
        <v>43</v>
      </c>
      <c r="X42" s="50">
        <f t="shared" si="12"/>
        <v>0.00192920139588374</v>
      </c>
      <c r="Y42" s="50">
        <f t="shared" si="13"/>
        <v>0.00933733475607732</v>
      </c>
      <c r="Z42" s="50">
        <f t="shared" si="14"/>
        <v>0.0308672223341399</v>
      </c>
      <c r="AA42" s="50">
        <f t="shared" si="6"/>
        <v>0</v>
      </c>
      <c r="AB42" s="50">
        <f t="shared" si="7"/>
        <v>0</v>
      </c>
      <c r="AC42" s="50">
        <f t="shared" si="8"/>
        <v>0</v>
      </c>
      <c r="AD42" s="50">
        <f t="shared" si="9"/>
        <v>0</v>
      </c>
      <c r="AE42" s="50">
        <f t="shared" si="10"/>
        <v>0</v>
      </c>
      <c r="AF42" s="50">
        <f t="shared" si="11"/>
        <v>0</v>
      </c>
    </row>
    <row r="43" spans="1:32">
      <c r="A43" s="49">
        <v>42</v>
      </c>
      <c r="B43" s="49">
        <v>51</v>
      </c>
      <c r="C43" s="49">
        <v>3.1323</v>
      </c>
      <c r="D43" s="49">
        <v>0.00263232514177694</v>
      </c>
      <c r="E43" s="49">
        <v>0</v>
      </c>
      <c r="F43" s="49">
        <v>0</v>
      </c>
      <c r="I43" s="49">
        <v>42</v>
      </c>
      <c r="J43" s="49">
        <v>51</v>
      </c>
      <c r="K43">
        <f t="shared" si="15"/>
        <v>1.57</v>
      </c>
      <c r="L43">
        <f t="shared" si="3"/>
        <v>3.454</v>
      </c>
      <c r="M43">
        <v>6.28</v>
      </c>
      <c r="N43">
        <f t="shared" si="4"/>
        <v>0</v>
      </c>
      <c r="O43">
        <f t="shared" si="5"/>
        <v>0</v>
      </c>
      <c r="P43">
        <v>0</v>
      </c>
      <c r="Q43">
        <f t="shared" si="17"/>
        <v>0</v>
      </c>
      <c r="R43">
        <f t="shared" si="18"/>
        <v>0</v>
      </c>
      <c r="S43">
        <v>0</v>
      </c>
      <c r="V43" s="49">
        <v>42</v>
      </c>
      <c r="W43" s="49">
        <v>51</v>
      </c>
      <c r="X43" s="50">
        <f t="shared" si="12"/>
        <v>0.02032367245931</v>
      </c>
      <c r="Y43" s="50">
        <f t="shared" si="13"/>
        <v>0.0983665747030605</v>
      </c>
      <c r="Z43" s="50">
        <f t="shared" si="14"/>
        <v>0.32517875934896</v>
      </c>
      <c r="AA43" s="50">
        <f t="shared" si="6"/>
        <v>0</v>
      </c>
      <c r="AB43" s="50">
        <f t="shared" si="7"/>
        <v>0</v>
      </c>
      <c r="AC43" s="50">
        <f t="shared" si="8"/>
        <v>0</v>
      </c>
      <c r="AD43" s="50">
        <f t="shared" si="9"/>
        <v>0</v>
      </c>
      <c r="AE43" s="50">
        <f t="shared" si="10"/>
        <v>0</v>
      </c>
      <c r="AF43" s="50">
        <f t="shared" si="11"/>
        <v>0</v>
      </c>
    </row>
    <row r="44" spans="1:32">
      <c r="A44" s="49">
        <v>43</v>
      </c>
      <c r="B44" s="49">
        <v>44</v>
      </c>
      <c r="C44" s="49">
        <v>0.00472</v>
      </c>
      <c r="D44" s="49">
        <v>0.00263232514177694</v>
      </c>
      <c r="E44" s="49">
        <v>0</v>
      </c>
      <c r="F44" s="49">
        <v>0</v>
      </c>
      <c r="I44" s="49">
        <v>43</v>
      </c>
      <c r="J44" s="49">
        <v>44</v>
      </c>
      <c r="K44">
        <f t="shared" si="15"/>
        <v>1.57</v>
      </c>
      <c r="L44">
        <f t="shared" si="3"/>
        <v>3.454</v>
      </c>
      <c r="M44">
        <v>6.28</v>
      </c>
      <c r="N44">
        <f t="shared" si="4"/>
        <v>0</v>
      </c>
      <c r="O44">
        <f t="shared" si="5"/>
        <v>0</v>
      </c>
      <c r="P44">
        <v>0</v>
      </c>
      <c r="Q44">
        <f t="shared" si="17"/>
        <v>0</v>
      </c>
      <c r="R44">
        <f t="shared" si="18"/>
        <v>0</v>
      </c>
      <c r="S44">
        <v>0</v>
      </c>
      <c r="V44" s="49">
        <v>43</v>
      </c>
      <c r="W44" s="49">
        <v>44</v>
      </c>
      <c r="X44" s="50">
        <f t="shared" si="12"/>
        <v>3.06253341020794e-5</v>
      </c>
      <c r="Y44" s="50">
        <f t="shared" si="13"/>
        <v>0.000148226617054064</v>
      </c>
      <c r="Z44" s="50">
        <f t="shared" si="14"/>
        <v>0.00049000534563327</v>
      </c>
      <c r="AA44" s="50">
        <f t="shared" si="6"/>
        <v>0</v>
      </c>
      <c r="AB44" s="50">
        <f t="shared" si="7"/>
        <v>0</v>
      </c>
      <c r="AC44" s="50">
        <f t="shared" si="8"/>
        <v>0</v>
      </c>
      <c r="AD44" s="50">
        <f t="shared" si="9"/>
        <v>0</v>
      </c>
      <c r="AE44" s="50">
        <f t="shared" si="10"/>
        <v>0</v>
      </c>
      <c r="AF44" s="50">
        <f t="shared" si="11"/>
        <v>0</v>
      </c>
    </row>
    <row r="45" spans="1:32">
      <c r="A45" s="49">
        <v>43</v>
      </c>
      <c r="B45" s="49">
        <v>52</v>
      </c>
      <c r="C45" s="49">
        <v>0.17463</v>
      </c>
      <c r="D45" s="49">
        <v>0.00263232514177694</v>
      </c>
      <c r="E45" s="49">
        <v>0</v>
      </c>
      <c r="F45" s="49">
        <v>0</v>
      </c>
      <c r="I45" s="49">
        <v>43</v>
      </c>
      <c r="J45" s="49">
        <v>52</v>
      </c>
      <c r="K45">
        <f t="shared" si="15"/>
        <v>1.57</v>
      </c>
      <c r="L45">
        <f t="shared" si="3"/>
        <v>3.454</v>
      </c>
      <c r="M45">
        <v>6.28</v>
      </c>
      <c r="N45">
        <f t="shared" si="4"/>
        <v>0</v>
      </c>
      <c r="O45">
        <f t="shared" si="5"/>
        <v>0</v>
      </c>
      <c r="P45">
        <v>0</v>
      </c>
      <c r="Q45">
        <f t="shared" si="17"/>
        <v>0</v>
      </c>
      <c r="R45">
        <f t="shared" si="18"/>
        <v>0</v>
      </c>
      <c r="S45">
        <v>0</v>
      </c>
      <c r="V45" s="49">
        <v>43</v>
      </c>
      <c r="W45" s="49">
        <v>52</v>
      </c>
      <c r="X45" s="50">
        <f t="shared" si="12"/>
        <v>0.00113307247759452</v>
      </c>
      <c r="Y45" s="50">
        <f t="shared" si="13"/>
        <v>0.00548407079155747</v>
      </c>
      <c r="Z45" s="50">
        <f t="shared" si="14"/>
        <v>0.0181291596415123</v>
      </c>
      <c r="AA45" s="50">
        <f t="shared" si="6"/>
        <v>0</v>
      </c>
      <c r="AB45" s="50">
        <f t="shared" si="7"/>
        <v>0</v>
      </c>
      <c r="AC45" s="50">
        <f t="shared" si="8"/>
        <v>0</v>
      </c>
      <c r="AD45" s="50">
        <f t="shared" si="9"/>
        <v>0</v>
      </c>
      <c r="AE45" s="50">
        <f t="shared" si="10"/>
        <v>0</v>
      </c>
      <c r="AF45" s="50">
        <f t="shared" si="11"/>
        <v>0</v>
      </c>
    </row>
    <row r="46" spans="1:32">
      <c r="A46" s="49">
        <v>44</v>
      </c>
      <c r="B46" s="49">
        <v>45</v>
      </c>
      <c r="C46" s="49">
        <v>0.9209</v>
      </c>
      <c r="D46" s="49">
        <v>0.00263232514177694</v>
      </c>
      <c r="E46" s="49">
        <v>0</v>
      </c>
      <c r="F46" s="49">
        <v>0</v>
      </c>
      <c r="I46" s="49">
        <v>44</v>
      </c>
      <c r="J46" s="49">
        <v>45</v>
      </c>
      <c r="K46">
        <f t="shared" si="15"/>
        <v>1.57</v>
      </c>
      <c r="L46">
        <f t="shared" si="3"/>
        <v>3.454</v>
      </c>
      <c r="M46">
        <v>6.28</v>
      </c>
      <c r="N46">
        <f t="shared" si="4"/>
        <v>0</v>
      </c>
      <c r="O46">
        <f t="shared" si="5"/>
        <v>0</v>
      </c>
      <c r="P46">
        <v>0</v>
      </c>
      <c r="Q46">
        <f t="shared" si="17"/>
        <v>0</v>
      </c>
      <c r="R46">
        <f t="shared" si="18"/>
        <v>0</v>
      </c>
      <c r="S46">
        <v>0</v>
      </c>
      <c r="V46" s="49">
        <v>44</v>
      </c>
      <c r="W46" s="49">
        <v>45</v>
      </c>
      <c r="X46" s="50">
        <f t="shared" si="12"/>
        <v>0.00597518435902647</v>
      </c>
      <c r="Y46" s="50">
        <f t="shared" si="13"/>
        <v>0.0289198922976881</v>
      </c>
      <c r="Z46" s="50">
        <f t="shared" si="14"/>
        <v>0.0956029497444235</v>
      </c>
      <c r="AA46" s="50">
        <f t="shared" si="6"/>
        <v>0</v>
      </c>
      <c r="AB46" s="50">
        <f t="shared" si="7"/>
        <v>0</v>
      </c>
      <c r="AC46" s="50">
        <f t="shared" si="8"/>
        <v>0</v>
      </c>
      <c r="AD46" s="50">
        <f t="shared" si="9"/>
        <v>0</v>
      </c>
      <c r="AE46" s="50">
        <f t="shared" si="10"/>
        <v>0</v>
      </c>
      <c r="AF46" s="50">
        <f t="shared" si="11"/>
        <v>0</v>
      </c>
    </row>
    <row r="47" spans="1:32">
      <c r="A47" s="49">
        <v>46</v>
      </c>
      <c r="B47" s="49">
        <v>47</v>
      </c>
      <c r="C47" s="49">
        <v>0.16046</v>
      </c>
      <c r="D47" s="49">
        <v>0.00263232514177694</v>
      </c>
      <c r="E47" s="49">
        <v>0</v>
      </c>
      <c r="F47" s="49">
        <v>0</v>
      </c>
      <c r="I47" s="49">
        <v>46</v>
      </c>
      <c r="J47" s="49">
        <v>47</v>
      </c>
      <c r="K47">
        <f t="shared" si="15"/>
        <v>1.57</v>
      </c>
      <c r="L47">
        <f t="shared" si="3"/>
        <v>3.454</v>
      </c>
      <c r="M47">
        <v>6.28</v>
      </c>
      <c r="N47">
        <f t="shared" si="4"/>
        <v>0</v>
      </c>
      <c r="O47">
        <f t="shared" si="5"/>
        <v>0</v>
      </c>
      <c r="P47">
        <v>0</v>
      </c>
      <c r="Q47">
        <f t="shared" si="17"/>
        <v>0</v>
      </c>
      <c r="R47">
        <f t="shared" si="18"/>
        <v>0</v>
      </c>
      <c r="S47">
        <v>0</v>
      </c>
      <c r="V47" s="49">
        <v>46</v>
      </c>
      <c r="W47" s="49">
        <v>47</v>
      </c>
      <c r="X47" s="50">
        <f t="shared" si="12"/>
        <v>0.00104113159110586</v>
      </c>
      <c r="Y47" s="50">
        <f t="shared" si="13"/>
        <v>0.00503907690095236</v>
      </c>
      <c r="Z47" s="50">
        <f t="shared" si="14"/>
        <v>0.0166581054576938</v>
      </c>
      <c r="AA47" s="50">
        <f t="shared" si="6"/>
        <v>0</v>
      </c>
      <c r="AB47" s="50">
        <f t="shared" si="7"/>
        <v>0</v>
      </c>
      <c r="AC47" s="50">
        <f t="shared" si="8"/>
        <v>0</v>
      </c>
      <c r="AD47" s="50">
        <f t="shared" si="9"/>
        <v>0</v>
      </c>
      <c r="AE47" s="50">
        <f t="shared" si="10"/>
        <v>0</v>
      </c>
      <c r="AF47" s="50">
        <f t="shared" si="11"/>
        <v>0</v>
      </c>
    </row>
    <row r="48" spans="1:32">
      <c r="A48" s="49">
        <v>47</v>
      </c>
      <c r="B48" s="49">
        <v>48</v>
      </c>
      <c r="C48" s="49">
        <v>0.33037</v>
      </c>
      <c r="D48" s="49">
        <v>0.00263232514177694</v>
      </c>
      <c r="E48" s="49">
        <v>0</v>
      </c>
      <c r="F48" s="49">
        <v>0</v>
      </c>
      <c r="I48" s="49">
        <v>47</v>
      </c>
      <c r="J48" s="49">
        <v>48</v>
      </c>
      <c r="K48">
        <f t="shared" si="15"/>
        <v>1.57</v>
      </c>
      <c r="L48">
        <f t="shared" si="3"/>
        <v>3.454</v>
      </c>
      <c r="M48">
        <v>6.28</v>
      </c>
      <c r="N48">
        <f t="shared" si="4"/>
        <v>0</v>
      </c>
      <c r="O48">
        <f t="shared" si="5"/>
        <v>0</v>
      </c>
      <c r="P48">
        <v>0</v>
      </c>
      <c r="Q48">
        <f t="shared" si="17"/>
        <v>0</v>
      </c>
      <c r="R48">
        <f t="shared" si="18"/>
        <v>0</v>
      </c>
      <c r="S48">
        <v>0</v>
      </c>
      <c r="V48" s="49">
        <v>47</v>
      </c>
      <c r="W48" s="49">
        <v>48</v>
      </c>
      <c r="X48" s="50">
        <f t="shared" si="12"/>
        <v>0.0021435787345983</v>
      </c>
      <c r="Y48" s="50">
        <f t="shared" si="13"/>
        <v>0.0103749210754558</v>
      </c>
      <c r="Z48" s="50">
        <f t="shared" si="14"/>
        <v>0.0342972597535728</v>
      </c>
      <c r="AA48" s="50">
        <f t="shared" si="6"/>
        <v>0</v>
      </c>
      <c r="AB48" s="50">
        <f t="shared" si="7"/>
        <v>0</v>
      </c>
      <c r="AC48" s="50">
        <f t="shared" si="8"/>
        <v>0</v>
      </c>
      <c r="AD48" s="50">
        <f t="shared" si="9"/>
        <v>0</v>
      </c>
      <c r="AE48" s="50">
        <f t="shared" si="10"/>
        <v>0</v>
      </c>
      <c r="AF48" s="50">
        <f t="shared" si="11"/>
        <v>0</v>
      </c>
    </row>
    <row r="49" spans="1:32">
      <c r="A49" s="49">
        <v>48</v>
      </c>
      <c r="B49" s="49">
        <v>49</v>
      </c>
      <c r="C49" s="49">
        <v>0.15574</v>
      </c>
      <c r="D49" s="49">
        <v>0.00263232514177694</v>
      </c>
      <c r="E49" s="49">
        <v>0</v>
      </c>
      <c r="F49" s="49">
        <v>0</v>
      </c>
      <c r="I49" s="49">
        <v>48</v>
      </c>
      <c r="J49" s="49">
        <v>49</v>
      </c>
      <c r="K49">
        <f t="shared" si="15"/>
        <v>1.57</v>
      </c>
      <c r="L49">
        <f t="shared" si="3"/>
        <v>3.454</v>
      </c>
      <c r="M49">
        <v>6.28</v>
      </c>
      <c r="N49">
        <f t="shared" si="4"/>
        <v>0</v>
      </c>
      <c r="O49">
        <f t="shared" si="5"/>
        <v>0</v>
      </c>
      <c r="P49">
        <v>0</v>
      </c>
      <c r="Q49">
        <f t="shared" si="17"/>
        <v>0</v>
      </c>
      <c r="R49">
        <f t="shared" si="18"/>
        <v>0</v>
      </c>
      <c r="S49">
        <v>0</v>
      </c>
      <c r="V49" s="49">
        <v>48</v>
      </c>
      <c r="W49" s="49">
        <v>49</v>
      </c>
      <c r="X49" s="50">
        <f t="shared" si="12"/>
        <v>0.00101050625700378</v>
      </c>
      <c r="Y49" s="50">
        <f t="shared" si="13"/>
        <v>0.0048908502838983</v>
      </c>
      <c r="Z49" s="50">
        <f t="shared" si="14"/>
        <v>0.0161681001120605</v>
      </c>
      <c r="AA49" s="50">
        <f t="shared" si="6"/>
        <v>0</v>
      </c>
      <c r="AB49" s="50">
        <f t="shared" si="7"/>
        <v>0</v>
      </c>
      <c r="AC49" s="50">
        <f t="shared" si="8"/>
        <v>0</v>
      </c>
      <c r="AD49" s="50">
        <f t="shared" si="9"/>
        <v>0</v>
      </c>
      <c r="AE49" s="50">
        <f t="shared" si="10"/>
        <v>0</v>
      </c>
      <c r="AF49" s="50">
        <f t="shared" si="11"/>
        <v>0</v>
      </c>
    </row>
    <row r="50" spans="1:32">
      <c r="A50" s="49">
        <v>49</v>
      </c>
      <c r="B50" s="49">
        <v>50</v>
      </c>
      <c r="C50" s="49">
        <v>0.28789</v>
      </c>
      <c r="D50" s="49">
        <v>0.00263232514177694</v>
      </c>
      <c r="E50" s="49">
        <v>0</v>
      </c>
      <c r="F50" s="49">
        <v>0</v>
      </c>
      <c r="I50" s="49">
        <v>49</v>
      </c>
      <c r="J50" s="49">
        <v>50</v>
      </c>
      <c r="K50">
        <f t="shared" si="15"/>
        <v>1.57</v>
      </c>
      <c r="L50">
        <f t="shared" si="3"/>
        <v>3.454</v>
      </c>
      <c r="M50">
        <v>6.28</v>
      </c>
      <c r="N50">
        <f t="shared" si="4"/>
        <v>0</v>
      </c>
      <c r="O50">
        <f t="shared" si="5"/>
        <v>0</v>
      </c>
      <c r="P50">
        <v>0</v>
      </c>
      <c r="Q50">
        <f t="shared" si="17"/>
        <v>0</v>
      </c>
      <c r="R50">
        <f t="shared" si="18"/>
        <v>0</v>
      </c>
      <c r="S50">
        <v>0</v>
      </c>
      <c r="V50" s="49">
        <v>49</v>
      </c>
      <c r="W50" s="49">
        <v>50</v>
      </c>
      <c r="X50" s="50">
        <f t="shared" si="12"/>
        <v>0.00186795072767958</v>
      </c>
      <c r="Y50" s="50">
        <f t="shared" si="13"/>
        <v>0.00904088152196919</v>
      </c>
      <c r="Z50" s="50">
        <f t="shared" si="14"/>
        <v>0.0298872116428733</v>
      </c>
      <c r="AA50" s="50">
        <f t="shared" si="6"/>
        <v>0</v>
      </c>
      <c r="AB50" s="50">
        <f t="shared" si="7"/>
        <v>0</v>
      </c>
      <c r="AC50" s="50">
        <f t="shared" si="8"/>
        <v>0</v>
      </c>
      <c r="AD50" s="50">
        <f t="shared" si="9"/>
        <v>0</v>
      </c>
      <c r="AE50" s="50">
        <f t="shared" si="10"/>
        <v>0</v>
      </c>
      <c r="AF50" s="50">
        <f t="shared" si="11"/>
        <v>0</v>
      </c>
    </row>
    <row r="51" spans="1:32">
      <c r="A51" s="49">
        <v>52</v>
      </c>
      <c r="B51" s="49">
        <v>53</v>
      </c>
      <c r="C51" s="49">
        <v>1.40097</v>
      </c>
      <c r="D51" s="49">
        <v>0.00263232514177694</v>
      </c>
      <c r="E51" s="49">
        <v>0</v>
      </c>
      <c r="F51" s="49">
        <v>0</v>
      </c>
      <c r="I51" s="49">
        <v>52</v>
      </c>
      <c r="J51" s="49">
        <v>53</v>
      </c>
      <c r="K51">
        <f t="shared" si="15"/>
        <v>1.57</v>
      </c>
      <c r="L51">
        <f t="shared" si="3"/>
        <v>3.454</v>
      </c>
      <c r="M51">
        <v>6.28</v>
      </c>
      <c r="N51">
        <f t="shared" si="4"/>
        <v>0</v>
      </c>
      <c r="O51">
        <f t="shared" si="5"/>
        <v>0</v>
      </c>
      <c r="P51">
        <v>0</v>
      </c>
      <c r="Q51">
        <f t="shared" si="17"/>
        <v>0</v>
      </c>
      <c r="R51">
        <f t="shared" si="18"/>
        <v>0</v>
      </c>
      <c r="S51">
        <v>0</v>
      </c>
      <c r="V51" s="49">
        <v>52</v>
      </c>
      <c r="W51" s="49">
        <v>53</v>
      </c>
      <c r="X51" s="50">
        <f t="shared" si="12"/>
        <v>0.00909007930444707</v>
      </c>
      <c r="Y51" s="50">
        <f t="shared" si="13"/>
        <v>0.0439959838335238</v>
      </c>
      <c r="Z51" s="50">
        <f t="shared" si="14"/>
        <v>0.145441268871153</v>
      </c>
      <c r="AA51" s="50">
        <f t="shared" si="6"/>
        <v>0</v>
      </c>
      <c r="AB51" s="50">
        <f t="shared" si="7"/>
        <v>0</v>
      </c>
      <c r="AC51" s="50">
        <f t="shared" si="8"/>
        <v>0</v>
      </c>
      <c r="AD51" s="50">
        <f t="shared" si="9"/>
        <v>0</v>
      </c>
      <c r="AE51" s="50">
        <f t="shared" si="10"/>
        <v>0</v>
      </c>
      <c r="AF51" s="50">
        <f t="shared" si="11"/>
        <v>0</v>
      </c>
    </row>
    <row r="52" spans="1:32">
      <c r="A52" s="49">
        <v>53</v>
      </c>
      <c r="B52" s="49">
        <v>54</v>
      </c>
      <c r="C52" s="49">
        <v>0.40089</v>
      </c>
      <c r="D52" s="49">
        <v>0.00263232514177694</v>
      </c>
      <c r="E52" s="49">
        <v>0</v>
      </c>
      <c r="F52" s="49">
        <v>0</v>
      </c>
      <c r="I52" s="49">
        <v>53</v>
      </c>
      <c r="J52" s="49">
        <v>54</v>
      </c>
      <c r="K52">
        <f t="shared" si="15"/>
        <v>1.57</v>
      </c>
      <c r="L52">
        <f t="shared" si="3"/>
        <v>3.454</v>
      </c>
      <c r="M52">
        <v>6.28</v>
      </c>
      <c r="N52">
        <f t="shared" si="4"/>
        <v>0</v>
      </c>
      <c r="O52">
        <f t="shared" si="5"/>
        <v>0</v>
      </c>
      <c r="P52">
        <v>0</v>
      </c>
      <c r="Q52">
        <f t="shared" si="17"/>
        <v>0</v>
      </c>
      <c r="R52">
        <f t="shared" si="18"/>
        <v>0</v>
      </c>
      <c r="S52">
        <v>0</v>
      </c>
      <c r="V52" s="49">
        <v>53</v>
      </c>
      <c r="W52" s="49">
        <v>54</v>
      </c>
      <c r="X52" s="50">
        <f t="shared" si="12"/>
        <v>0.00260114198902174</v>
      </c>
      <c r="Y52" s="50">
        <f t="shared" si="13"/>
        <v>0.0125895272268652</v>
      </c>
      <c r="Z52" s="50">
        <f t="shared" si="14"/>
        <v>0.0416182718243478</v>
      </c>
      <c r="AA52" s="50">
        <f t="shared" si="6"/>
        <v>0</v>
      </c>
      <c r="AB52" s="50">
        <f t="shared" si="7"/>
        <v>0</v>
      </c>
      <c r="AC52" s="50">
        <f t="shared" si="8"/>
        <v>0</v>
      </c>
      <c r="AD52" s="50">
        <f t="shared" si="9"/>
        <v>0</v>
      </c>
      <c r="AE52" s="50">
        <f t="shared" si="10"/>
        <v>0</v>
      </c>
      <c r="AF52" s="50">
        <f t="shared" si="11"/>
        <v>0</v>
      </c>
    </row>
    <row r="53" spans="1:32">
      <c r="A53" s="49">
        <v>53</v>
      </c>
      <c r="B53" s="49">
        <v>57</v>
      </c>
      <c r="C53" s="49">
        <v>0.11327</v>
      </c>
      <c r="D53" s="49">
        <v>0.00263232514177694</v>
      </c>
      <c r="E53" s="49">
        <v>0</v>
      </c>
      <c r="F53" s="49">
        <v>0</v>
      </c>
      <c r="I53" s="49">
        <v>53</v>
      </c>
      <c r="J53" s="49">
        <v>57</v>
      </c>
      <c r="K53">
        <f t="shared" si="15"/>
        <v>1.57</v>
      </c>
      <c r="L53">
        <f t="shared" si="3"/>
        <v>3.454</v>
      </c>
      <c r="M53">
        <v>6.28</v>
      </c>
      <c r="N53">
        <f t="shared" si="4"/>
        <v>0</v>
      </c>
      <c r="O53">
        <f t="shared" si="5"/>
        <v>0</v>
      </c>
      <c r="P53">
        <v>0</v>
      </c>
      <c r="Q53">
        <f t="shared" si="17"/>
        <v>0</v>
      </c>
      <c r="R53">
        <f t="shared" si="18"/>
        <v>0</v>
      </c>
      <c r="S53">
        <v>0</v>
      </c>
      <c r="V53" s="49">
        <v>53</v>
      </c>
      <c r="W53" s="49">
        <v>57</v>
      </c>
      <c r="X53" s="50">
        <f t="shared" si="12"/>
        <v>0.000734943134267486</v>
      </c>
      <c r="Y53" s="50">
        <f t="shared" si="13"/>
        <v>0.00355712476985463</v>
      </c>
      <c r="Z53" s="50">
        <f t="shared" si="14"/>
        <v>0.0117590901482798</v>
      </c>
      <c r="AA53" s="50">
        <f t="shared" si="6"/>
        <v>0</v>
      </c>
      <c r="AB53" s="50">
        <f t="shared" si="7"/>
        <v>0</v>
      </c>
      <c r="AC53" s="50">
        <f t="shared" si="8"/>
        <v>0</v>
      </c>
      <c r="AD53" s="50">
        <f t="shared" si="9"/>
        <v>0</v>
      </c>
      <c r="AE53" s="50">
        <f t="shared" si="10"/>
        <v>0</v>
      </c>
      <c r="AF53" s="50">
        <f t="shared" si="11"/>
        <v>0</v>
      </c>
    </row>
    <row r="54" spans="1:32">
      <c r="A54" s="49">
        <v>54</v>
      </c>
      <c r="B54" s="49">
        <v>55</v>
      </c>
      <c r="C54" s="49">
        <v>0.06607</v>
      </c>
      <c r="D54" s="49">
        <v>0.00263232514177694</v>
      </c>
      <c r="E54" s="49">
        <v>0</v>
      </c>
      <c r="F54" s="49">
        <v>0</v>
      </c>
      <c r="I54" s="49">
        <v>54</v>
      </c>
      <c r="J54" s="49">
        <v>55</v>
      </c>
      <c r="K54">
        <f t="shared" si="15"/>
        <v>1.57</v>
      </c>
      <c r="L54">
        <f t="shared" si="3"/>
        <v>3.454</v>
      </c>
      <c r="M54">
        <v>6.28</v>
      </c>
      <c r="N54">
        <f t="shared" si="4"/>
        <v>0</v>
      </c>
      <c r="O54">
        <f t="shared" si="5"/>
        <v>0</v>
      </c>
      <c r="P54">
        <v>0</v>
      </c>
      <c r="Q54">
        <f t="shared" si="17"/>
        <v>0</v>
      </c>
      <c r="R54">
        <f t="shared" si="18"/>
        <v>0</v>
      </c>
      <c r="S54">
        <v>0</v>
      </c>
      <c r="V54" s="49">
        <v>54</v>
      </c>
      <c r="W54" s="49">
        <v>55</v>
      </c>
      <c r="X54" s="50">
        <f t="shared" si="12"/>
        <v>0.000428689793246692</v>
      </c>
      <c r="Y54" s="50">
        <f t="shared" si="13"/>
        <v>0.00207485859931399</v>
      </c>
      <c r="Z54" s="50">
        <f t="shared" si="14"/>
        <v>0.00685903669194707</v>
      </c>
      <c r="AA54" s="50">
        <f t="shared" si="6"/>
        <v>0</v>
      </c>
      <c r="AB54" s="50">
        <f t="shared" si="7"/>
        <v>0</v>
      </c>
      <c r="AC54" s="50">
        <f t="shared" si="8"/>
        <v>0</v>
      </c>
      <c r="AD54" s="50">
        <f t="shared" si="9"/>
        <v>0</v>
      </c>
      <c r="AE54" s="50">
        <f t="shared" si="10"/>
        <v>0</v>
      </c>
      <c r="AF54" s="50">
        <f t="shared" si="11"/>
        <v>0</v>
      </c>
    </row>
    <row r="55" spans="1:32">
      <c r="A55" s="49">
        <v>55</v>
      </c>
      <c r="B55" s="49">
        <v>56</v>
      </c>
      <c r="C55" s="49">
        <v>0.15102</v>
      </c>
      <c r="D55" s="49">
        <v>0.00263232514177694</v>
      </c>
      <c r="E55" s="49">
        <v>0</v>
      </c>
      <c r="F55" s="49">
        <v>0</v>
      </c>
      <c r="I55" s="49">
        <v>55</v>
      </c>
      <c r="J55" s="49">
        <v>56</v>
      </c>
      <c r="K55">
        <f t="shared" si="15"/>
        <v>1.57</v>
      </c>
      <c r="L55">
        <f t="shared" si="3"/>
        <v>3.454</v>
      </c>
      <c r="M55">
        <v>6.28</v>
      </c>
      <c r="N55">
        <f t="shared" si="4"/>
        <v>0</v>
      </c>
      <c r="O55">
        <f t="shared" si="5"/>
        <v>0</v>
      </c>
      <c r="P55">
        <v>0</v>
      </c>
      <c r="Q55">
        <f t="shared" si="17"/>
        <v>0</v>
      </c>
      <c r="R55">
        <f t="shared" si="18"/>
        <v>0</v>
      </c>
      <c r="S55">
        <v>0</v>
      </c>
      <c r="V55" s="49">
        <v>55</v>
      </c>
      <c r="W55" s="49">
        <v>56</v>
      </c>
      <c r="X55" s="50">
        <f t="shared" si="12"/>
        <v>0.000979880922901701</v>
      </c>
      <c r="Y55" s="50">
        <f t="shared" si="13"/>
        <v>0.00474262366684424</v>
      </c>
      <c r="Z55" s="50">
        <f t="shared" si="14"/>
        <v>0.0156780947664272</v>
      </c>
      <c r="AA55" s="50">
        <f t="shared" si="6"/>
        <v>0</v>
      </c>
      <c r="AB55" s="50">
        <f t="shared" si="7"/>
        <v>0</v>
      </c>
      <c r="AC55" s="50">
        <f t="shared" si="8"/>
        <v>0</v>
      </c>
      <c r="AD55" s="50">
        <f t="shared" si="9"/>
        <v>0</v>
      </c>
      <c r="AE55" s="50">
        <f t="shared" si="10"/>
        <v>0</v>
      </c>
      <c r="AF55" s="50">
        <f t="shared" si="11"/>
        <v>0</v>
      </c>
    </row>
    <row r="56" spans="1:32">
      <c r="A56" s="49">
        <v>57</v>
      </c>
      <c r="B56" s="49">
        <v>58</v>
      </c>
      <c r="C56" s="49">
        <v>0.07551</v>
      </c>
      <c r="D56" s="49">
        <v>0.00263232514177694</v>
      </c>
      <c r="E56" s="49">
        <v>0</v>
      </c>
      <c r="F56" s="49">
        <v>0</v>
      </c>
      <c r="I56" s="49">
        <v>57</v>
      </c>
      <c r="J56" s="49">
        <v>58</v>
      </c>
      <c r="K56">
        <f t="shared" si="15"/>
        <v>1.57</v>
      </c>
      <c r="L56">
        <f t="shared" si="3"/>
        <v>3.454</v>
      </c>
      <c r="M56">
        <v>6.28</v>
      </c>
      <c r="N56">
        <f t="shared" si="4"/>
        <v>0</v>
      </c>
      <c r="O56">
        <f t="shared" si="5"/>
        <v>0</v>
      </c>
      <c r="P56">
        <v>0</v>
      </c>
      <c r="Q56">
        <f t="shared" si="17"/>
        <v>0</v>
      </c>
      <c r="R56">
        <f t="shared" si="18"/>
        <v>0</v>
      </c>
      <c r="S56">
        <v>0</v>
      </c>
      <c r="V56" s="49">
        <v>57</v>
      </c>
      <c r="W56" s="49">
        <v>58</v>
      </c>
      <c r="X56" s="50">
        <f t="shared" si="12"/>
        <v>0.000489940461450851</v>
      </c>
      <c r="Y56" s="50">
        <f t="shared" si="13"/>
        <v>0.00237131183342212</v>
      </c>
      <c r="Z56" s="50">
        <f t="shared" si="14"/>
        <v>0.00783904738321361</v>
      </c>
      <c r="AA56" s="50">
        <f t="shared" si="6"/>
        <v>0</v>
      </c>
      <c r="AB56" s="50">
        <f t="shared" si="7"/>
        <v>0</v>
      </c>
      <c r="AC56" s="50">
        <f t="shared" si="8"/>
        <v>0</v>
      </c>
      <c r="AD56" s="50">
        <f t="shared" si="9"/>
        <v>0</v>
      </c>
      <c r="AE56" s="50">
        <f t="shared" si="10"/>
        <v>0</v>
      </c>
      <c r="AF56" s="50">
        <f t="shared" si="11"/>
        <v>0</v>
      </c>
    </row>
    <row r="57" spans="1:32">
      <c r="A57" s="49">
        <v>58</v>
      </c>
      <c r="B57" s="49">
        <v>59</v>
      </c>
      <c r="C57" s="49">
        <v>0.05191</v>
      </c>
      <c r="D57" s="49">
        <v>0.00263232514177694</v>
      </c>
      <c r="E57" s="49">
        <v>0</v>
      </c>
      <c r="F57" s="49">
        <v>0</v>
      </c>
      <c r="I57" s="49">
        <v>58</v>
      </c>
      <c r="J57" s="49">
        <v>59</v>
      </c>
      <c r="K57">
        <f t="shared" si="15"/>
        <v>1.57</v>
      </c>
      <c r="L57">
        <f t="shared" si="3"/>
        <v>3.454</v>
      </c>
      <c r="M57">
        <v>6.28</v>
      </c>
      <c r="N57">
        <f t="shared" si="4"/>
        <v>0</v>
      </c>
      <c r="O57">
        <f t="shared" si="5"/>
        <v>0</v>
      </c>
      <c r="P57">
        <v>0</v>
      </c>
      <c r="Q57">
        <f t="shared" si="17"/>
        <v>0</v>
      </c>
      <c r="R57">
        <f t="shared" si="18"/>
        <v>0</v>
      </c>
      <c r="S57">
        <v>0</v>
      </c>
      <c r="V57" s="49">
        <v>58</v>
      </c>
      <c r="W57" s="49">
        <v>59</v>
      </c>
      <c r="X57" s="50">
        <f t="shared" si="12"/>
        <v>0.000336813790940454</v>
      </c>
      <c r="Y57" s="50">
        <f t="shared" si="13"/>
        <v>0.0016301787481518</v>
      </c>
      <c r="Z57" s="50">
        <f t="shared" si="14"/>
        <v>0.00538902065504726</v>
      </c>
      <c r="AA57" s="50">
        <f t="shared" si="6"/>
        <v>0</v>
      </c>
      <c r="AB57" s="50">
        <f t="shared" si="7"/>
        <v>0</v>
      </c>
      <c r="AC57" s="50">
        <f t="shared" si="8"/>
        <v>0</v>
      </c>
      <c r="AD57" s="50">
        <f t="shared" si="9"/>
        <v>0</v>
      </c>
      <c r="AE57" s="50">
        <f t="shared" si="10"/>
        <v>0</v>
      </c>
      <c r="AF57" s="50">
        <f t="shared" si="11"/>
        <v>0</v>
      </c>
    </row>
    <row r="58" spans="1:32">
      <c r="A58" s="49">
        <v>60</v>
      </c>
      <c r="B58" s="49">
        <v>61</v>
      </c>
      <c r="C58" s="49">
        <v>0.27374</v>
      </c>
      <c r="D58" s="49">
        <v>0.00263232514177694</v>
      </c>
      <c r="E58" s="49">
        <v>0</v>
      </c>
      <c r="F58" s="49">
        <v>0</v>
      </c>
      <c r="I58" s="49">
        <v>60</v>
      </c>
      <c r="J58" s="49">
        <v>61</v>
      </c>
      <c r="K58">
        <f t="shared" si="15"/>
        <v>1.57</v>
      </c>
      <c r="L58">
        <f t="shared" si="3"/>
        <v>3.454</v>
      </c>
      <c r="M58">
        <v>6.28</v>
      </c>
      <c r="N58">
        <f t="shared" si="4"/>
        <v>0</v>
      </c>
      <c r="O58">
        <f t="shared" si="5"/>
        <v>0</v>
      </c>
      <c r="P58">
        <v>0</v>
      </c>
      <c r="Q58">
        <f t="shared" si="17"/>
        <v>0</v>
      </c>
      <c r="R58">
        <f t="shared" si="18"/>
        <v>0</v>
      </c>
      <c r="S58">
        <v>0</v>
      </c>
      <c r="V58" s="49">
        <v>60</v>
      </c>
      <c r="W58" s="49">
        <v>61</v>
      </c>
      <c r="X58" s="50">
        <f t="shared" si="12"/>
        <v>0.00177613960955577</v>
      </c>
      <c r="Y58" s="50">
        <f t="shared" si="13"/>
        <v>0.00859651571024991</v>
      </c>
      <c r="Z58" s="50">
        <f t="shared" si="14"/>
        <v>0.0284182337528922</v>
      </c>
      <c r="AA58" s="50">
        <f t="shared" si="6"/>
        <v>0</v>
      </c>
      <c r="AB58" s="50">
        <f t="shared" si="7"/>
        <v>0</v>
      </c>
      <c r="AC58" s="50">
        <f t="shared" si="8"/>
        <v>0</v>
      </c>
      <c r="AD58" s="50">
        <f t="shared" si="9"/>
        <v>0</v>
      </c>
      <c r="AE58" s="50">
        <f t="shared" si="10"/>
        <v>0</v>
      </c>
      <c r="AF58" s="50">
        <f t="shared" si="11"/>
        <v>0</v>
      </c>
    </row>
    <row r="59" spans="1:32">
      <c r="A59" s="49">
        <v>61</v>
      </c>
      <c r="B59" s="49">
        <v>62</v>
      </c>
      <c r="C59" s="49">
        <v>0.28912</v>
      </c>
      <c r="D59" s="49">
        <v>0.00263232514177694</v>
      </c>
      <c r="E59" s="49">
        <v>0</v>
      </c>
      <c r="F59" s="49">
        <v>0</v>
      </c>
      <c r="I59" s="49">
        <v>61</v>
      </c>
      <c r="J59" s="49">
        <v>62</v>
      </c>
      <c r="K59">
        <f t="shared" si="15"/>
        <v>1.57</v>
      </c>
      <c r="L59">
        <f t="shared" si="3"/>
        <v>3.454</v>
      </c>
      <c r="M59">
        <v>6.28</v>
      </c>
      <c r="N59">
        <f t="shared" si="4"/>
        <v>0</v>
      </c>
      <c r="O59">
        <f t="shared" si="5"/>
        <v>0</v>
      </c>
      <c r="P59">
        <v>0</v>
      </c>
      <c r="Q59">
        <f t="shared" si="17"/>
        <v>0</v>
      </c>
      <c r="R59">
        <f t="shared" si="18"/>
        <v>0</v>
      </c>
      <c r="S59">
        <v>0</v>
      </c>
      <c r="V59" s="49">
        <v>61</v>
      </c>
      <c r="W59" s="49">
        <v>62</v>
      </c>
      <c r="X59" s="50">
        <f t="shared" si="12"/>
        <v>0.0018759314821172</v>
      </c>
      <c r="Y59" s="50">
        <f t="shared" si="13"/>
        <v>0.00907950837344726</v>
      </c>
      <c r="Z59" s="50">
        <f t="shared" si="14"/>
        <v>0.0300149037138752</v>
      </c>
      <c r="AA59" s="50">
        <f t="shared" si="6"/>
        <v>0</v>
      </c>
      <c r="AB59" s="50">
        <f t="shared" si="7"/>
        <v>0</v>
      </c>
      <c r="AC59" s="50">
        <f t="shared" si="8"/>
        <v>0</v>
      </c>
      <c r="AD59" s="50">
        <f t="shared" si="9"/>
        <v>0</v>
      </c>
      <c r="AE59" s="50">
        <f t="shared" si="10"/>
        <v>0</v>
      </c>
      <c r="AF59" s="50">
        <f t="shared" si="11"/>
        <v>0</v>
      </c>
    </row>
    <row r="60" spans="1:32">
      <c r="A60" s="49">
        <v>62</v>
      </c>
      <c r="B60" s="49">
        <v>63</v>
      </c>
      <c r="C60" s="49">
        <v>0.47116</v>
      </c>
      <c r="D60" s="49">
        <v>0.00263232514177694</v>
      </c>
      <c r="E60" s="49">
        <v>0</v>
      </c>
      <c r="F60" s="49">
        <v>0</v>
      </c>
      <c r="I60" s="49">
        <v>62</v>
      </c>
      <c r="J60" s="49">
        <v>63</v>
      </c>
      <c r="K60">
        <f t="shared" si="15"/>
        <v>1.57</v>
      </c>
      <c r="L60">
        <f t="shared" si="3"/>
        <v>3.454</v>
      </c>
      <c r="M60">
        <v>6.28</v>
      </c>
      <c r="N60">
        <f t="shared" si="4"/>
        <v>0</v>
      </c>
      <c r="O60">
        <f t="shared" si="5"/>
        <v>0</v>
      </c>
      <c r="P60">
        <v>0</v>
      </c>
      <c r="Q60">
        <f t="shared" si="17"/>
        <v>0</v>
      </c>
      <c r="R60">
        <f t="shared" si="18"/>
        <v>0</v>
      </c>
      <c r="S60">
        <v>0</v>
      </c>
      <c r="V60" s="49">
        <v>62</v>
      </c>
      <c r="W60" s="49">
        <v>63</v>
      </c>
      <c r="X60" s="50">
        <f t="shared" si="12"/>
        <v>0.00305708313888469</v>
      </c>
      <c r="Y60" s="50">
        <f t="shared" si="13"/>
        <v>0.0147962823922019</v>
      </c>
      <c r="Z60" s="50">
        <f t="shared" si="14"/>
        <v>0.048913330222155</v>
      </c>
      <c r="AA60" s="50">
        <f t="shared" si="6"/>
        <v>0</v>
      </c>
      <c r="AB60" s="50">
        <f t="shared" si="7"/>
        <v>0</v>
      </c>
      <c r="AC60" s="50">
        <f t="shared" si="8"/>
        <v>0</v>
      </c>
      <c r="AD60" s="50">
        <f t="shared" si="9"/>
        <v>0</v>
      </c>
      <c r="AE60" s="50">
        <f t="shared" si="10"/>
        <v>0</v>
      </c>
      <c r="AF60" s="50">
        <f t="shared" si="11"/>
        <v>0</v>
      </c>
    </row>
    <row r="61" spans="1:32">
      <c r="A61" s="49">
        <v>63</v>
      </c>
      <c r="B61" s="49">
        <v>64</v>
      </c>
      <c r="C61" s="49">
        <v>0.56753</v>
      </c>
      <c r="D61" s="49">
        <v>0.00263232514177694</v>
      </c>
      <c r="E61" s="49">
        <v>0</v>
      </c>
      <c r="F61" s="49">
        <v>0</v>
      </c>
      <c r="I61" s="49">
        <v>63</v>
      </c>
      <c r="J61" s="49">
        <v>64</v>
      </c>
      <c r="K61">
        <f t="shared" si="15"/>
        <v>1.57</v>
      </c>
      <c r="L61">
        <f t="shared" si="3"/>
        <v>3.454</v>
      </c>
      <c r="M61">
        <v>6.28</v>
      </c>
      <c r="N61">
        <f t="shared" si="4"/>
        <v>0</v>
      </c>
      <c r="O61">
        <f t="shared" si="5"/>
        <v>0</v>
      </c>
      <c r="P61">
        <v>0</v>
      </c>
      <c r="Q61">
        <f t="shared" si="17"/>
        <v>0</v>
      </c>
      <c r="R61">
        <f t="shared" si="18"/>
        <v>0</v>
      </c>
      <c r="S61">
        <v>0</v>
      </c>
      <c r="V61" s="49">
        <v>63</v>
      </c>
      <c r="W61" s="49">
        <v>64</v>
      </c>
      <c r="X61" s="50">
        <f t="shared" si="12"/>
        <v>0.00368237200486295</v>
      </c>
      <c r="Y61" s="50">
        <f t="shared" si="13"/>
        <v>0.0178226805035367</v>
      </c>
      <c r="Z61" s="50">
        <f t="shared" si="14"/>
        <v>0.0589179520778072</v>
      </c>
      <c r="AA61" s="50">
        <f t="shared" si="6"/>
        <v>0</v>
      </c>
      <c r="AB61" s="50">
        <f t="shared" si="7"/>
        <v>0</v>
      </c>
      <c r="AC61" s="50">
        <f t="shared" si="8"/>
        <v>0</v>
      </c>
      <c r="AD61" s="50">
        <f t="shared" si="9"/>
        <v>0</v>
      </c>
      <c r="AE61" s="50">
        <f t="shared" si="10"/>
        <v>0</v>
      </c>
      <c r="AF61" s="50">
        <f t="shared" si="11"/>
        <v>0</v>
      </c>
    </row>
    <row r="62" spans="1:32">
      <c r="A62" s="49">
        <v>64</v>
      </c>
      <c r="B62" s="49">
        <v>65</v>
      </c>
      <c r="C62" s="49">
        <v>0.37479</v>
      </c>
      <c r="D62" s="49">
        <v>0.00263232514177694</v>
      </c>
      <c r="E62" s="49">
        <v>0</v>
      </c>
      <c r="F62" s="49">
        <v>0</v>
      </c>
      <c r="I62" s="49">
        <v>64</v>
      </c>
      <c r="J62" s="49">
        <v>65</v>
      </c>
      <c r="K62">
        <f t="shared" si="15"/>
        <v>1.57</v>
      </c>
      <c r="L62">
        <f t="shared" si="3"/>
        <v>3.454</v>
      </c>
      <c r="M62">
        <v>6.28</v>
      </c>
      <c r="N62">
        <f t="shared" si="4"/>
        <v>0</v>
      </c>
      <c r="O62">
        <f t="shared" si="5"/>
        <v>0</v>
      </c>
      <c r="P62">
        <v>0</v>
      </c>
      <c r="Q62">
        <f t="shared" si="17"/>
        <v>0</v>
      </c>
      <c r="R62">
        <f t="shared" si="18"/>
        <v>0</v>
      </c>
      <c r="S62">
        <v>0</v>
      </c>
      <c r="V62" s="49">
        <v>64</v>
      </c>
      <c r="W62" s="49">
        <v>65</v>
      </c>
      <c r="X62" s="50">
        <f t="shared" si="12"/>
        <v>0.00243179427290643</v>
      </c>
      <c r="Y62" s="50">
        <f t="shared" si="13"/>
        <v>0.0117698842808671</v>
      </c>
      <c r="Z62" s="50">
        <f t="shared" si="14"/>
        <v>0.0389087083665028</v>
      </c>
      <c r="AA62" s="50">
        <f t="shared" si="6"/>
        <v>0</v>
      </c>
      <c r="AB62" s="50">
        <f t="shared" si="7"/>
        <v>0</v>
      </c>
      <c r="AC62" s="50">
        <f t="shared" si="8"/>
        <v>0</v>
      </c>
      <c r="AD62" s="50">
        <f t="shared" si="9"/>
        <v>0</v>
      </c>
      <c r="AE62" s="50">
        <f t="shared" si="10"/>
        <v>0</v>
      </c>
      <c r="AF62" s="50">
        <f t="shared" si="11"/>
        <v>0</v>
      </c>
    </row>
    <row r="63" spans="1:32">
      <c r="A63" s="49">
        <v>66</v>
      </c>
      <c r="B63" s="49">
        <v>67</v>
      </c>
      <c r="C63" s="49">
        <v>0.23558</v>
      </c>
      <c r="D63" s="49">
        <v>0.00263232514177694</v>
      </c>
      <c r="E63" s="49">
        <v>0</v>
      </c>
      <c r="F63" s="49">
        <v>0</v>
      </c>
      <c r="I63" s="49">
        <v>66</v>
      </c>
      <c r="J63" s="49">
        <v>67</v>
      </c>
      <c r="K63">
        <f t="shared" si="15"/>
        <v>1.57</v>
      </c>
      <c r="L63">
        <f t="shared" si="3"/>
        <v>3.454</v>
      </c>
      <c r="M63">
        <v>6.28</v>
      </c>
      <c r="N63">
        <f t="shared" si="4"/>
        <v>0</v>
      </c>
      <c r="O63">
        <f t="shared" si="5"/>
        <v>0</v>
      </c>
      <c r="P63">
        <v>0</v>
      </c>
      <c r="Q63">
        <f t="shared" si="17"/>
        <v>0</v>
      </c>
      <c r="R63">
        <f t="shared" si="18"/>
        <v>0</v>
      </c>
      <c r="S63">
        <v>0</v>
      </c>
      <c r="V63" s="49">
        <v>66</v>
      </c>
      <c r="W63" s="49">
        <v>67</v>
      </c>
      <c r="X63" s="50">
        <f t="shared" si="12"/>
        <v>0.00152854156944234</v>
      </c>
      <c r="Y63" s="50">
        <f t="shared" si="13"/>
        <v>0.00739814119610095</v>
      </c>
      <c r="Z63" s="50">
        <f t="shared" si="14"/>
        <v>0.0244566651110775</v>
      </c>
      <c r="AA63" s="50">
        <f t="shared" si="6"/>
        <v>0</v>
      </c>
      <c r="AB63" s="50">
        <f t="shared" si="7"/>
        <v>0</v>
      </c>
      <c r="AC63" s="50">
        <f t="shared" si="8"/>
        <v>0</v>
      </c>
      <c r="AD63" s="50">
        <f t="shared" si="9"/>
        <v>0</v>
      </c>
      <c r="AE63" s="50">
        <f t="shared" si="10"/>
        <v>0</v>
      </c>
      <c r="AF63" s="50">
        <f t="shared" si="11"/>
        <v>0</v>
      </c>
    </row>
    <row r="64" spans="1:32">
      <c r="A64" s="49">
        <v>67</v>
      </c>
      <c r="B64" s="49">
        <v>68</v>
      </c>
      <c r="C64" s="49">
        <v>0.34924</v>
      </c>
      <c r="D64" s="49">
        <v>0.00263232514177694</v>
      </c>
      <c r="E64" s="49">
        <v>0</v>
      </c>
      <c r="F64" s="49">
        <v>0</v>
      </c>
      <c r="I64" s="49">
        <v>67</v>
      </c>
      <c r="J64" s="49">
        <v>68</v>
      </c>
      <c r="K64">
        <f t="shared" si="15"/>
        <v>1.57</v>
      </c>
      <c r="L64">
        <f t="shared" si="3"/>
        <v>3.454</v>
      </c>
      <c r="M64">
        <v>6.28</v>
      </c>
      <c r="N64">
        <f t="shared" si="4"/>
        <v>0</v>
      </c>
      <c r="O64">
        <f t="shared" si="5"/>
        <v>0</v>
      </c>
      <c r="P64">
        <v>0</v>
      </c>
      <c r="Q64">
        <f t="shared" si="17"/>
        <v>0</v>
      </c>
      <c r="R64">
        <f t="shared" si="18"/>
        <v>0</v>
      </c>
      <c r="S64">
        <v>0</v>
      </c>
      <c r="V64" s="49">
        <v>67</v>
      </c>
      <c r="W64" s="49">
        <v>68</v>
      </c>
      <c r="X64" s="50">
        <f t="shared" si="12"/>
        <v>0.0022660151868242</v>
      </c>
      <c r="Y64" s="50">
        <f t="shared" si="13"/>
        <v>0.0109675135042291</v>
      </c>
      <c r="Z64" s="50">
        <f t="shared" si="14"/>
        <v>0.0362562429891871</v>
      </c>
      <c r="AA64" s="50">
        <f t="shared" si="6"/>
        <v>0</v>
      </c>
      <c r="AB64" s="50">
        <f t="shared" si="7"/>
        <v>0</v>
      </c>
      <c r="AC64" s="50">
        <f t="shared" si="8"/>
        <v>0</v>
      </c>
      <c r="AD64" s="50">
        <f t="shared" si="9"/>
        <v>0</v>
      </c>
      <c r="AE64" s="50">
        <f t="shared" si="10"/>
        <v>0</v>
      </c>
      <c r="AF64" s="50">
        <f t="shared" si="11"/>
        <v>0</v>
      </c>
    </row>
    <row r="65" spans="1:32">
      <c r="A65" s="49">
        <v>68</v>
      </c>
      <c r="B65" s="49">
        <v>69</v>
      </c>
      <c r="C65" s="49">
        <v>0.01887</v>
      </c>
      <c r="D65" s="49">
        <v>0.00263232514177694</v>
      </c>
      <c r="E65" s="49">
        <v>0</v>
      </c>
      <c r="F65" s="49">
        <v>0</v>
      </c>
      <c r="I65" s="49">
        <v>68</v>
      </c>
      <c r="J65" s="49">
        <v>69</v>
      </c>
      <c r="K65">
        <f t="shared" si="15"/>
        <v>1.57</v>
      </c>
      <c r="L65">
        <f t="shared" si="3"/>
        <v>3.454</v>
      </c>
      <c r="M65">
        <v>6.28</v>
      </c>
      <c r="N65">
        <f t="shared" si="4"/>
        <v>0</v>
      </c>
      <c r="O65">
        <f t="shared" si="5"/>
        <v>0</v>
      </c>
      <c r="P65">
        <v>0</v>
      </c>
      <c r="Q65">
        <f t="shared" si="17"/>
        <v>0</v>
      </c>
      <c r="R65">
        <f t="shared" si="18"/>
        <v>0</v>
      </c>
      <c r="S65">
        <v>0</v>
      </c>
      <c r="V65" s="49">
        <v>68</v>
      </c>
      <c r="W65" s="49">
        <v>69</v>
      </c>
      <c r="X65" s="50">
        <f t="shared" si="12"/>
        <v>0.000122436452225898</v>
      </c>
      <c r="Y65" s="50">
        <f t="shared" si="13"/>
        <v>0.000592592428773346</v>
      </c>
      <c r="Z65" s="50">
        <f t="shared" si="14"/>
        <v>0.00195898323561437</v>
      </c>
      <c r="AA65" s="50">
        <f t="shared" si="6"/>
        <v>0</v>
      </c>
      <c r="AB65" s="50">
        <f t="shared" si="7"/>
        <v>0</v>
      </c>
      <c r="AC65" s="50">
        <f t="shared" si="8"/>
        <v>0</v>
      </c>
      <c r="AD65" s="50">
        <f t="shared" si="9"/>
        <v>0</v>
      </c>
      <c r="AE65" s="50">
        <f t="shared" si="10"/>
        <v>0</v>
      </c>
      <c r="AF65" s="50">
        <f t="shared" si="11"/>
        <v>0</v>
      </c>
    </row>
    <row r="66" spans="1:32">
      <c r="A66" s="49">
        <v>69</v>
      </c>
      <c r="B66" s="49">
        <v>70</v>
      </c>
      <c r="C66" s="49">
        <v>1.67962</v>
      </c>
      <c r="D66" s="49">
        <v>0.00263232514177694</v>
      </c>
      <c r="E66" s="49">
        <v>0</v>
      </c>
      <c r="F66" s="49">
        <v>0</v>
      </c>
      <c r="I66" s="49">
        <v>69</v>
      </c>
      <c r="J66" s="49">
        <v>70</v>
      </c>
      <c r="K66">
        <f t="shared" si="15"/>
        <v>1.57</v>
      </c>
      <c r="L66">
        <f t="shared" si="3"/>
        <v>3.454</v>
      </c>
      <c r="M66">
        <v>6.28</v>
      </c>
      <c r="N66">
        <f t="shared" si="4"/>
        <v>0</v>
      </c>
      <c r="O66">
        <f t="shared" si="5"/>
        <v>0</v>
      </c>
      <c r="P66">
        <v>0</v>
      </c>
      <c r="Q66">
        <f t="shared" si="17"/>
        <v>0</v>
      </c>
      <c r="R66">
        <f t="shared" si="18"/>
        <v>0</v>
      </c>
      <c r="S66">
        <v>0</v>
      </c>
      <c r="V66" s="49">
        <v>69</v>
      </c>
      <c r="W66" s="49">
        <v>70</v>
      </c>
      <c r="X66" s="50">
        <f t="shared" si="12"/>
        <v>0.0108980770475709</v>
      </c>
      <c r="Y66" s="50">
        <f t="shared" si="13"/>
        <v>0.0527466929102431</v>
      </c>
      <c r="Z66" s="50">
        <f t="shared" si="14"/>
        <v>0.174369232761134</v>
      </c>
      <c r="AA66" s="50">
        <f t="shared" si="6"/>
        <v>0</v>
      </c>
      <c r="AB66" s="50">
        <f t="shared" si="7"/>
        <v>0</v>
      </c>
      <c r="AC66" s="50">
        <f t="shared" si="8"/>
        <v>0</v>
      </c>
      <c r="AD66" s="50">
        <f t="shared" si="9"/>
        <v>0</v>
      </c>
      <c r="AE66" s="50">
        <f t="shared" si="10"/>
        <v>0</v>
      </c>
      <c r="AF66" s="50">
        <f t="shared" si="11"/>
        <v>0</v>
      </c>
    </row>
    <row r="67" spans="1:32">
      <c r="A67" s="49">
        <v>70</v>
      </c>
      <c r="B67" s="49">
        <v>71</v>
      </c>
      <c r="C67" s="49">
        <v>0.96279</v>
      </c>
      <c r="D67" s="49">
        <v>0.00263232514177694</v>
      </c>
      <c r="E67" s="49">
        <v>0</v>
      </c>
      <c r="F67" s="49">
        <v>0</v>
      </c>
      <c r="I67" s="49">
        <v>70</v>
      </c>
      <c r="J67" s="49">
        <v>71</v>
      </c>
      <c r="K67">
        <f t="shared" si="15"/>
        <v>1.57</v>
      </c>
      <c r="L67">
        <f t="shared" si="3"/>
        <v>3.454</v>
      </c>
      <c r="M67">
        <v>6.28</v>
      </c>
      <c r="N67">
        <f t="shared" si="4"/>
        <v>0</v>
      </c>
      <c r="O67">
        <f t="shared" si="5"/>
        <v>0</v>
      </c>
      <c r="P67">
        <v>0</v>
      </c>
      <c r="Q67">
        <f t="shared" si="17"/>
        <v>0</v>
      </c>
      <c r="R67">
        <f t="shared" si="18"/>
        <v>0</v>
      </c>
      <c r="S67">
        <v>0</v>
      </c>
      <c r="V67" s="49">
        <v>70</v>
      </c>
      <c r="W67" s="49">
        <v>71</v>
      </c>
      <c r="X67" s="50">
        <f t="shared" si="12"/>
        <v>0.00624698419918242</v>
      </c>
      <c r="Y67" s="50">
        <f t="shared" si="13"/>
        <v>0.0302354035240429</v>
      </c>
      <c r="Z67" s="50">
        <f t="shared" si="14"/>
        <v>0.0999517471869187</v>
      </c>
      <c r="AA67" s="50">
        <f t="shared" si="6"/>
        <v>0</v>
      </c>
      <c r="AB67" s="50">
        <f t="shared" si="7"/>
        <v>0</v>
      </c>
      <c r="AC67" s="50">
        <f t="shared" si="8"/>
        <v>0</v>
      </c>
      <c r="AD67" s="50">
        <f t="shared" si="9"/>
        <v>0</v>
      </c>
      <c r="AE67" s="50">
        <f t="shared" si="10"/>
        <v>0</v>
      </c>
      <c r="AF67" s="50">
        <f t="shared" si="11"/>
        <v>0</v>
      </c>
    </row>
    <row r="68" spans="1:32">
      <c r="A68" s="49">
        <v>71</v>
      </c>
      <c r="B68" s="49">
        <v>72</v>
      </c>
      <c r="C68" s="49">
        <v>0.83064</v>
      </c>
      <c r="D68" s="49">
        <v>0.00263232514177694</v>
      </c>
      <c r="E68" s="49">
        <v>0</v>
      </c>
      <c r="F68" s="49">
        <v>0</v>
      </c>
      <c r="I68" s="49">
        <v>71</v>
      </c>
      <c r="J68" s="49">
        <v>72</v>
      </c>
      <c r="K68">
        <f t="shared" si="15"/>
        <v>1.57</v>
      </c>
      <c r="L68">
        <f t="shared" ref="L68:L131" si="19">M68*0.55</f>
        <v>3.454</v>
      </c>
      <c r="M68">
        <v>6.28</v>
      </c>
      <c r="N68">
        <f t="shared" ref="N68:N131" si="20">P68*0.25</f>
        <v>0</v>
      </c>
      <c r="O68">
        <f t="shared" ref="O68:O131" si="21">P68*0.55</f>
        <v>0</v>
      </c>
      <c r="P68">
        <v>0</v>
      </c>
      <c r="Q68">
        <f t="shared" si="17"/>
        <v>0</v>
      </c>
      <c r="R68">
        <f t="shared" si="18"/>
        <v>0</v>
      </c>
      <c r="S68">
        <v>0</v>
      </c>
      <c r="V68" s="49">
        <v>71</v>
      </c>
      <c r="W68" s="49">
        <v>72</v>
      </c>
      <c r="X68" s="50">
        <f t="shared" si="12"/>
        <v>0.00538953972850662</v>
      </c>
      <c r="Y68" s="50">
        <f t="shared" si="13"/>
        <v>0.026085372285972</v>
      </c>
      <c r="Z68" s="50">
        <f t="shared" si="14"/>
        <v>0.0862326356561059</v>
      </c>
      <c r="AA68" s="50">
        <f t="shared" ref="AA68:AA131" si="22">N68^2*E68*C68</f>
        <v>0</v>
      </c>
      <c r="AB68" s="50">
        <f t="shared" ref="AB68:AB131" si="23">O68^2*E68*C68</f>
        <v>0</v>
      </c>
      <c r="AC68" s="50">
        <f t="shared" ref="AC68:AC131" si="24">P68^2*E68*C68</f>
        <v>0</v>
      </c>
      <c r="AD68" s="50">
        <f t="shared" ref="AD68:AD131" si="25">Q68^2*F68*C68</f>
        <v>0</v>
      </c>
      <c r="AE68" s="50">
        <f t="shared" ref="AE68:AE131" si="26">R68^2*F68*C68</f>
        <v>0</v>
      </c>
      <c r="AF68" s="50">
        <f t="shared" ref="AF68:AF131" si="27">S68^2*F68*C68</f>
        <v>0</v>
      </c>
    </row>
    <row r="69" spans="1:32">
      <c r="A69" s="49">
        <v>72</v>
      </c>
      <c r="B69" s="49">
        <v>73</v>
      </c>
      <c r="C69" s="49">
        <v>0.82592</v>
      </c>
      <c r="D69" s="49">
        <v>0.00263232514177694</v>
      </c>
      <c r="E69" s="49">
        <v>0</v>
      </c>
      <c r="F69" s="49">
        <v>0</v>
      </c>
      <c r="I69" s="49">
        <v>72</v>
      </c>
      <c r="J69" s="49">
        <v>73</v>
      </c>
      <c r="K69">
        <f t="shared" si="15"/>
        <v>1.57</v>
      </c>
      <c r="L69">
        <f t="shared" si="19"/>
        <v>3.454</v>
      </c>
      <c r="M69">
        <v>6.28</v>
      </c>
      <c r="N69">
        <f t="shared" si="20"/>
        <v>0</v>
      </c>
      <c r="O69">
        <f t="shared" si="21"/>
        <v>0</v>
      </c>
      <c r="P69">
        <v>0</v>
      </c>
      <c r="Q69">
        <f t="shared" si="17"/>
        <v>0</v>
      </c>
      <c r="R69">
        <f t="shared" si="18"/>
        <v>0</v>
      </c>
      <c r="S69">
        <v>0</v>
      </c>
      <c r="V69" s="49">
        <v>72</v>
      </c>
      <c r="W69" s="49">
        <v>73</v>
      </c>
      <c r="X69" s="50">
        <f t="shared" ref="X69:X132" si="28">K69^2*D69*C69</f>
        <v>0.00535891439440454</v>
      </c>
      <c r="Y69" s="50">
        <f t="shared" ref="Y69:Y132" si="29">L69^2*D69*C69</f>
        <v>0.025937145668918</v>
      </c>
      <c r="Z69" s="50">
        <f t="shared" ref="Z69:Z132" si="30">M69^2*D69*C69</f>
        <v>0.0857426303104726</v>
      </c>
      <c r="AA69" s="50">
        <f t="shared" si="22"/>
        <v>0</v>
      </c>
      <c r="AB69" s="50">
        <f t="shared" si="23"/>
        <v>0</v>
      </c>
      <c r="AC69" s="50">
        <f t="shared" si="24"/>
        <v>0</v>
      </c>
      <c r="AD69" s="50">
        <f t="shared" si="25"/>
        <v>0</v>
      </c>
      <c r="AE69" s="50">
        <f t="shared" si="26"/>
        <v>0</v>
      </c>
      <c r="AF69" s="50">
        <f t="shared" si="27"/>
        <v>0</v>
      </c>
    </row>
    <row r="70" spans="1:32">
      <c r="A70" s="49">
        <v>74</v>
      </c>
      <c r="B70" s="49">
        <v>75</v>
      </c>
      <c r="C70" s="49">
        <v>0.42948</v>
      </c>
      <c r="D70" s="49">
        <v>0.00263232514177694</v>
      </c>
      <c r="E70" s="49">
        <v>0</v>
      </c>
      <c r="F70" s="49">
        <v>0</v>
      </c>
      <c r="I70" s="49">
        <v>74</v>
      </c>
      <c r="J70" s="49">
        <v>75</v>
      </c>
      <c r="K70">
        <f t="shared" si="15"/>
        <v>1.57</v>
      </c>
      <c r="L70">
        <f t="shared" si="19"/>
        <v>3.454</v>
      </c>
      <c r="M70">
        <v>6.28</v>
      </c>
      <c r="N70">
        <f t="shared" si="20"/>
        <v>0</v>
      </c>
      <c r="O70">
        <f t="shared" si="21"/>
        <v>0</v>
      </c>
      <c r="P70">
        <v>0</v>
      </c>
      <c r="Q70">
        <f t="shared" si="17"/>
        <v>0</v>
      </c>
      <c r="R70">
        <f t="shared" si="18"/>
        <v>0</v>
      </c>
      <c r="S70">
        <v>0</v>
      </c>
      <c r="V70" s="49">
        <v>74</v>
      </c>
      <c r="W70" s="49">
        <v>75</v>
      </c>
      <c r="X70" s="50">
        <f t="shared" si="28"/>
        <v>0.00278664586655955</v>
      </c>
      <c r="Y70" s="50">
        <f t="shared" si="29"/>
        <v>0.0134873659941482</v>
      </c>
      <c r="Z70" s="50">
        <f t="shared" si="30"/>
        <v>0.0445863338649527</v>
      </c>
      <c r="AA70" s="50">
        <f t="shared" si="22"/>
        <v>0</v>
      </c>
      <c r="AB70" s="50">
        <f t="shared" si="23"/>
        <v>0</v>
      </c>
      <c r="AC70" s="50">
        <f t="shared" si="24"/>
        <v>0</v>
      </c>
      <c r="AD70" s="50">
        <f t="shared" si="25"/>
        <v>0</v>
      </c>
      <c r="AE70" s="50">
        <f t="shared" si="26"/>
        <v>0</v>
      </c>
      <c r="AF70" s="50">
        <f t="shared" si="27"/>
        <v>0</v>
      </c>
    </row>
    <row r="71" spans="1:32">
      <c r="A71" s="49">
        <v>75</v>
      </c>
      <c r="B71" s="49">
        <v>76</v>
      </c>
      <c r="C71" s="49">
        <v>0.63178</v>
      </c>
      <c r="D71" s="49">
        <v>0.00263232514177694</v>
      </c>
      <c r="E71" s="49">
        <v>0</v>
      </c>
      <c r="F71" s="49">
        <v>0</v>
      </c>
      <c r="I71" s="49">
        <v>75</v>
      </c>
      <c r="J71" s="49">
        <v>76</v>
      </c>
      <c r="K71">
        <f t="shared" si="15"/>
        <v>1.57</v>
      </c>
      <c r="L71">
        <f t="shared" si="19"/>
        <v>3.454</v>
      </c>
      <c r="M71">
        <v>6.28</v>
      </c>
      <c r="N71">
        <f t="shared" si="20"/>
        <v>0</v>
      </c>
      <c r="O71">
        <f t="shared" si="21"/>
        <v>0</v>
      </c>
      <c r="P71">
        <v>0</v>
      </c>
      <c r="Q71">
        <f t="shared" si="17"/>
        <v>0</v>
      </c>
      <c r="R71">
        <f t="shared" si="18"/>
        <v>0</v>
      </c>
      <c r="S71">
        <v>0</v>
      </c>
      <c r="V71" s="49">
        <v>75</v>
      </c>
      <c r="W71" s="49">
        <v>76</v>
      </c>
      <c r="X71" s="50">
        <f t="shared" si="28"/>
        <v>0.00409925287690926</v>
      </c>
      <c r="Y71" s="50">
        <f t="shared" si="29"/>
        <v>0.0198403839242408</v>
      </c>
      <c r="Z71" s="50">
        <f t="shared" si="30"/>
        <v>0.0655880460305482</v>
      </c>
      <c r="AA71" s="50">
        <f t="shared" si="22"/>
        <v>0</v>
      </c>
      <c r="AB71" s="50">
        <f t="shared" si="23"/>
        <v>0</v>
      </c>
      <c r="AC71" s="50">
        <f t="shared" si="24"/>
        <v>0</v>
      </c>
      <c r="AD71" s="50">
        <f t="shared" si="25"/>
        <v>0</v>
      </c>
      <c r="AE71" s="50">
        <f t="shared" si="26"/>
        <v>0</v>
      </c>
      <c r="AF71" s="50">
        <f t="shared" si="27"/>
        <v>0</v>
      </c>
    </row>
    <row r="72" spans="1:32">
      <c r="A72" s="49">
        <v>76</v>
      </c>
      <c r="B72" s="49">
        <v>77</v>
      </c>
      <c r="C72" s="49">
        <v>0.14631</v>
      </c>
      <c r="D72" s="49">
        <v>0.00263232514177694</v>
      </c>
      <c r="E72" s="49">
        <v>0</v>
      </c>
      <c r="F72" s="49">
        <v>0</v>
      </c>
      <c r="I72" s="49">
        <v>76</v>
      </c>
      <c r="J72" s="49">
        <v>77</v>
      </c>
      <c r="K72">
        <f t="shared" si="15"/>
        <v>1.57</v>
      </c>
      <c r="L72">
        <f t="shared" si="19"/>
        <v>3.454</v>
      </c>
      <c r="M72">
        <v>6.28</v>
      </c>
      <c r="N72">
        <f t="shared" si="20"/>
        <v>0</v>
      </c>
      <c r="O72">
        <f t="shared" si="21"/>
        <v>0</v>
      </c>
      <c r="P72">
        <v>0</v>
      </c>
      <c r="Q72">
        <f t="shared" si="17"/>
        <v>0</v>
      </c>
      <c r="R72">
        <f t="shared" si="18"/>
        <v>0</v>
      </c>
      <c r="S72">
        <v>0</v>
      </c>
      <c r="V72" s="49">
        <v>76</v>
      </c>
      <c r="W72" s="49">
        <v>77</v>
      </c>
      <c r="X72" s="50">
        <f t="shared" si="28"/>
        <v>0.000949320472982042</v>
      </c>
      <c r="Y72" s="50">
        <f t="shared" si="29"/>
        <v>0.00459471108923308</v>
      </c>
      <c r="Z72" s="50">
        <f t="shared" si="30"/>
        <v>0.0151891275677127</v>
      </c>
      <c r="AA72" s="50">
        <f t="shared" si="22"/>
        <v>0</v>
      </c>
      <c r="AB72" s="50">
        <f t="shared" si="23"/>
        <v>0</v>
      </c>
      <c r="AC72" s="50">
        <f t="shared" si="24"/>
        <v>0</v>
      </c>
      <c r="AD72" s="50">
        <f t="shared" si="25"/>
        <v>0</v>
      </c>
      <c r="AE72" s="50">
        <f t="shared" si="26"/>
        <v>0</v>
      </c>
      <c r="AF72" s="50">
        <f t="shared" si="27"/>
        <v>0</v>
      </c>
    </row>
    <row r="73" spans="1:32">
      <c r="A73" s="49">
        <v>76</v>
      </c>
      <c r="B73" s="49">
        <v>78</v>
      </c>
      <c r="C73" s="49">
        <v>0.79241</v>
      </c>
      <c r="D73" s="49">
        <v>0.00263232514177694</v>
      </c>
      <c r="E73" s="49">
        <v>0</v>
      </c>
      <c r="F73" s="49">
        <v>0</v>
      </c>
      <c r="I73" s="49">
        <v>76</v>
      </c>
      <c r="J73" s="49">
        <v>78</v>
      </c>
      <c r="K73">
        <f t="shared" si="15"/>
        <v>1.57</v>
      </c>
      <c r="L73">
        <f t="shared" si="19"/>
        <v>3.454</v>
      </c>
      <c r="M73">
        <v>6.28</v>
      </c>
      <c r="N73">
        <f t="shared" si="20"/>
        <v>0</v>
      </c>
      <c r="O73">
        <f t="shared" si="21"/>
        <v>0</v>
      </c>
      <c r="P73">
        <v>0</v>
      </c>
      <c r="Q73">
        <f t="shared" si="17"/>
        <v>0</v>
      </c>
      <c r="R73">
        <f t="shared" si="18"/>
        <v>0</v>
      </c>
      <c r="S73">
        <v>0</v>
      </c>
      <c r="V73" s="49">
        <v>76</v>
      </c>
      <c r="W73" s="49">
        <v>78</v>
      </c>
      <c r="X73" s="50">
        <f t="shared" si="28"/>
        <v>0.00514148749911626</v>
      </c>
      <c r="Y73" s="50">
        <f t="shared" si="29"/>
        <v>0.0248847994957227</v>
      </c>
      <c r="Z73" s="50">
        <f t="shared" si="30"/>
        <v>0.0822637999858601</v>
      </c>
      <c r="AA73" s="50">
        <f t="shared" si="22"/>
        <v>0</v>
      </c>
      <c r="AB73" s="50">
        <f t="shared" si="23"/>
        <v>0</v>
      </c>
      <c r="AC73" s="50">
        <f t="shared" si="24"/>
        <v>0</v>
      </c>
      <c r="AD73" s="50">
        <f t="shared" si="25"/>
        <v>0</v>
      </c>
      <c r="AE73" s="50">
        <f t="shared" si="26"/>
        <v>0</v>
      </c>
      <c r="AF73" s="50">
        <f t="shared" si="27"/>
        <v>0</v>
      </c>
    </row>
    <row r="74" spans="1:32">
      <c r="A74" s="49">
        <v>78</v>
      </c>
      <c r="B74" s="49">
        <v>79</v>
      </c>
      <c r="C74" s="49">
        <v>1.1565</v>
      </c>
      <c r="D74" s="49">
        <v>0.00263232514177694</v>
      </c>
      <c r="E74" s="49">
        <v>0</v>
      </c>
      <c r="F74" s="49">
        <v>0</v>
      </c>
      <c r="I74" s="49">
        <v>78</v>
      </c>
      <c r="J74" s="49">
        <v>79</v>
      </c>
      <c r="K74">
        <f t="shared" si="15"/>
        <v>1.57</v>
      </c>
      <c r="L74">
        <f t="shared" si="19"/>
        <v>3.454</v>
      </c>
      <c r="M74">
        <v>6.28</v>
      </c>
      <c r="N74">
        <f t="shared" si="20"/>
        <v>0</v>
      </c>
      <c r="O74">
        <f t="shared" si="21"/>
        <v>0</v>
      </c>
      <c r="P74">
        <v>0</v>
      </c>
      <c r="Q74">
        <f t="shared" si="17"/>
        <v>0</v>
      </c>
      <c r="R74">
        <f t="shared" si="18"/>
        <v>0</v>
      </c>
      <c r="S74">
        <v>0</v>
      </c>
      <c r="V74" s="49">
        <v>78</v>
      </c>
      <c r="W74" s="49">
        <v>79</v>
      </c>
      <c r="X74" s="50">
        <f t="shared" si="28"/>
        <v>0.00750385569683365</v>
      </c>
      <c r="Y74" s="50">
        <f t="shared" si="29"/>
        <v>0.0363186615726749</v>
      </c>
      <c r="Z74" s="50">
        <f t="shared" si="30"/>
        <v>0.120061691149338</v>
      </c>
      <c r="AA74" s="50">
        <f t="shared" si="22"/>
        <v>0</v>
      </c>
      <c r="AB74" s="50">
        <f t="shared" si="23"/>
        <v>0</v>
      </c>
      <c r="AC74" s="50">
        <f t="shared" si="24"/>
        <v>0</v>
      </c>
      <c r="AD74" s="50">
        <f t="shared" si="25"/>
        <v>0</v>
      </c>
      <c r="AE74" s="50">
        <f t="shared" si="26"/>
        <v>0</v>
      </c>
      <c r="AF74" s="50">
        <f t="shared" si="27"/>
        <v>0</v>
      </c>
    </row>
    <row r="75" spans="1:32">
      <c r="A75" s="49">
        <v>78</v>
      </c>
      <c r="B75" s="49">
        <v>80</v>
      </c>
      <c r="C75" s="49">
        <v>0.16991</v>
      </c>
      <c r="D75" s="49">
        <v>0.00263232514177694</v>
      </c>
      <c r="E75" s="49">
        <v>0</v>
      </c>
      <c r="F75" s="49">
        <v>0</v>
      </c>
      <c r="I75" s="49">
        <v>78</v>
      </c>
      <c r="J75" s="49">
        <v>80</v>
      </c>
      <c r="K75">
        <f t="shared" si="15"/>
        <v>1.57</v>
      </c>
      <c r="L75">
        <f t="shared" si="19"/>
        <v>3.454</v>
      </c>
      <c r="M75">
        <v>6.28</v>
      </c>
      <c r="N75">
        <f t="shared" si="20"/>
        <v>0</v>
      </c>
      <c r="O75">
        <f t="shared" si="21"/>
        <v>0</v>
      </c>
      <c r="P75">
        <v>0</v>
      </c>
      <c r="Q75">
        <f t="shared" si="17"/>
        <v>0</v>
      </c>
      <c r="R75">
        <f t="shared" si="18"/>
        <v>0</v>
      </c>
      <c r="S75">
        <v>0</v>
      </c>
      <c r="V75" s="49">
        <v>78</v>
      </c>
      <c r="W75" s="49">
        <v>80</v>
      </c>
      <c r="X75" s="50">
        <f t="shared" si="28"/>
        <v>0.00110244714349244</v>
      </c>
      <c r="Y75" s="50">
        <f t="shared" si="29"/>
        <v>0.0053358441745034</v>
      </c>
      <c r="Z75" s="50">
        <f t="shared" si="30"/>
        <v>0.017639154295879</v>
      </c>
      <c r="AA75" s="50">
        <f t="shared" si="22"/>
        <v>0</v>
      </c>
      <c r="AB75" s="50">
        <f t="shared" si="23"/>
        <v>0</v>
      </c>
      <c r="AC75" s="50">
        <f t="shared" si="24"/>
        <v>0</v>
      </c>
      <c r="AD75" s="50">
        <f t="shared" si="25"/>
        <v>0</v>
      </c>
      <c r="AE75" s="50">
        <f t="shared" si="26"/>
        <v>0</v>
      </c>
      <c r="AF75" s="50">
        <f t="shared" si="27"/>
        <v>0</v>
      </c>
    </row>
    <row r="76" spans="1:32">
      <c r="A76" s="49">
        <v>80</v>
      </c>
      <c r="B76" s="49">
        <v>81</v>
      </c>
      <c r="C76" s="49">
        <v>1.3992</v>
      </c>
      <c r="D76" s="49">
        <v>0.00263232514177694</v>
      </c>
      <c r="E76" s="49">
        <v>0</v>
      </c>
      <c r="F76" s="49">
        <v>0</v>
      </c>
      <c r="I76" s="49">
        <v>80</v>
      </c>
      <c r="J76" s="49">
        <v>81</v>
      </c>
      <c r="K76">
        <f t="shared" ref="K76:K90" si="31">M76*0.25</f>
        <v>1.57</v>
      </c>
      <c r="L76">
        <f t="shared" si="19"/>
        <v>3.454</v>
      </c>
      <c r="M76">
        <v>6.28</v>
      </c>
      <c r="N76">
        <f t="shared" si="20"/>
        <v>0</v>
      </c>
      <c r="O76">
        <f t="shared" si="21"/>
        <v>0</v>
      </c>
      <c r="P76">
        <v>0</v>
      </c>
      <c r="Q76">
        <f t="shared" si="17"/>
        <v>0</v>
      </c>
      <c r="R76">
        <f t="shared" si="18"/>
        <v>0</v>
      </c>
      <c r="S76">
        <v>0</v>
      </c>
      <c r="V76" s="49">
        <v>80</v>
      </c>
      <c r="W76" s="49">
        <v>81</v>
      </c>
      <c r="X76" s="50">
        <f t="shared" si="28"/>
        <v>0.00907859480415879</v>
      </c>
      <c r="Y76" s="50">
        <f t="shared" si="29"/>
        <v>0.0439403988521286</v>
      </c>
      <c r="Z76" s="50">
        <f t="shared" si="30"/>
        <v>0.145257516866541</v>
      </c>
      <c r="AA76" s="50">
        <f t="shared" si="22"/>
        <v>0</v>
      </c>
      <c r="AB76" s="50">
        <f t="shared" si="23"/>
        <v>0</v>
      </c>
      <c r="AC76" s="50">
        <f t="shared" si="24"/>
        <v>0</v>
      </c>
      <c r="AD76" s="50">
        <f t="shared" si="25"/>
        <v>0</v>
      </c>
      <c r="AE76" s="50">
        <f t="shared" si="26"/>
        <v>0</v>
      </c>
      <c r="AF76" s="50">
        <f t="shared" si="27"/>
        <v>0</v>
      </c>
    </row>
    <row r="77" spans="1:32">
      <c r="A77" s="49">
        <v>80</v>
      </c>
      <c r="B77" s="49">
        <v>82</v>
      </c>
      <c r="C77" s="49">
        <v>0.02831</v>
      </c>
      <c r="D77" s="49">
        <v>0.00263232514177694</v>
      </c>
      <c r="E77" s="49">
        <v>0</v>
      </c>
      <c r="F77" s="49">
        <v>0</v>
      </c>
      <c r="I77" s="49">
        <v>80</v>
      </c>
      <c r="J77" s="49">
        <v>82</v>
      </c>
      <c r="K77">
        <f t="shared" si="31"/>
        <v>1.57</v>
      </c>
      <c r="L77">
        <f t="shared" si="19"/>
        <v>3.454</v>
      </c>
      <c r="M77">
        <v>6.28</v>
      </c>
      <c r="N77">
        <f t="shared" si="20"/>
        <v>0</v>
      </c>
      <c r="O77">
        <f t="shared" si="21"/>
        <v>0</v>
      </c>
      <c r="P77">
        <v>0</v>
      </c>
      <c r="Q77">
        <f t="shared" si="17"/>
        <v>0</v>
      </c>
      <c r="R77">
        <f t="shared" si="18"/>
        <v>0</v>
      </c>
      <c r="S77">
        <v>0</v>
      </c>
      <c r="V77" s="49">
        <v>80</v>
      </c>
      <c r="W77" s="49">
        <v>82</v>
      </c>
      <c r="X77" s="50">
        <f t="shared" si="28"/>
        <v>0.000183687120430057</v>
      </c>
      <c r="Y77" s="50">
        <f t="shared" si="29"/>
        <v>0.000889045662881475</v>
      </c>
      <c r="Z77" s="50">
        <f t="shared" si="30"/>
        <v>0.00293899392688091</v>
      </c>
      <c r="AA77" s="50">
        <f t="shared" si="22"/>
        <v>0</v>
      </c>
      <c r="AB77" s="50">
        <f t="shared" si="23"/>
        <v>0</v>
      </c>
      <c r="AC77" s="50">
        <f t="shared" si="24"/>
        <v>0</v>
      </c>
      <c r="AD77" s="50">
        <f t="shared" si="25"/>
        <v>0</v>
      </c>
      <c r="AE77" s="50">
        <f t="shared" si="26"/>
        <v>0</v>
      </c>
      <c r="AF77" s="50">
        <f t="shared" si="27"/>
        <v>0</v>
      </c>
    </row>
    <row r="78" spans="1:32">
      <c r="A78" s="49">
        <v>82</v>
      </c>
      <c r="B78" s="49">
        <v>83</v>
      </c>
      <c r="C78" s="49">
        <v>1.8359</v>
      </c>
      <c r="D78" s="49">
        <v>0.00263232514177694</v>
      </c>
      <c r="E78" s="49">
        <v>0</v>
      </c>
      <c r="F78" s="49">
        <v>0</v>
      </c>
      <c r="I78" s="49">
        <v>82</v>
      </c>
      <c r="J78" s="49">
        <v>83</v>
      </c>
      <c r="K78">
        <f t="shared" si="31"/>
        <v>1.57</v>
      </c>
      <c r="L78">
        <f t="shared" si="19"/>
        <v>3.454</v>
      </c>
      <c r="M78">
        <v>6.28</v>
      </c>
      <c r="N78">
        <f t="shared" si="20"/>
        <v>0</v>
      </c>
      <c r="O78">
        <f t="shared" si="21"/>
        <v>0</v>
      </c>
      <c r="P78">
        <v>0</v>
      </c>
      <c r="Q78">
        <f t="shared" si="17"/>
        <v>0</v>
      </c>
      <c r="R78">
        <f t="shared" si="18"/>
        <v>0</v>
      </c>
      <c r="S78">
        <v>0</v>
      </c>
      <c r="V78" s="49">
        <v>82</v>
      </c>
      <c r="W78" s="49">
        <v>83</v>
      </c>
      <c r="X78" s="50">
        <f t="shared" si="28"/>
        <v>0.0119120870504253</v>
      </c>
      <c r="Y78" s="50">
        <f t="shared" si="29"/>
        <v>0.0576545013240586</v>
      </c>
      <c r="Z78" s="50">
        <f t="shared" si="30"/>
        <v>0.190593392806805</v>
      </c>
      <c r="AA78" s="50">
        <f t="shared" si="22"/>
        <v>0</v>
      </c>
      <c r="AB78" s="50">
        <f t="shared" si="23"/>
        <v>0</v>
      </c>
      <c r="AC78" s="50">
        <f t="shared" si="24"/>
        <v>0</v>
      </c>
      <c r="AD78" s="50">
        <f t="shared" si="25"/>
        <v>0</v>
      </c>
      <c r="AE78" s="50">
        <f t="shared" si="26"/>
        <v>0</v>
      </c>
      <c r="AF78" s="50">
        <f t="shared" si="27"/>
        <v>0</v>
      </c>
    </row>
    <row r="79" spans="1:32">
      <c r="A79" s="49">
        <v>83</v>
      </c>
      <c r="B79" s="49">
        <v>84</v>
      </c>
      <c r="C79" s="49">
        <v>0.56634</v>
      </c>
      <c r="D79" s="49">
        <v>0.00263232514177694</v>
      </c>
      <c r="E79" s="49">
        <v>0</v>
      </c>
      <c r="F79" s="49">
        <v>0</v>
      </c>
      <c r="I79" s="49">
        <v>83</v>
      </c>
      <c r="J79" s="49">
        <v>84</v>
      </c>
      <c r="K79">
        <f t="shared" si="31"/>
        <v>1.57</v>
      </c>
      <c r="L79">
        <f t="shared" si="19"/>
        <v>3.454</v>
      </c>
      <c r="M79">
        <v>6.28</v>
      </c>
      <c r="N79">
        <f t="shared" si="20"/>
        <v>0</v>
      </c>
      <c r="O79">
        <f t="shared" si="21"/>
        <v>0</v>
      </c>
      <c r="P79">
        <v>0</v>
      </c>
      <c r="Q79">
        <f t="shared" si="17"/>
        <v>0</v>
      </c>
      <c r="R79">
        <f t="shared" si="18"/>
        <v>0</v>
      </c>
      <c r="S79">
        <v>0</v>
      </c>
      <c r="V79" s="49">
        <v>83</v>
      </c>
      <c r="W79" s="49">
        <v>84</v>
      </c>
      <c r="X79" s="50">
        <f t="shared" si="28"/>
        <v>0.00367465078715501</v>
      </c>
      <c r="Y79" s="50">
        <f t="shared" si="29"/>
        <v>0.0177853098098303</v>
      </c>
      <c r="Z79" s="50">
        <f t="shared" si="30"/>
        <v>0.0587944125944802</v>
      </c>
      <c r="AA79" s="50">
        <f t="shared" si="22"/>
        <v>0</v>
      </c>
      <c r="AB79" s="50">
        <f t="shared" si="23"/>
        <v>0</v>
      </c>
      <c r="AC79" s="50">
        <f t="shared" si="24"/>
        <v>0</v>
      </c>
      <c r="AD79" s="50">
        <f t="shared" si="25"/>
        <v>0</v>
      </c>
      <c r="AE79" s="50">
        <f t="shared" si="26"/>
        <v>0</v>
      </c>
      <c r="AF79" s="50">
        <f t="shared" si="27"/>
        <v>0</v>
      </c>
    </row>
    <row r="80" spans="1:32">
      <c r="A80" s="49">
        <v>84</v>
      </c>
      <c r="B80" s="49">
        <v>85</v>
      </c>
      <c r="C80" s="49">
        <v>0.52388</v>
      </c>
      <c r="D80" s="49">
        <v>0.00263232514177694</v>
      </c>
      <c r="E80" s="49">
        <v>0</v>
      </c>
      <c r="F80" s="49">
        <v>0</v>
      </c>
      <c r="I80" s="49">
        <v>84</v>
      </c>
      <c r="J80" s="49">
        <v>85</v>
      </c>
      <c r="K80">
        <f t="shared" si="31"/>
        <v>1.57</v>
      </c>
      <c r="L80">
        <f t="shared" si="19"/>
        <v>3.454</v>
      </c>
      <c r="M80">
        <v>6.28</v>
      </c>
      <c r="N80">
        <f t="shared" si="20"/>
        <v>0</v>
      </c>
      <c r="O80">
        <f t="shared" si="21"/>
        <v>0</v>
      </c>
      <c r="P80">
        <v>0</v>
      </c>
      <c r="Q80">
        <f t="shared" si="17"/>
        <v>0</v>
      </c>
      <c r="R80">
        <f t="shared" si="18"/>
        <v>0</v>
      </c>
      <c r="S80">
        <v>0</v>
      </c>
      <c r="V80" s="49">
        <v>84</v>
      </c>
      <c r="W80" s="49">
        <v>85</v>
      </c>
      <c r="X80" s="50">
        <f t="shared" si="28"/>
        <v>0.00339915254860113</v>
      </c>
      <c r="Y80" s="50">
        <f t="shared" si="29"/>
        <v>0.0164518983352295</v>
      </c>
      <c r="Z80" s="50">
        <f t="shared" si="30"/>
        <v>0.0543864407776182</v>
      </c>
      <c r="AA80" s="50">
        <f t="shared" si="22"/>
        <v>0</v>
      </c>
      <c r="AB80" s="50">
        <f t="shared" si="23"/>
        <v>0</v>
      </c>
      <c r="AC80" s="50">
        <f t="shared" si="24"/>
        <v>0</v>
      </c>
      <c r="AD80" s="50">
        <f t="shared" si="25"/>
        <v>0</v>
      </c>
      <c r="AE80" s="50">
        <f t="shared" si="26"/>
        <v>0</v>
      </c>
      <c r="AF80" s="50">
        <f t="shared" si="27"/>
        <v>0</v>
      </c>
    </row>
    <row r="81" spans="1:32">
      <c r="A81" s="49">
        <v>87</v>
      </c>
      <c r="B81" s="49">
        <v>88</v>
      </c>
      <c r="C81" s="49">
        <v>0.11799</v>
      </c>
      <c r="D81" s="49">
        <v>0.00263232514177694</v>
      </c>
      <c r="E81" s="49">
        <v>0</v>
      </c>
      <c r="F81" s="49">
        <v>0</v>
      </c>
      <c r="I81" s="49">
        <v>87</v>
      </c>
      <c r="J81" s="49">
        <v>88</v>
      </c>
      <c r="K81">
        <f t="shared" si="31"/>
        <v>1.57</v>
      </c>
      <c r="L81">
        <f t="shared" si="19"/>
        <v>3.454</v>
      </c>
      <c r="M81">
        <v>6.28</v>
      </c>
      <c r="N81">
        <f t="shared" si="20"/>
        <v>0</v>
      </c>
      <c r="O81">
        <f t="shared" si="21"/>
        <v>0</v>
      </c>
      <c r="P81">
        <v>0</v>
      </c>
      <c r="Q81">
        <f t="shared" si="17"/>
        <v>0</v>
      </c>
      <c r="R81">
        <f t="shared" si="18"/>
        <v>0</v>
      </c>
      <c r="S81">
        <v>0</v>
      </c>
      <c r="V81" s="49">
        <v>87</v>
      </c>
      <c r="W81" s="49">
        <v>88</v>
      </c>
      <c r="X81" s="50">
        <f t="shared" si="28"/>
        <v>0.000765568468369565</v>
      </c>
      <c r="Y81" s="50">
        <f t="shared" si="29"/>
        <v>0.0037053513869087</v>
      </c>
      <c r="Z81" s="50">
        <f t="shared" si="30"/>
        <v>0.012249095493913</v>
      </c>
      <c r="AA81" s="50">
        <f t="shared" si="22"/>
        <v>0</v>
      </c>
      <c r="AB81" s="50">
        <f t="shared" si="23"/>
        <v>0</v>
      </c>
      <c r="AC81" s="50">
        <f t="shared" si="24"/>
        <v>0</v>
      </c>
      <c r="AD81" s="50">
        <f t="shared" si="25"/>
        <v>0</v>
      </c>
      <c r="AE81" s="50">
        <f t="shared" si="26"/>
        <v>0</v>
      </c>
      <c r="AF81" s="50">
        <f t="shared" si="27"/>
        <v>0</v>
      </c>
    </row>
    <row r="82" spans="1:32">
      <c r="A82" s="49">
        <v>90</v>
      </c>
      <c r="B82" s="49">
        <v>91</v>
      </c>
      <c r="C82" s="49">
        <v>0.87545</v>
      </c>
      <c r="D82" s="49">
        <v>0.00263232514177694</v>
      </c>
      <c r="E82" s="49">
        <v>0</v>
      </c>
      <c r="F82" s="49">
        <v>0</v>
      </c>
      <c r="I82" s="49">
        <v>90</v>
      </c>
      <c r="J82" s="49">
        <v>91</v>
      </c>
      <c r="K82">
        <f t="shared" si="31"/>
        <v>1.57</v>
      </c>
      <c r="L82">
        <f t="shared" si="19"/>
        <v>3.454</v>
      </c>
      <c r="M82">
        <v>6.28</v>
      </c>
      <c r="N82">
        <f t="shared" si="20"/>
        <v>0</v>
      </c>
      <c r="O82">
        <f t="shared" si="21"/>
        <v>0</v>
      </c>
      <c r="P82">
        <v>0</v>
      </c>
      <c r="Q82">
        <f t="shared" si="17"/>
        <v>0</v>
      </c>
      <c r="R82">
        <f t="shared" si="18"/>
        <v>0</v>
      </c>
      <c r="S82">
        <v>0</v>
      </c>
      <c r="V82" s="49">
        <v>90</v>
      </c>
      <c r="W82" s="49">
        <v>91</v>
      </c>
      <c r="X82" s="50">
        <f t="shared" si="28"/>
        <v>0.00568028574992911</v>
      </c>
      <c r="Y82" s="50">
        <f t="shared" si="29"/>
        <v>0.0274925830296569</v>
      </c>
      <c r="Z82" s="50">
        <f t="shared" si="30"/>
        <v>0.0908845719988658</v>
      </c>
      <c r="AA82" s="50">
        <f t="shared" si="22"/>
        <v>0</v>
      </c>
      <c r="AB82" s="50">
        <f t="shared" si="23"/>
        <v>0</v>
      </c>
      <c r="AC82" s="50">
        <f t="shared" si="24"/>
        <v>0</v>
      </c>
      <c r="AD82" s="50">
        <f t="shared" si="25"/>
        <v>0</v>
      </c>
      <c r="AE82" s="50">
        <f t="shared" si="26"/>
        <v>0</v>
      </c>
      <c r="AF82" s="50">
        <f t="shared" si="27"/>
        <v>0</v>
      </c>
    </row>
    <row r="83" spans="1:32">
      <c r="A83" s="49">
        <v>91</v>
      </c>
      <c r="B83" s="49">
        <v>92</v>
      </c>
      <c r="C83" s="49">
        <v>0.48117</v>
      </c>
      <c r="D83" s="49">
        <v>0.00263232514177694</v>
      </c>
      <c r="E83" s="49">
        <v>0</v>
      </c>
      <c r="F83" s="49">
        <v>0</v>
      </c>
      <c r="I83" s="49">
        <v>91</v>
      </c>
      <c r="J83" s="49">
        <v>92</v>
      </c>
      <c r="K83">
        <f t="shared" si="31"/>
        <v>1.57</v>
      </c>
      <c r="L83">
        <f t="shared" si="19"/>
        <v>3.454</v>
      </c>
      <c r="M83">
        <v>6.28</v>
      </c>
      <c r="N83">
        <f t="shared" si="20"/>
        <v>0</v>
      </c>
      <c r="O83">
        <f t="shared" si="21"/>
        <v>0</v>
      </c>
      <c r="P83">
        <v>0</v>
      </c>
      <c r="Q83">
        <f t="shared" si="17"/>
        <v>0</v>
      </c>
      <c r="R83">
        <f t="shared" si="18"/>
        <v>0</v>
      </c>
      <c r="S83">
        <v>0</v>
      </c>
      <c r="V83" s="49">
        <v>91</v>
      </c>
      <c r="W83" s="49">
        <v>92</v>
      </c>
      <c r="X83" s="50">
        <f t="shared" si="28"/>
        <v>0.00312203220548677</v>
      </c>
      <c r="Y83" s="50">
        <f t="shared" si="29"/>
        <v>0.015110635874556</v>
      </c>
      <c r="Z83" s="50">
        <f t="shared" si="30"/>
        <v>0.0499525152877883</v>
      </c>
      <c r="AA83" s="50">
        <f t="shared" si="22"/>
        <v>0</v>
      </c>
      <c r="AB83" s="50">
        <f t="shared" si="23"/>
        <v>0</v>
      </c>
      <c r="AC83" s="50">
        <f t="shared" si="24"/>
        <v>0</v>
      </c>
      <c r="AD83" s="50">
        <f t="shared" si="25"/>
        <v>0</v>
      </c>
      <c r="AE83" s="50">
        <f t="shared" si="26"/>
        <v>0</v>
      </c>
      <c r="AF83" s="50">
        <f t="shared" si="27"/>
        <v>0</v>
      </c>
    </row>
    <row r="84" spans="1:32">
      <c r="A84" s="49">
        <v>92</v>
      </c>
      <c r="B84" s="49">
        <v>93</v>
      </c>
      <c r="C84" s="49">
        <v>0.64249</v>
      </c>
      <c r="D84" s="49">
        <v>0.00263232514177694</v>
      </c>
      <c r="E84" s="49">
        <v>0</v>
      </c>
      <c r="F84" s="49">
        <v>0</v>
      </c>
      <c r="I84" s="49">
        <v>92</v>
      </c>
      <c r="J84" s="49">
        <v>93</v>
      </c>
      <c r="K84">
        <f t="shared" si="31"/>
        <v>1.57</v>
      </c>
      <c r="L84">
        <f t="shared" si="19"/>
        <v>3.454</v>
      </c>
      <c r="M84">
        <v>6.28</v>
      </c>
      <c r="N84">
        <f t="shared" si="20"/>
        <v>0</v>
      </c>
      <c r="O84">
        <f t="shared" si="21"/>
        <v>0</v>
      </c>
      <c r="P84">
        <v>0</v>
      </c>
      <c r="Q84">
        <f t="shared" si="17"/>
        <v>0</v>
      </c>
      <c r="R84">
        <f t="shared" si="18"/>
        <v>0</v>
      </c>
      <c r="S84">
        <v>0</v>
      </c>
      <c r="V84" s="49">
        <v>92</v>
      </c>
      <c r="W84" s="49">
        <v>93</v>
      </c>
      <c r="X84" s="50">
        <f t="shared" si="28"/>
        <v>0.00416874383628072</v>
      </c>
      <c r="Y84" s="50">
        <f t="shared" si="29"/>
        <v>0.0201767201675987</v>
      </c>
      <c r="Z84" s="50">
        <f t="shared" si="30"/>
        <v>0.0666999013804915</v>
      </c>
      <c r="AA84" s="50">
        <f t="shared" si="22"/>
        <v>0</v>
      </c>
      <c r="AB84" s="50">
        <f t="shared" si="23"/>
        <v>0</v>
      </c>
      <c r="AC84" s="50">
        <f t="shared" si="24"/>
        <v>0</v>
      </c>
      <c r="AD84" s="50">
        <f t="shared" si="25"/>
        <v>0</v>
      </c>
      <c r="AE84" s="50">
        <f t="shared" si="26"/>
        <v>0</v>
      </c>
      <c r="AF84" s="50">
        <f t="shared" si="27"/>
        <v>0</v>
      </c>
    </row>
    <row r="85" spans="1:32">
      <c r="A85" s="49">
        <v>93</v>
      </c>
      <c r="B85" s="49">
        <v>94</v>
      </c>
      <c r="C85" s="49">
        <v>0.1537</v>
      </c>
      <c r="D85" s="49">
        <v>0.00263232514177694</v>
      </c>
      <c r="E85" s="49">
        <v>0</v>
      </c>
      <c r="F85" s="49">
        <v>0</v>
      </c>
      <c r="I85" s="49">
        <v>93</v>
      </c>
      <c r="J85" s="49">
        <v>94</v>
      </c>
      <c r="K85">
        <f t="shared" si="31"/>
        <v>1.57</v>
      </c>
      <c r="L85">
        <f t="shared" si="19"/>
        <v>3.454</v>
      </c>
      <c r="M85">
        <v>6.28</v>
      </c>
      <c r="N85">
        <f t="shared" si="20"/>
        <v>0</v>
      </c>
      <c r="O85">
        <f t="shared" si="21"/>
        <v>0</v>
      </c>
      <c r="P85">
        <v>0</v>
      </c>
      <c r="Q85">
        <f t="shared" si="17"/>
        <v>0</v>
      </c>
      <c r="R85">
        <f t="shared" si="18"/>
        <v>0</v>
      </c>
      <c r="S85">
        <v>0</v>
      </c>
      <c r="V85" s="49">
        <v>93</v>
      </c>
      <c r="W85" s="49">
        <v>94</v>
      </c>
      <c r="X85" s="50">
        <f t="shared" si="28"/>
        <v>0.00099726988379017</v>
      </c>
      <c r="Y85" s="50">
        <f t="shared" si="29"/>
        <v>0.00482678623754443</v>
      </c>
      <c r="Z85" s="50">
        <f t="shared" si="30"/>
        <v>0.0159563181406427</v>
      </c>
      <c r="AA85" s="50">
        <f t="shared" si="22"/>
        <v>0</v>
      </c>
      <c r="AB85" s="50">
        <f t="shared" si="23"/>
        <v>0</v>
      </c>
      <c r="AC85" s="50">
        <f t="shared" si="24"/>
        <v>0</v>
      </c>
      <c r="AD85" s="50">
        <f t="shared" si="25"/>
        <v>0</v>
      </c>
      <c r="AE85" s="50">
        <f t="shared" si="26"/>
        <v>0</v>
      </c>
      <c r="AF85" s="50">
        <f t="shared" si="27"/>
        <v>0</v>
      </c>
    </row>
    <row r="86" spans="1:32">
      <c r="A86" s="49">
        <v>95</v>
      </c>
      <c r="B86" s="49">
        <v>96</v>
      </c>
      <c r="C86" s="49">
        <v>0.64249</v>
      </c>
      <c r="D86" s="49">
        <v>0.00263232514177694</v>
      </c>
      <c r="E86" s="49">
        <v>0</v>
      </c>
      <c r="F86" s="49">
        <v>0</v>
      </c>
      <c r="I86" s="49">
        <v>95</v>
      </c>
      <c r="J86" s="49">
        <v>96</v>
      </c>
      <c r="K86">
        <f t="shared" si="31"/>
        <v>1.57</v>
      </c>
      <c r="L86">
        <f t="shared" si="19"/>
        <v>3.454</v>
      </c>
      <c r="M86">
        <v>6.28</v>
      </c>
      <c r="N86">
        <f t="shared" si="20"/>
        <v>0</v>
      </c>
      <c r="O86">
        <f t="shared" si="21"/>
        <v>0</v>
      </c>
      <c r="P86">
        <v>0</v>
      </c>
      <c r="Q86">
        <f t="shared" si="17"/>
        <v>0</v>
      </c>
      <c r="R86">
        <f t="shared" si="18"/>
        <v>0</v>
      </c>
      <c r="S86">
        <v>0</v>
      </c>
      <c r="V86" s="49">
        <v>95</v>
      </c>
      <c r="W86" s="49">
        <v>96</v>
      </c>
      <c r="X86" s="50">
        <f t="shared" si="28"/>
        <v>0.00416874383628072</v>
      </c>
      <c r="Y86" s="50">
        <f t="shared" si="29"/>
        <v>0.0201767201675987</v>
      </c>
      <c r="Z86" s="50">
        <f t="shared" si="30"/>
        <v>0.0666999013804915</v>
      </c>
      <c r="AA86" s="50">
        <f t="shared" si="22"/>
        <v>0</v>
      </c>
      <c r="AB86" s="50">
        <f t="shared" si="23"/>
        <v>0</v>
      </c>
      <c r="AC86" s="50">
        <f t="shared" si="24"/>
        <v>0</v>
      </c>
      <c r="AD86" s="50">
        <f t="shared" si="25"/>
        <v>0</v>
      </c>
      <c r="AE86" s="50">
        <f t="shared" si="26"/>
        <v>0</v>
      </c>
      <c r="AF86" s="50">
        <f t="shared" si="27"/>
        <v>0</v>
      </c>
    </row>
    <row r="87" spans="1:32">
      <c r="A87" s="49">
        <v>96</v>
      </c>
      <c r="B87" s="49">
        <v>97</v>
      </c>
      <c r="C87" s="49">
        <v>0.02831</v>
      </c>
      <c r="D87" s="49">
        <v>0.00263232514177694</v>
      </c>
      <c r="E87" s="49">
        <v>0</v>
      </c>
      <c r="F87" s="49">
        <v>0</v>
      </c>
      <c r="I87" s="49">
        <v>96</v>
      </c>
      <c r="J87" s="49">
        <v>97</v>
      </c>
      <c r="K87">
        <f t="shared" si="31"/>
        <v>1.57</v>
      </c>
      <c r="L87">
        <f t="shared" si="19"/>
        <v>3.454</v>
      </c>
      <c r="M87">
        <v>6.28</v>
      </c>
      <c r="N87">
        <f t="shared" si="20"/>
        <v>0</v>
      </c>
      <c r="O87">
        <f t="shared" si="21"/>
        <v>0</v>
      </c>
      <c r="P87">
        <v>0</v>
      </c>
      <c r="Q87">
        <f t="shared" si="17"/>
        <v>0</v>
      </c>
      <c r="R87">
        <f t="shared" si="18"/>
        <v>0</v>
      </c>
      <c r="S87">
        <v>0</v>
      </c>
      <c r="V87" s="49">
        <v>96</v>
      </c>
      <c r="W87" s="49">
        <v>97</v>
      </c>
      <c r="X87" s="50">
        <f t="shared" si="28"/>
        <v>0.000183687120430057</v>
      </c>
      <c r="Y87" s="50">
        <f t="shared" si="29"/>
        <v>0.000889045662881475</v>
      </c>
      <c r="Z87" s="50">
        <f t="shared" si="30"/>
        <v>0.00293899392688091</v>
      </c>
      <c r="AA87" s="50">
        <f t="shared" si="22"/>
        <v>0</v>
      </c>
      <c r="AB87" s="50">
        <f t="shared" si="23"/>
        <v>0</v>
      </c>
      <c r="AC87" s="50">
        <f t="shared" si="24"/>
        <v>0</v>
      </c>
      <c r="AD87" s="50">
        <f t="shared" si="25"/>
        <v>0</v>
      </c>
      <c r="AE87" s="50">
        <f t="shared" si="26"/>
        <v>0</v>
      </c>
      <c r="AF87" s="50">
        <f t="shared" si="27"/>
        <v>0</v>
      </c>
    </row>
    <row r="88" spans="1:32">
      <c r="A88" s="49">
        <v>97</v>
      </c>
      <c r="B88" s="49">
        <v>98</v>
      </c>
      <c r="C88" s="49">
        <v>1.0525</v>
      </c>
      <c r="D88" s="49">
        <v>0.00263232514177694</v>
      </c>
      <c r="E88" s="49">
        <v>0</v>
      </c>
      <c r="F88" s="49">
        <v>0</v>
      </c>
      <c r="I88" s="49">
        <v>97</v>
      </c>
      <c r="J88" s="49">
        <v>98</v>
      </c>
      <c r="K88">
        <f t="shared" si="31"/>
        <v>1.57</v>
      </c>
      <c r="L88">
        <f t="shared" si="19"/>
        <v>3.454</v>
      </c>
      <c r="M88">
        <v>6.28</v>
      </c>
      <c r="N88">
        <f t="shared" si="20"/>
        <v>0</v>
      </c>
      <c r="O88">
        <f t="shared" si="21"/>
        <v>0</v>
      </c>
      <c r="P88">
        <v>0</v>
      </c>
      <c r="Q88">
        <f t="shared" si="17"/>
        <v>0</v>
      </c>
      <c r="R88">
        <f t="shared" si="18"/>
        <v>0</v>
      </c>
      <c r="S88">
        <v>0</v>
      </c>
      <c r="V88" s="49">
        <v>97</v>
      </c>
      <c r="W88" s="49">
        <v>98</v>
      </c>
      <c r="X88" s="50">
        <f t="shared" si="28"/>
        <v>0.00682906019966919</v>
      </c>
      <c r="Y88" s="50">
        <f t="shared" si="29"/>
        <v>0.0330526513663989</v>
      </c>
      <c r="Z88" s="50">
        <f t="shared" si="30"/>
        <v>0.109264963194707</v>
      </c>
      <c r="AA88" s="50">
        <f t="shared" si="22"/>
        <v>0</v>
      </c>
      <c r="AB88" s="50">
        <f t="shared" si="23"/>
        <v>0</v>
      </c>
      <c r="AC88" s="50">
        <f t="shared" si="24"/>
        <v>0</v>
      </c>
      <c r="AD88" s="50">
        <f t="shared" si="25"/>
        <v>0</v>
      </c>
      <c r="AE88" s="50">
        <f t="shared" si="26"/>
        <v>0</v>
      </c>
      <c r="AF88" s="50">
        <f t="shared" si="27"/>
        <v>0</v>
      </c>
    </row>
    <row r="89" spans="1:32">
      <c r="A89" s="49">
        <v>97</v>
      </c>
      <c r="B89" s="49">
        <v>99</v>
      </c>
      <c r="C89" s="49">
        <v>0.17214</v>
      </c>
      <c r="D89" s="49">
        <v>0.00263232514177694</v>
      </c>
      <c r="E89" s="49">
        <v>0</v>
      </c>
      <c r="F89" s="49">
        <v>0</v>
      </c>
      <c r="I89" s="49">
        <v>97</v>
      </c>
      <c r="J89" s="49">
        <v>99</v>
      </c>
      <c r="K89">
        <f t="shared" si="31"/>
        <v>1.57</v>
      </c>
      <c r="L89">
        <f t="shared" si="19"/>
        <v>3.454</v>
      </c>
      <c r="M89">
        <v>6.28</v>
      </c>
      <c r="N89">
        <f t="shared" si="20"/>
        <v>0</v>
      </c>
      <c r="O89">
        <f t="shared" si="21"/>
        <v>0</v>
      </c>
      <c r="P89">
        <v>0</v>
      </c>
      <c r="Q89">
        <f t="shared" si="17"/>
        <v>0</v>
      </c>
      <c r="R89">
        <f t="shared" si="18"/>
        <v>0</v>
      </c>
      <c r="S89">
        <v>0</v>
      </c>
      <c r="V89" s="49">
        <v>97</v>
      </c>
      <c r="W89" s="49">
        <v>99</v>
      </c>
      <c r="X89" s="50">
        <f t="shared" si="28"/>
        <v>0.00111691631617202</v>
      </c>
      <c r="Y89" s="50">
        <f t="shared" si="29"/>
        <v>0.00540587497027259</v>
      </c>
      <c r="Z89" s="50">
        <f t="shared" si="30"/>
        <v>0.0178706610587524</v>
      </c>
      <c r="AA89" s="50">
        <f t="shared" si="22"/>
        <v>0</v>
      </c>
      <c r="AB89" s="50">
        <f t="shared" si="23"/>
        <v>0</v>
      </c>
      <c r="AC89" s="50">
        <f t="shared" si="24"/>
        <v>0</v>
      </c>
      <c r="AD89" s="50">
        <f t="shared" si="25"/>
        <v>0</v>
      </c>
      <c r="AE89" s="50">
        <f t="shared" si="26"/>
        <v>0</v>
      </c>
      <c r="AF89" s="50">
        <f t="shared" si="27"/>
        <v>0</v>
      </c>
    </row>
    <row r="90" spans="1:32">
      <c r="A90" s="49">
        <v>99</v>
      </c>
      <c r="B90" s="49">
        <v>100</v>
      </c>
      <c r="C90" s="49">
        <v>1.1044</v>
      </c>
      <c r="D90" s="49">
        <v>0.00263232514177694</v>
      </c>
      <c r="E90" s="49">
        <v>0</v>
      </c>
      <c r="F90" s="49">
        <v>0</v>
      </c>
      <c r="I90" s="49">
        <v>99</v>
      </c>
      <c r="J90" s="49">
        <v>100</v>
      </c>
      <c r="K90">
        <f t="shared" si="31"/>
        <v>1.57</v>
      </c>
      <c r="L90">
        <f t="shared" si="19"/>
        <v>3.454</v>
      </c>
      <c r="M90">
        <v>6.28</v>
      </c>
      <c r="N90">
        <f t="shared" si="20"/>
        <v>0</v>
      </c>
      <c r="O90">
        <f t="shared" si="21"/>
        <v>0</v>
      </c>
      <c r="P90">
        <v>0</v>
      </c>
      <c r="Q90">
        <f t="shared" si="17"/>
        <v>0</v>
      </c>
      <c r="R90">
        <f t="shared" si="18"/>
        <v>0</v>
      </c>
      <c r="S90">
        <v>0</v>
      </c>
      <c r="V90" s="49">
        <v>99</v>
      </c>
      <c r="W90" s="49">
        <v>100</v>
      </c>
      <c r="X90" s="50">
        <f t="shared" si="28"/>
        <v>0.00716580910642722</v>
      </c>
      <c r="Y90" s="50">
        <f t="shared" si="29"/>
        <v>0.0346825160751078</v>
      </c>
      <c r="Z90" s="50">
        <f t="shared" si="30"/>
        <v>0.114652945702836</v>
      </c>
      <c r="AA90" s="50">
        <f t="shared" si="22"/>
        <v>0</v>
      </c>
      <c r="AB90" s="50">
        <f t="shared" si="23"/>
        <v>0</v>
      </c>
      <c r="AC90" s="50">
        <f t="shared" si="24"/>
        <v>0</v>
      </c>
      <c r="AD90" s="50">
        <f t="shared" si="25"/>
        <v>0</v>
      </c>
      <c r="AE90" s="50">
        <f t="shared" si="26"/>
        <v>0</v>
      </c>
      <c r="AF90" s="50">
        <f t="shared" si="27"/>
        <v>0</v>
      </c>
    </row>
    <row r="91" spans="1:32">
      <c r="A91" s="51">
        <v>201</v>
      </c>
      <c r="B91" s="51">
        <v>17</v>
      </c>
      <c r="C91" s="51">
        <v>0.07949</v>
      </c>
      <c r="D91" s="51">
        <v>0.00263232514177694</v>
      </c>
      <c r="E91" s="51">
        <v>0.00225897920604915</v>
      </c>
      <c r="F91" s="51">
        <v>0.00199905482041588</v>
      </c>
      <c r="I91" s="51">
        <v>201</v>
      </c>
      <c r="J91" s="51">
        <v>17</v>
      </c>
      <c r="K91">
        <f t="shared" ref="K91:K94" si="32">M91*0.25</f>
        <v>1.57</v>
      </c>
      <c r="L91">
        <f t="shared" si="19"/>
        <v>3.454</v>
      </c>
      <c r="M91">
        <v>6.28</v>
      </c>
      <c r="N91">
        <f t="shared" si="20"/>
        <v>2.25</v>
      </c>
      <c r="O91">
        <f t="shared" si="21"/>
        <v>4.95</v>
      </c>
      <c r="P91">
        <v>9</v>
      </c>
      <c r="Q91">
        <f t="shared" si="17"/>
        <v>3</v>
      </c>
      <c r="R91">
        <f t="shared" si="18"/>
        <v>6.6</v>
      </c>
      <c r="S91">
        <v>12</v>
      </c>
      <c r="V91" s="51">
        <v>201</v>
      </c>
      <c r="W91" s="51">
        <v>17</v>
      </c>
      <c r="X91" s="50">
        <f t="shared" si="28"/>
        <v>0.000515764366053875</v>
      </c>
      <c r="Y91" s="50">
        <f t="shared" si="29"/>
        <v>0.00249629953170076</v>
      </c>
      <c r="Z91" s="50">
        <f t="shared" si="30"/>
        <v>0.008252229856862</v>
      </c>
      <c r="AA91" s="50">
        <f t="shared" si="22"/>
        <v>0.000909054176512287</v>
      </c>
      <c r="AB91" s="50">
        <f t="shared" si="23"/>
        <v>0.00439982221431947</v>
      </c>
      <c r="AC91" s="50">
        <f t="shared" si="24"/>
        <v>0.0145448668241966</v>
      </c>
      <c r="AD91" s="50">
        <f t="shared" si="25"/>
        <v>0.00143014380907372</v>
      </c>
      <c r="AE91" s="50">
        <f t="shared" si="26"/>
        <v>0.00692189603591683</v>
      </c>
      <c r="AF91" s="50">
        <f t="shared" si="27"/>
        <v>0.0228823009451796</v>
      </c>
    </row>
    <row r="92" spans="1:32">
      <c r="A92" s="51">
        <v>201</v>
      </c>
      <c r="B92" s="51">
        <v>35</v>
      </c>
      <c r="C92" s="51">
        <v>0.19351</v>
      </c>
      <c r="D92" s="51">
        <v>0.00263232514177694</v>
      </c>
      <c r="E92" s="51">
        <v>0.00225897920604915</v>
      </c>
      <c r="F92" s="51">
        <v>0.00199905482041588</v>
      </c>
      <c r="I92" s="51">
        <v>201</v>
      </c>
      <c r="J92" s="51">
        <v>35</v>
      </c>
      <c r="K92">
        <f t="shared" si="32"/>
        <v>1.57</v>
      </c>
      <c r="L92">
        <f t="shared" si="19"/>
        <v>3.454</v>
      </c>
      <c r="M92">
        <v>6.28</v>
      </c>
      <c r="N92">
        <f t="shared" si="20"/>
        <v>2.25</v>
      </c>
      <c r="O92">
        <f t="shared" si="21"/>
        <v>4.95</v>
      </c>
      <c r="P92">
        <v>9</v>
      </c>
      <c r="Q92">
        <f t="shared" ref="Q92:Q153" si="33">S92*0.25</f>
        <v>3</v>
      </c>
      <c r="R92">
        <f t="shared" ref="R92:R153" si="34">S92*0.55</f>
        <v>6.6</v>
      </c>
      <c r="S92">
        <v>12</v>
      </c>
      <c r="V92" s="51">
        <v>201</v>
      </c>
      <c r="W92" s="51">
        <v>35</v>
      </c>
      <c r="X92" s="50">
        <f t="shared" si="28"/>
        <v>0.00125557381400284</v>
      </c>
      <c r="Y92" s="50">
        <f t="shared" si="29"/>
        <v>0.00607697725977373</v>
      </c>
      <c r="Z92" s="50">
        <f t="shared" si="30"/>
        <v>0.0200891810240454</v>
      </c>
      <c r="AA92" s="50">
        <f t="shared" si="22"/>
        <v>0.00221299627244802</v>
      </c>
      <c r="AB92" s="50">
        <f t="shared" si="23"/>
        <v>0.0107109019586484</v>
      </c>
      <c r="AC92" s="50">
        <f t="shared" si="24"/>
        <v>0.0354079403591682</v>
      </c>
      <c r="AD92" s="50">
        <f t="shared" si="25"/>
        <v>0.00348153388468809</v>
      </c>
      <c r="AE92" s="50">
        <f t="shared" si="26"/>
        <v>0.0168506240018904</v>
      </c>
      <c r="AF92" s="50">
        <f t="shared" si="27"/>
        <v>0.0557045421550094</v>
      </c>
    </row>
    <row r="93" spans="1:32">
      <c r="A93" s="51">
        <v>202</v>
      </c>
      <c r="B93" s="51">
        <v>86</v>
      </c>
      <c r="C93" s="51">
        <v>0.83536</v>
      </c>
      <c r="D93" s="51">
        <v>0.00263232514177694</v>
      </c>
      <c r="E93" s="51">
        <v>0.00225897920604915</v>
      </c>
      <c r="F93" s="51">
        <v>0.00199905482041588</v>
      </c>
      <c r="I93" s="51">
        <v>202</v>
      </c>
      <c r="J93" s="51">
        <v>86</v>
      </c>
      <c r="K93">
        <f t="shared" si="32"/>
        <v>1.57</v>
      </c>
      <c r="L93">
        <f t="shared" si="19"/>
        <v>3.454</v>
      </c>
      <c r="M93">
        <v>6.28</v>
      </c>
      <c r="N93">
        <f t="shared" si="20"/>
        <v>2.25</v>
      </c>
      <c r="O93">
        <f t="shared" si="21"/>
        <v>4.95</v>
      </c>
      <c r="P93">
        <v>9</v>
      </c>
      <c r="Q93">
        <f t="shared" si="33"/>
        <v>3</v>
      </c>
      <c r="R93">
        <f t="shared" si="34"/>
        <v>6.6</v>
      </c>
      <c r="S93">
        <v>12</v>
      </c>
      <c r="V93" s="51">
        <v>202</v>
      </c>
      <c r="W93" s="51">
        <v>86</v>
      </c>
      <c r="X93" s="50">
        <f t="shared" si="28"/>
        <v>0.0054201650626087</v>
      </c>
      <c r="Y93" s="50">
        <f t="shared" si="29"/>
        <v>0.0262335989030261</v>
      </c>
      <c r="Z93" s="50">
        <f t="shared" si="30"/>
        <v>0.0867226410017391</v>
      </c>
      <c r="AA93" s="50">
        <f t="shared" si="22"/>
        <v>0.00955324565217391</v>
      </c>
      <c r="AB93" s="50">
        <f t="shared" si="23"/>
        <v>0.0462377089565217</v>
      </c>
      <c r="AC93" s="50">
        <f t="shared" si="24"/>
        <v>0.152851930434783</v>
      </c>
      <c r="AD93" s="50">
        <f t="shared" si="25"/>
        <v>0.0150293739130435</v>
      </c>
      <c r="AE93" s="50">
        <f t="shared" si="26"/>
        <v>0.0727421697391304</v>
      </c>
      <c r="AF93" s="50">
        <f t="shared" si="27"/>
        <v>0.240469982608696</v>
      </c>
    </row>
    <row r="94" spans="1:32">
      <c r="A94" s="51">
        <v>17</v>
      </c>
      <c r="B94" s="51">
        <v>18</v>
      </c>
      <c r="C94" s="51">
        <v>0.21238</v>
      </c>
      <c r="D94" s="51">
        <v>0.00263232514177694</v>
      </c>
      <c r="E94" s="51">
        <v>0.00225897920604915</v>
      </c>
      <c r="F94" s="51">
        <v>0.00199905482041588</v>
      </c>
      <c r="I94" s="51">
        <v>17</v>
      </c>
      <c r="J94" s="51">
        <v>18</v>
      </c>
      <c r="K94">
        <f t="shared" si="32"/>
        <v>1.57</v>
      </c>
      <c r="L94">
        <f t="shared" si="19"/>
        <v>3.454</v>
      </c>
      <c r="M94">
        <v>6.28</v>
      </c>
      <c r="N94">
        <f t="shared" si="20"/>
        <v>2.25</v>
      </c>
      <c r="O94">
        <f t="shared" si="21"/>
        <v>4.95</v>
      </c>
      <c r="P94">
        <v>9</v>
      </c>
      <c r="Q94">
        <f t="shared" si="33"/>
        <v>3</v>
      </c>
      <c r="R94">
        <f t="shared" si="34"/>
        <v>6.6</v>
      </c>
      <c r="S94">
        <v>12</v>
      </c>
      <c r="V94" s="51">
        <v>17</v>
      </c>
      <c r="W94" s="51">
        <v>18</v>
      </c>
      <c r="X94" s="50">
        <f t="shared" si="28"/>
        <v>0.00137801026622873</v>
      </c>
      <c r="Y94" s="50">
        <f t="shared" si="29"/>
        <v>0.00666956968854707</v>
      </c>
      <c r="Z94" s="50">
        <f t="shared" si="30"/>
        <v>0.0220481642596597</v>
      </c>
      <c r="AA94" s="50">
        <f t="shared" si="22"/>
        <v>0.00242879514413989</v>
      </c>
      <c r="AB94" s="50">
        <f t="shared" si="23"/>
        <v>0.0117553684976371</v>
      </c>
      <c r="AC94" s="50">
        <f t="shared" si="24"/>
        <v>0.0388607223062382</v>
      </c>
      <c r="AD94" s="50">
        <f t="shared" si="25"/>
        <v>0.00382103336483932</v>
      </c>
      <c r="AE94" s="50">
        <f t="shared" si="26"/>
        <v>0.0184938014858223</v>
      </c>
      <c r="AF94" s="50">
        <f t="shared" si="27"/>
        <v>0.0611365338374291</v>
      </c>
    </row>
    <row r="95" spans="1:32">
      <c r="A95" s="51">
        <v>18</v>
      </c>
      <c r="B95" s="51">
        <v>19</v>
      </c>
      <c r="C95" s="51">
        <v>0.33509</v>
      </c>
      <c r="D95" s="51">
        <v>0.00263232514177694</v>
      </c>
      <c r="E95" s="51">
        <v>0.00225897920604915</v>
      </c>
      <c r="F95" s="51">
        <v>0.00199905482041588</v>
      </c>
      <c r="I95" s="51">
        <v>18</v>
      </c>
      <c r="J95" s="51">
        <v>19</v>
      </c>
      <c r="K95">
        <f t="shared" ref="K95:K153" si="35">M95*0.25</f>
        <v>1.57</v>
      </c>
      <c r="L95">
        <f t="shared" si="19"/>
        <v>3.454</v>
      </c>
      <c r="M95">
        <v>6.28</v>
      </c>
      <c r="N95">
        <f t="shared" si="20"/>
        <v>2.25</v>
      </c>
      <c r="O95">
        <f t="shared" si="21"/>
        <v>4.95</v>
      </c>
      <c r="P95">
        <v>9</v>
      </c>
      <c r="Q95">
        <f t="shared" si="33"/>
        <v>3</v>
      </c>
      <c r="R95">
        <f t="shared" si="34"/>
        <v>6.6</v>
      </c>
      <c r="S95">
        <v>12</v>
      </c>
      <c r="V95" s="51">
        <v>18</v>
      </c>
      <c r="W95" s="51">
        <v>19</v>
      </c>
      <c r="X95" s="50">
        <f t="shared" si="28"/>
        <v>0.00217420406870038</v>
      </c>
      <c r="Y95" s="50">
        <f t="shared" si="29"/>
        <v>0.0105231476925098</v>
      </c>
      <c r="Z95" s="50">
        <f t="shared" si="30"/>
        <v>0.0347872650992061</v>
      </c>
      <c r="AA95" s="50">
        <f t="shared" si="22"/>
        <v>0.00383211679465974</v>
      </c>
      <c r="AB95" s="50">
        <f t="shared" si="23"/>
        <v>0.0185474452861531</v>
      </c>
      <c r="AC95" s="50">
        <f t="shared" si="24"/>
        <v>0.0613138687145558</v>
      </c>
      <c r="AD95" s="50">
        <f t="shared" si="25"/>
        <v>0.00602876951795841</v>
      </c>
      <c r="AE95" s="50">
        <f t="shared" si="26"/>
        <v>0.0291792444669187</v>
      </c>
      <c r="AF95" s="50">
        <f t="shared" si="27"/>
        <v>0.0964603122873346</v>
      </c>
    </row>
    <row r="96" spans="1:32">
      <c r="A96" s="51">
        <v>19</v>
      </c>
      <c r="B96" s="51">
        <v>20</v>
      </c>
      <c r="C96" s="51">
        <v>0.41434</v>
      </c>
      <c r="D96" s="51">
        <v>0.00263232514177694</v>
      </c>
      <c r="E96" s="51">
        <v>0.00225897920604915</v>
      </c>
      <c r="F96" s="51">
        <v>0.00199905482041588</v>
      </c>
      <c r="I96" s="51">
        <v>19</v>
      </c>
      <c r="J96" s="51">
        <v>20</v>
      </c>
      <c r="K96">
        <f t="shared" si="35"/>
        <v>1.57</v>
      </c>
      <c r="L96">
        <f t="shared" si="19"/>
        <v>3.454</v>
      </c>
      <c r="M96">
        <v>6.28</v>
      </c>
      <c r="N96">
        <f t="shared" si="20"/>
        <v>2.25</v>
      </c>
      <c r="O96">
        <f t="shared" si="21"/>
        <v>4.95</v>
      </c>
      <c r="P96">
        <v>9</v>
      </c>
      <c r="Q96">
        <f t="shared" si="33"/>
        <v>3</v>
      </c>
      <c r="R96">
        <f t="shared" si="34"/>
        <v>6.6</v>
      </c>
      <c r="S96">
        <v>12</v>
      </c>
      <c r="V96" s="51">
        <v>19</v>
      </c>
      <c r="W96" s="51">
        <v>20</v>
      </c>
      <c r="X96" s="50">
        <f t="shared" si="28"/>
        <v>0.00268841121437618</v>
      </c>
      <c r="Y96" s="50">
        <f t="shared" si="29"/>
        <v>0.0130119102775807</v>
      </c>
      <c r="Z96" s="50">
        <f t="shared" si="30"/>
        <v>0.0430145794300189</v>
      </c>
      <c r="AA96" s="50">
        <f t="shared" si="22"/>
        <v>0.00473842631143667</v>
      </c>
      <c r="AB96" s="50">
        <f t="shared" si="23"/>
        <v>0.0229339833473535</v>
      </c>
      <c r="AC96" s="50">
        <f t="shared" si="24"/>
        <v>0.0758148209829868</v>
      </c>
      <c r="AD96" s="50">
        <f t="shared" si="25"/>
        <v>0.00745459536862004</v>
      </c>
      <c r="AE96" s="50">
        <f t="shared" si="26"/>
        <v>0.036080241584121</v>
      </c>
      <c r="AF96" s="50">
        <f t="shared" si="27"/>
        <v>0.119273525897921</v>
      </c>
    </row>
    <row r="97" spans="1:32">
      <c r="A97" s="51">
        <v>35</v>
      </c>
      <c r="B97" s="51">
        <v>36</v>
      </c>
      <c r="C97" s="51">
        <v>0.30741</v>
      </c>
      <c r="D97" s="51">
        <v>0.00263232514177694</v>
      </c>
      <c r="E97" s="51">
        <v>0.00225897920604915</v>
      </c>
      <c r="F97" s="51">
        <v>0.00199905482041588</v>
      </c>
      <c r="I97" s="51">
        <v>35</v>
      </c>
      <c r="J97" s="51">
        <v>36</v>
      </c>
      <c r="K97">
        <f t="shared" si="35"/>
        <v>1.57</v>
      </c>
      <c r="L97">
        <f t="shared" si="19"/>
        <v>3.454</v>
      </c>
      <c r="M97">
        <v>6.28</v>
      </c>
      <c r="N97">
        <f t="shared" si="20"/>
        <v>2.25</v>
      </c>
      <c r="O97">
        <f t="shared" si="21"/>
        <v>4.95</v>
      </c>
      <c r="P97">
        <v>9</v>
      </c>
      <c r="Q97">
        <f t="shared" si="33"/>
        <v>3</v>
      </c>
      <c r="R97">
        <f t="shared" si="34"/>
        <v>6.6</v>
      </c>
      <c r="S97">
        <v>12</v>
      </c>
      <c r="V97" s="51">
        <v>35</v>
      </c>
      <c r="W97" s="51">
        <v>36</v>
      </c>
      <c r="X97" s="50">
        <f t="shared" si="28"/>
        <v>0.00199460465176276</v>
      </c>
      <c r="Y97" s="50">
        <f t="shared" si="29"/>
        <v>0.00965388651453176</v>
      </c>
      <c r="Z97" s="50">
        <f t="shared" si="30"/>
        <v>0.0319136744282042</v>
      </c>
      <c r="AA97" s="50">
        <f t="shared" si="22"/>
        <v>0.00351556603851607</v>
      </c>
      <c r="AB97" s="50">
        <f t="shared" si="23"/>
        <v>0.0170153396264178</v>
      </c>
      <c r="AC97" s="50">
        <f t="shared" si="24"/>
        <v>0.0562490566162571</v>
      </c>
      <c r="AD97" s="50">
        <f t="shared" si="25"/>
        <v>0.00553076498109641</v>
      </c>
      <c r="AE97" s="50">
        <f t="shared" si="26"/>
        <v>0.0267689025085066</v>
      </c>
      <c r="AF97" s="50">
        <f t="shared" si="27"/>
        <v>0.0884922396975425</v>
      </c>
    </row>
    <row r="98" spans="1:32">
      <c r="A98" s="51">
        <v>36</v>
      </c>
      <c r="B98" s="51">
        <v>38</v>
      </c>
      <c r="C98" s="51">
        <v>0.37424</v>
      </c>
      <c r="D98" s="51">
        <v>0.00263232514177694</v>
      </c>
      <c r="E98" s="51">
        <v>0.00225897920604915</v>
      </c>
      <c r="F98" s="51">
        <v>0.00199905482041588</v>
      </c>
      <c r="I98" s="51">
        <v>36</v>
      </c>
      <c r="J98" s="51">
        <v>38</v>
      </c>
      <c r="K98">
        <f t="shared" si="35"/>
        <v>1.57</v>
      </c>
      <c r="L98">
        <f t="shared" si="19"/>
        <v>3.454</v>
      </c>
      <c r="M98">
        <v>6.28</v>
      </c>
      <c r="N98">
        <f t="shared" si="20"/>
        <v>2.25</v>
      </c>
      <c r="O98">
        <f t="shared" si="21"/>
        <v>4.95</v>
      </c>
      <c r="P98">
        <v>9</v>
      </c>
      <c r="Q98">
        <f t="shared" si="33"/>
        <v>3</v>
      </c>
      <c r="R98">
        <f t="shared" si="34"/>
        <v>6.6</v>
      </c>
      <c r="S98">
        <v>12</v>
      </c>
      <c r="V98" s="51">
        <v>36</v>
      </c>
      <c r="W98" s="51">
        <v>38</v>
      </c>
      <c r="X98" s="50">
        <f t="shared" si="28"/>
        <v>0.00242822564287335</v>
      </c>
      <c r="Y98" s="50">
        <f t="shared" si="29"/>
        <v>0.011752612111507</v>
      </c>
      <c r="Z98" s="50">
        <f t="shared" si="30"/>
        <v>0.0388516102859735</v>
      </c>
      <c r="AA98" s="50">
        <f t="shared" si="22"/>
        <v>0.00427983941398866</v>
      </c>
      <c r="AB98" s="50">
        <f t="shared" si="23"/>
        <v>0.0207144227637051</v>
      </c>
      <c r="AC98" s="50">
        <f t="shared" si="24"/>
        <v>0.0684774306238185</v>
      </c>
      <c r="AD98" s="50">
        <f t="shared" si="25"/>
        <v>0.00673313648393195</v>
      </c>
      <c r="AE98" s="50">
        <f t="shared" si="26"/>
        <v>0.0325883805822306</v>
      </c>
      <c r="AF98" s="50">
        <f t="shared" si="27"/>
        <v>0.107730183742911</v>
      </c>
    </row>
    <row r="99" spans="1:32">
      <c r="A99" s="51">
        <v>38</v>
      </c>
      <c r="B99" s="51">
        <v>39</v>
      </c>
      <c r="C99" s="51">
        <v>0.25958</v>
      </c>
      <c r="D99" s="51">
        <v>0.00263232514177694</v>
      </c>
      <c r="E99" s="51">
        <v>0.00225897920604915</v>
      </c>
      <c r="F99" s="51">
        <v>0.00199905482041588</v>
      </c>
      <c r="I99" s="51">
        <v>38</v>
      </c>
      <c r="J99" s="51">
        <v>39</v>
      </c>
      <c r="K99">
        <f t="shared" si="35"/>
        <v>1.57</v>
      </c>
      <c r="L99">
        <f t="shared" si="19"/>
        <v>3.454</v>
      </c>
      <c r="M99">
        <v>6.28</v>
      </c>
      <c r="N99">
        <f t="shared" si="20"/>
        <v>2.25</v>
      </c>
      <c r="O99">
        <f t="shared" si="21"/>
        <v>4.95</v>
      </c>
      <c r="P99">
        <v>9</v>
      </c>
      <c r="Q99">
        <f t="shared" si="33"/>
        <v>3</v>
      </c>
      <c r="R99">
        <f t="shared" si="34"/>
        <v>6.6</v>
      </c>
      <c r="S99">
        <v>12</v>
      </c>
      <c r="V99" s="51">
        <v>38</v>
      </c>
      <c r="W99" s="51">
        <v>39</v>
      </c>
      <c r="X99" s="50">
        <f t="shared" si="28"/>
        <v>0.00168426360724953</v>
      </c>
      <c r="Y99" s="50">
        <f t="shared" si="29"/>
        <v>0.00815183585908772</v>
      </c>
      <c r="Z99" s="50">
        <f t="shared" si="30"/>
        <v>0.0269482177159924</v>
      </c>
      <c r="AA99" s="50">
        <f t="shared" si="22"/>
        <v>0.00296857822542533</v>
      </c>
      <c r="AB99" s="50">
        <f t="shared" si="23"/>
        <v>0.0143679186110586</v>
      </c>
      <c r="AC99" s="50">
        <f t="shared" si="24"/>
        <v>0.0474972516068053</v>
      </c>
      <c r="AD99" s="50">
        <f t="shared" si="25"/>
        <v>0.00467023185255198</v>
      </c>
      <c r="AE99" s="50">
        <f t="shared" si="26"/>
        <v>0.0226039221663516</v>
      </c>
      <c r="AF99" s="50">
        <f t="shared" si="27"/>
        <v>0.0747237096408317</v>
      </c>
    </row>
    <row r="100" spans="1:32">
      <c r="A100" s="51">
        <v>86</v>
      </c>
      <c r="B100" s="51">
        <v>87</v>
      </c>
      <c r="C100" s="51">
        <v>0.33981</v>
      </c>
      <c r="D100" s="51">
        <v>0.00263232514177694</v>
      </c>
      <c r="E100" s="51">
        <v>0.00225897920604915</v>
      </c>
      <c r="F100" s="51">
        <v>0.00199905482041588</v>
      </c>
      <c r="I100" s="51">
        <v>86</v>
      </c>
      <c r="J100" s="51">
        <v>87</v>
      </c>
      <c r="K100">
        <f t="shared" si="35"/>
        <v>1.57</v>
      </c>
      <c r="L100">
        <f t="shared" si="19"/>
        <v>3.454</v>
      </c>
      <c r="M100">
        <v>6.28</v>
      </c>
      <c r="N100">
        <f t="shared" si="20"/>
        <v>2.25</v>
      </c>
      <c r="O100">
        <f t="shared" si="21"/>
        <v>4.95</v>
      </c>
      <c r="P100">
        <v>9</v>
      </c>
      <c r="Q100">
        <f t="shared" si="33"/>
        <v>3</v>
      </c>
      <c r="R100">
        <f t="shared" si="34"/>
        <v>6.6</v>
      </c>
      <c r="S100">
        <v>12</v>
      </c>
      <c r="V100" s="51">
        <v>86</v>
      </c>
      <c r="W100" s="51">
        <v>87</v>
      </c>
      <c r="X100" s="50">
        <f t="shared" si="28"/>
        <v>0.00220482940280246</v>
      </c>
      <c r="Y100" s="50">
        <f t="shared" si="29"/>
        <v>0.0106713743095639</v>
      </c>
      <c r="Z100" s="50">
        <f t="shared" si="30"/>
        <v>0.0352772704448393</v>
      </c>
      <c r="AA100" s="50">
        <f t="shared" si="22"/>
        <v>0.00388609510278828</v>
      </c>
      <c r="AB100" s="50">
        <f t="shared" si="23"/>
        <v>0.0188087002974953</v>
      </c>
      <c r="AC100" s="50">
        <f t="shared" si="24"/>
        <v>0.0621775216446125</v>
      </c>
      <c r="AD100" s="50">
        <f t="shared" si="25"/>
        <v>0.00611368936672968</v>
      </c>
      <c r="AE100" s="50">
        <f t="shared" si="26"/>
        <v>0.0295902565349717</v>
      </c>
      <c r="AF100" s="50">
        <f t="shared" si="27"/>
        <v>0.0978190298676749</v>
      </c>
    </row>
    <row r="101" spans="1:32">
      <c r="A101" s="51">
        <v>87</v>
      </c>
      <c r="B101" s="51">
        <v>89</v>
      </c>
      <c r="C101" s="51">
        <v>0.02359</v>
      </c>
      <c r="D101" s="51">
        <v>0.00263232514177694</v>
      </c>
      <c r="E101" s="51">
        <v>0.00225897920604915</v>
      </c>
      <c r="F101" s="51">
        <v>0.00199905482041588</v>
      </c>
      <c r="I101" s="51">
        <v>87</v>
      </c>
      <c r="J101" s="51">
        <v>89</v>
      </c>
      <c r="K101">
        <f t="shared" si="35"/>
        <v>1.57</v>
      </c>
      <c r="L101">
        <f t="shared" si="19"/>
        <v>3.454</v>
      </c>
      <c r="M101">
        <v>6.28</v>
      </c>
      <c r="N101">
        <f t="shared" si="20"/>
        <v>2.25</v>
      </c>
      <c r="O101">
        <f t="shared" si="21"/>
        <v>4.95</v>
      </c>
      <c r="P101">
        <v>9</v>
      </c>
      <c r="Q101">
        <f t="shared" si="33"/>
        <v>3</v>
      </c>
      <c r="R101">
        <f t="shared" si="34"/>
        <v>6.6</v>
      </c>
      <c r="S101">
        <v>12</v>
      </c>
      <c r="V101" s="51">
        <v>87</v>
      </c>
      <c r="W101" s="51">
        <v>89</v>
      </c>
      <c r="X101" s="50">
        <f t="shared" si="28"/>
        <v>0.000153061786327977</v>
      </c>
      <c r="Y101" s="50">
        <f t="shared" si="29"/>
        <v>0.00074081904582741</v>
      </c>
      <c r="Z101" s="50">
        <f t="shared" si="30"/>
        <v>0.00244898858124764</v>
      </c>
      <c r="AA101" s="50">
        <f t="shared" si="22"/>
        <v>0.000269777179820416</v>
      </c>
      <c r="AB101" s="50">
        <f t="shared" si="23"/>
        <v>0.00130572155033081</v>
      </c>
      <c r="AC101" s="50">
        <f t="shared" si="24"/>
        <v>0.00431643487712665</v>
      </c>
      <c r="AD101" s="50">
        <f t="shared" si="25"/>
        <v>0.000424419328922495</v>
      </c>
      <c r="AE101" s="50">
        <f t="shared" si="26"/>
        <v>0.00205418955198488</v>
      </c>
      <c r="AF101" s="50">
        <f t="shared" si="27"/>
        <v>0.00679070926275992</v>
      </c>
    </row>
    <row r="102" spans="1:32">
      <c r="A102" s="51">
        <v>89</v>
      </c>
      <c r="B102" s="51">
        <v>90</v>
      </c>
      <c r="C102" s="51">
        <v>0.42476</v>
      </c>
      <c r="D102" s="51">
        <v>0.00263232514177694</v>
      </c>
      <c r="E102" s="51">
        <v>0.00225897920604915</v>
      </c>
      <c r="F102" s="51">
        <v>0.00199905482041588</v>
      </c>
      <c r="I102" s="51">
        <v>89</v>
      </c>
      <c r="J102" s="51">
        <v>90</v>
      </c>
      <c r="K102">
        <f t="shared" si="35"/>
        <v>1.57</v>
      </c>
      <c r="L102">
        <f t="shared" si="19"/>
        <v>3.454</v>
      </c>
      <c r="M102">
        <v>6.28</v>
      </c>
      <c r="N102">
        <f t="shared" si="20"/>
        <v>2.25</v>
      </c>
      <c r="O102">
        <f t="shared" si="21"/>
        <v>4.95</v>
      </c>
      <c r="P102">
        <v>9</v>
      </c>
      <c r="Q102">
        <f t="shared" si="33"/>
        <v>3</v>
      </c>
      <c r="R102">
        <f t="shared" si="34"/>
        <v>6.6</v>
      </c>
      <c r="S102">
        <v>12</v>
      </c>
      <c r="V102" s="51">
        <v>89</v>
      </c>
      <c r="W102" s="51">
        <v>90</v>
      </c>
      <c r="X102" s="50">
        <f t="shared" si="28"/>
        <v>0.00275602053245747</v>
      </c>
      <c r="Y102" s="50">
        <f t="shared" si="29"/>
        <v>0.0133391393770941</v>
      </c>
      <c r="Z102" s="50">
        <f t="shared" si="30"/>
        <v>0.0440963285193195</v>
      </c>
      <c r="AA102" s="50">
        <f t="shared" si="22"/>
        <v>0.00485759028827977</v>
      </c>
      <c r="AB102" s="50">
        <f t="shared" si="23"/>
        <v>0.0235107369952741</v>
      </c>
      <c r="AC102" s="50">
        <f t="shared" si="24"/>
        <v>0.0777214446124764</v>
      </c>
      <c r="AD102" s="50">
        <f t="shared" si="25"/>
        <v>0.00764206672967864</v>
      </c>
      <c r="AE102" s="50">
        <f t="shared" si="26"/>
        <v>0.0369876029716446</v>
      </c>
      <c r="AF102" s="50">
        <f t="shared" si="27"/>
        <v>0.122273067674858</v>
      </c>
    </row>
    <row r="103" spans="1:32">
      <c r="A103" s="52">
        <v>203</v>
      </c>
      <c r="B103" s="52">
        <v>103</v>
      </c>
      <c r="C103" s="52">
        <v>0.29733</v>
      </c>
      <c r="D103" s="52">
        <v>0</v>
      </c>
      <c r="E103" s="52">
        <v>0.00263232514177694</v>
      </c>
      <c r="F103" s="52">
        <v>0.00225897920604915</v>
      </c>
      <c r="I103" s="52">
        <v>203</v>
      </c>
      <c r="J103" s="52">
        <v>103</v>
      </c>
      <c r="K103">
        <f t="shared" si="35"/>
        <v>0</v>
      </c>
      <c r="L103">
        <f t="shared" si="19"/>
        <v>0</v>
      </c>
      <c r="M103">
        <v>0</v>
      </c>
      <c r="N103">
        <f t="shared" si="20"/>
        <v>1.57</v>
      </c>
      <c r="O103">
        <f t="shared" si="21"/>
        <v>3.454</v>
      </c>
      <c r="P103">
        <v>6.28</v>
      </c>
      <c r="Q103">
        <f t="shared" si="33"/>
        <v>2.25</v>
      </c>
      <c r="R103">
        <f t="shared" si="34"/>
        <v>4.95</v>
      </c>
      <c r="S103">
        <v>9</v>
      </c>
      <c r="V103" s="52">
        <v>203</v>
      </c>
      <c r="W103" s="52">
        <v>103</v>
      </c>
      <c r="X103" s="50">
        <f t="shared" si="28"/>
        <v>0</v>
      </c>
      <c r="Y103" s="50">
        <f t="shared" si="29"/>
        <v>0</v>
      </c>
      <c r="Z103" s="50">
        <f t="shared" si="30"/>
        <v>0</v>
      </c>
      <c r="AA103" s="50">
        <f t="shared" si="22"/>
        <v>0.00192920139588374</v>
      </c>
      <c r="AB103" s="50">
        <f t="shared" si="23"/>
        <v>0.00933733475607732</v>
      </c>
      <c r="AC103" s="50">
        <f t="shared" si="24"/>
        <v>0.0308672223341399</v>
      </c>
      <c r="AD103" s="50">
        <f t="shared" si="25"/>
        <v>0.00340029032963138</v>
      </c>
      <c r="AE103" s="50">
        <f t="shared" si="26"/>
        <v>0.0164574051954159</v>
      </c>
      <c r="AF103" s="50">
        <f t="shared" si="27"/>
        <v>0.0544046452741021</v>
      </c>
    </row>
    <row r="104" spans="1:32">
      <c r="A104" s="52">
        <v>203</v>
      </c>
      <c r="B104" s="52">
        <v>108</v>
      </c>
      <c r="C104" s="52">
        <v>2.4168</v>
      </c>
      <c r="D104" s="52">
        <v>0</v>
      </c>
      <c r="E104" s="52">
        <v>0.00263232514177694</v>
      </c>
      <c r="F104" s="52">
        <v>0.00225897920604915</v>
      </c>
      <c r="I104" s="52">
        <v>203</v>
      </c>
      <c r="J104" s="52">
        <v>108</v>
      </c>
      <c r="K104">
        <f t="shared" si="35"/>
        <v>0</v>
      </c>
      <c r="L104">
        <f t="shared" si="19"/>
        <v>0</v>
      </c>
      <c r="M104">
        <v>0</v>
      </c>
      <c r="N104">
        <f t="shared" si="20"/>
        <v>1.57</v>
      </c>
      <c r="O104">
        <f t="shared" si="21"/>
        <v>3.454</v>
      </c>
      <c r="P104">
        <v>6.28</v>
      </c>
      <c r="Q104">
        <f t="shared" si="33"/>
        <v>2.25</v>
      </c>
      <c r="R104">
        <f t="shared" si="34"/>
        <v>4.95</v>
      </c>
      <c r="S104">
        <v>9</v>
      </c>
      <c r="V104" s="52">
        <v>203</v>
      </c>
      <c r="W104" s="52">
        <v>108</v>
      </c>
      <c r="X104" s="50">
        <f t="shared" si="28"/>
        <v>0</v>
      </c>
      <c r="Y104" s="50">
        <f t="shared" si="29"/>
        <v>0</v>
      </c>
      <c r="Z104" s="50">
        <f t="shared" si="30"/>
        <v>0</v>
      </c>
      <c r="AA104" s="50">
        <f t="shared" si="22"/>
        <v>0.0156812092071834</v>
      </c>
      <c r="AB104" s="50">
        <f t="shared" si="23"/>
        <v>0.0758970525627675</v>
      </c>
      <c r="AC104" s="50">
        <f t="shared" si="24"/>
        <v>0.250899347314934</v>
      </c>
      <c r="AD104" s="50">
        <f t="shared" si="25"/>
        <v>0.0276387235349716</v>
      </c>
      <c r="AE104" s="50">
        <f t="shared" si="26"/>
        <v>0.133771421909263</v>
      </c>
      <c r="AF104" s="50">
        <f t="shared" si="27"/>
        <v>0.442219576559546</v>
      </c>
    </row>
    <row r="105" spans="1:32">
      <c r="A105" s="52">
        <v>203</v>
      </c>
      <c r="B105" s="52">
        <v>126</v>
      </c>
      <c r="C105" s="52">
        <v>1.1469</v>
      </c>
      <c r="D105" s="52">
        <v>0</v>
      </c>
      <c r="E105" s="52">
        <v>0.00263232514177694</v>
      </c>
      <c r="F105" s="52">
        <v>0.00225897920604915</v>
      </c>
      <c r="I105" s="52">
        <v>203</v>
      </c>
      <c r="J105" s="52">
        <v>126</v>
      </c>
      <c r="K105">
        <f t="shared" si="35"/>
        <v>0</v>
      </c>
      <c r="L105">
        <f t="shared" si="19"/>
        <v>0</v>
      </c>
      <c r="M105">
        <v>0</v>
      </c>
      <c r="N105">
        <f t="shared" si="20"/>
        <v>1.57</v>
      </c>
      <c r="O105">
        <f t="shared" si="21"/>
        <v>3.454</v>
      </c>
      <c r="P105">
        <v>6.28</v>
      </c>
      <c r="Q105">
        <f t="shared" si="33"/>
        <v>2.25</v>
      </c>
      <c r="R105">
        <f t="shared" si="34"/>
        <v>4.95</v>
      </c>
      <c r="S105">
        <v>9</v>
      </c>
      <c r="V105" s="52">
        <v>203</v>
      </c>
      <c r="W105" s="52">
        <v>126</v>
      </c>
      <c r="X105" s="50">
        <f t="shared" si="28"/>
        <v>0</v>
      </c>
      <c r="Y105" s="50">
        <f t="shared" si="29"/>
        <v>0</v>
      </c>
      <c r="Z105" s="50">
        <f t="shared" si="30"/>
        <v>0</v>
      </c>
      <c r="AA105" s="50">
        <f t="shared" si="22"/>
        <v>0.00744156688171078</v>
      </c>
      <c r="AB105" s="50">
        <f t="shared" si="23"/>
        <v>0.0360171837074802</v>
      </c>
      <c r="AC105" s="50">
        <f t="shared" si="24"/>
        <v>0.119065070107372</v>
      </c>
      <c r="AD105" s="50">
        <f t="shared" si="25"/>
        <v>0.0131160427103025</v>
      </c>
      <c r="AE105" s="50">
        <f t="shared" si="26"/>
        <v>0.0634816467178639</v>
      </c>
      <c r="AF105" s="50">
        <f t="shared" si="27"/>
        <v>0.209856683364839</v>
      </c>
    </row>
    <row r="106" spans="1:32">
      <c r="A106" s="52">
        <v>203</v>
      </c>
      <c r="B106" s="52">
        <v>130</v>
      </c>
      <c r="C106" s="52">
        <v>1.751</v>
      </c>
      <c r="D106" s="52">
        <v>0</v>
      </c>
      <c r="E106" s="52">
        <v>0.00263232514177694</v>
      </c>
      <c r="F106" s="52">
        <v>0.00225897920604915</v>
      </c>
      <c r="I106" s="52">
        <v>203</v>
      </c>
      <c r="J106" s="52">
        <v>130</v>
      </c>
      <c r="K106">
        <f t="shared" si="35"/>
        <v>0</v>
      </c>
      <c r="L106">
        <f t="shared" si="19"/>
        <v>0</v>
      </c>
      <c r="M106">
        <v>0</v>
      </c>
      <c r="N106">
        <f t="shared" si="20"/>
        <v>1.57</v>
      </c>
      <c r="O106">
        <f t="shared" si="21"/>
        <v>3.454</v>
      </c>
      <c r="P106">
        <v>6.28</v>
      </c>
      <c r="Q106">
        <f t="shared" si="33"/>
        <v>2.25</v>
      </c>
      <c r="R106">
        <f t="shared" si="34"/>
        <v>4.95</v>
      </c>
      <c r="S106">
        <v>9</v>
      </c>
      <c r="V106" s="52">
        <v>203</v>
      </c>
      <c r="W106" s="52">
        <v>130</v>
      </c>
      <c r="X106" s="50">
        <f t="shared" si="28"/>
        <v>0</v>
      </c>
      <c r="Y106" s="50">
        <f t="shared" si="29"/>
        <v>0</v>
      </c>
      <c r="Z106" s="50">
        <f t="shared" si="30"/>
        <v>0</v>
      </c>
      <c r="AA106" s="50">
        <f t="shared" si="22"/>
        <v>0.0113612203416824</v>
      </c>
      <c r="AB106" s="50">
        <f t="shared" si="23"/>
        <v>0.0549883064537429</v>
      </c>
      <c r="AC106" s="50">
        <f t="shared" si="24"/>
        <v>0.181779525466919</v>
      </c>
      <c r="AD106" s="50">
        <f t="shared" si="25"/>
        <v>0.0200245799858223</v>
      </c>
      <c r="AE106" s="50">
        <f t="shared" si="26"/>
        <v>0.09691896713138</v>
      </c>
      <c r="AF106" s="50">
        <f t="shared" si="27"/>
        <v>0.320393279773157</v>
      </c>
    </row>
    <row r="107" spans="1:32">
      <c r="A107" s="52">
        <v>11</v>
      </c>
      <c r="B107" s="52">
        <v>121</v>
      </c>
      <c r="C107" s="52">
        <v>1.1516</v>
      </c>
      <c r="D107" s="52">
        <v>0</v>
      </c>
      <c r="E107" s="52">
        <v>0.00263232514177694</v>
      </c>
      <c r="F107" s="52">
        <v>0.00225897920604915</v>
      </c>
      <c r="I107" s="52">
        <v>11</v>
      </c>
      <c r="J107" s="52">
        <v>121</v>
      </c>
      <c r="K107">
        <f t="shared" si="35"/>
        <v>0</v>
      </c>
      <c r="L107">
        <f t="shared" si="19"/>
        <v>0</v>
      </c>
      <c r="M107">
        <v>0</v>
      </c>
      <c r="N107">
        <f t="shared" si="20"/>
        <v>1.57</v>
      </c>
      <c r="O107">
        <f t="shared" si="21"/>
        <v>3.454</v>
      </c>
      <c r="P107">
        <v>6.28</v>
      </c>
      <c r="Q107">
        <f t="shared" si="33"/>
        <v>2.25</v>
      </c>
      <c r="R107">
        <f t="shared" si="34"/>
        <v>4.95</v>
      </c>
      <c r="S107">
        <v>9</v>
      </c>
      <c r="V107" s="52">
        <v>11</v>
      </c>
      <c r="W107" s="52">
        <v>121</v>
      </c>
      <c r="X107" s="50">
        <f t="shared" si="28"/>
        <v>0</v>
      </c>
      <c r="Y107" s="50">
        <f t="shared" si="29"/>
        <v>0</v>
      </c>
      <c r="Z107" s="50">
        <f t="shared" si="30"/>
        <v>0</v>
      </c>
      <c r="AA107" s="50">
        <f t="shared" si="22"/>
        <v>0.00747206244744802</v>
      </c>
      <c r="AB107" s="50">
        <f t="shared" si="23"/>
        <v>0.0361647822456484</v>
      </c>
      <c r="AC107" s="50">
        <f t="shared" si="24"/>
        <v>0.119552999159168</v>
      </c>
      <c r="AD107" s="50">
        <f t="shared" si="25"/>
        <v>0.0131697922967864</v>
      </c>
      <c r="AE107" s="50">
        <f t="shared" si="26"/>
        <v>0.0637417947164461</v>
      </c>
      <c r="AF107" s="50">
        <f t="shared" si="27"/>
        <v>0.210716676748582</v>
      </c>
    </row>
    <row r="108" spans="1:32">
      <c r="A108" s="52">
        <v>15</v>
      </c>
      <c r="B108" s="52">
        <v>120</v>
      </c>
      <c r="C108" s="52">
        <v>0.3328</v>
      </c>
      <c r="D108" s="52">
        <v>0</v>
      </c>
      <c r="E108" s="52">
        <v>0.00263232514177694</v>
      </c>
      <c r="F108" s="52">
        <v>0.00225897920604915</v>
      </c>
      <c r="I108" s="52">
        <v>15</v>
      </c>
      <c r="J108" s="52">
        <v>120</v>
      </c>
      <c r="K108">
        <f t="shared" si="35"/>
        <v>0</v>
      </c>
      <c r="L108">
        <f t="shared" si="19"/>
        <v>0</v>
      </c>
      <c r="M108">
        <v>0</v>
      </c>
      <c r="N108">
        <f t="shared" si="20"/>
        <v>1.57</v>
      </c>
      <c r="O108">
        <f t="shared" si="21"/>
        <v>3.454</v>
      </c>
      <c r="P108">
        <v>6.28</v>
      </c>
      <c r="Q108">
        <f t="shared" si="33"/>
        <v>2.25</v>
      </c>
      <c r="R108">
        <f t="shared" si="34"/>
        <v>4.95</v>
      </c>
      <c r="S108">
        <v>9</v>
      </c>
      <c r="V108" s="52">
        <v>15</v>
      </c>
      <c r="W108" s="52">
        <v>120</v>
      </c>
      <c r="X108" s="50">
        <f t="shared" si="28"/>
        <v>0</v>
      </c>
      <c r="Y108" s="50">
        <f t="shared" si="29"/>
        <v>0</v>
      </c>
      <c r="Z108" s="50">
        <f t="shared" si="30"/>
        <v>0</v>
      </c>
      <c r="AA108" s="50">
        <f t="shared" si="22"/>
        <v>0.00215934559092628</v>
      </c>
      <c r="AB108" s="50">
        <f t="shared" si="23"/>
        <v>0.0104512326600832</v>
      </c>
      <c r="AC108" s="50">
        <f t="shared" si="24"/>
        <v>0.0345495294548204</v>
      </c>
      <c r="AD108" s="50">
        <f t="shared" si="25"/>
        <v>0.00380592816635161</v>
      </c>
      <c r="AE108" s="50">
        <f t="shared" si="26"/>
        <v>0.0184206923251418</v>
      </c>
      <c r="AF108" s="50">
        <f t="shared" si="27"/>
        <v>0.0608948506616257</v>
      </c>
    </row>
    <row r="109" spans="1:32">
      <c r="A109" s="52">
        <v>15</v>
      </c>
      <c r="B109" s="52">
        <v>121</v>
      </c>
      <c r="C109" s="52">
        <v>0.35001</v>
      </c>
      <c r="D109" s="52">
        <v>0</v>
      </c>
      <c r="E109" s="52">
        <v>0.00263232514177694</v>
      </c>
      <c r="F109" s="52">
        <v>0.00225897920604915</v>
      </c>
      <c r="I109" s="52">
        <v>15</v>
      </c>
      <c r="J109" s="52">
        <v>121</v>
      </c>
      <c r="K109">
        <f t="shared" si="35"/>
        <v>0</v>
      </c>
      <c r="L109">
        <f t="shared" si="19"/>
        <v>0</v>
      </c>
      <c r="M109">
        <v>0</v>
      </c>
      <c r="N109">
        <f t="shared" si="20"/>
        <v>1.57</v>
      </c>
      <c r="O109">
        <f t="shared" si="21"/>
        <v>3.454</v>
      </c>
      <c r="P109">
        <v>6.28</v>
      </c>
      <c r="Q109">
        <f t="shared" si="33"/>
        <v>2.25</v>
      </c>
      <c r="R109">
        <f t="shared" si="34"/>
        <v>4.95</v>
      </c>
      <c r="S109">
        <v>9</v>
      </c>
      <c r="V109" s="52">
        <v>15</v>
      </c>
      <c r="W109" s="52">
        <v>121</v>
      </c>
      <c r="X109" s="50">
        <f t="shared" si="28"/>
        <v>0</v>
      </c>
      <c r="Y109" s="50">
        <f t="shared" si="29"/>
        <v>0</v>
      </c>
      <c r="Z109" s="50">
        <f t="shared" si="30"/>
        <v>0</v>
      </c>
      <c r="AA109" s="50">
        <f t="shared" si="22"/>
        <v>0.00227101126887051</v>
      </c>
      <c r="AB109" s="50">
        <f t="shared" si="23"/>
        <v>0.0109916945413333</v>
      </c>
      <c r="AC109" s="50">
        <f t="shared" si="24"/>
        <v>0.0363361803019282</v>
      </c>
      <c r="AD109" s="50">
        <f t="shared" si="25"/>
        <v>0.00400274314154064</v>
      </c>
      <c r="AE109" s="50">
        <f t="shared" si="26"/>
        <v>0.0193732768050567</v>
      </c>
      <c r="AF109" s="50">
        <f t="shared" si="27"/>
        <v>0.0640438902646503</v>
      </c>
    </row>
    <row r="110" spans="1:32">
      <c r="A110" s="52">
        <v>16</v>
      </c>
      <c r="B110" s="52">
        <v>120</v>
      </c>
      <c r="C110" s="52">
        <v>0.62108</v>
      </c>
      <c r="D110" s="52">
        <v>0</v>
      </c>
      <c r="E110" s="52">
        <v>0.00263232514177694</v>
      </c>
      <c r="F110" s="52">
        <v>0.00225897920604915</v>
      </c>
      <c r="I110" s="52">
        <v>16</v>
      </c>
      <c r="J110" s="52">
        <v>120</v>
      </c>
      <c r="K110">
        <f t="shared" si="35"/>
        <v>0</v>
      </c>
      <c r="L110">
        <f t="shared" si="19"/>
        <v>0</v>
      </c>
      <c r="M110">
        <v>0</v>
      </c>
      <c r="N110">
        <f t="shared" si="20"/>
        <v>1.57</v>
      </c>
      <c r="O110">
        <f t="shared" si="21"/>
        <v>3.454</v>
      </c>
      <c r="P110">
        <v>6.28</v>
      </c>
      <c r="Q110">
        <f t="shared" si="33"/>
        <v>2.25</v>
      </c>
      <c r="R110">
        <f t="shared" si="34"/>
        <v>4.95</v>
      </c>
      <c r="S110">
        <v>9</v>
      </c>
      <c r="V110" s="52">
        <v>16</v>
      </c>
      <c r="W110" s="52">
        <v>120</v>
      </c>
      <c r="X110" s="50">
        <f t="shared" si="28"/>
        <v>0</v>
      </c>
      <c r="Y110" s="50">
        <f t="shared" si="29"/>
        <v>0</v>
      </c>
      <c r="Z110" s="50">
        <f t="shared" si="30"/>
        <v>0</v>
      </c>
      <c r="AA110" s="50">
        <f t="shared" si="22"/>
        <v>0.00402982680172023</v>
      </c>
      <c r="AB110" s="50">
        <f t="shared" si="23"/>
        <v>0.0195043617203259</v>
      </c>
      <c r="AC110" s="50">
        <f t="shared" si="24"/>
        <v>0.0644772288275236</v>
      </c>
      <c r="AD110" s="50">
        <f t="shared" si="25"/>
        <v>0.00710272195179584</v>
      </c>
      <c r="AE110" s="50">
        <f t="shared" si="26"/>
        <v>0.0343771742466919</v>
      </c>
      <c r="AF110" s="50">
        <f t="shared" si="27"/>
        <v>0.113643551228733</v>
      </c>
    </row>
    <row r="111" spans="1:32">
      <c r="A111" s="52">
        <v>30</v>
      </c>
      <c r="B111" s="52">
        <v>113</v>
      </c>
      <c r="C111" s="52">
        <v>0.61037</v>
      </c>
      <c r="D111" s="52">
        <v>0</v>
      </c>
      <c r="E111" s="52">
        <v>0.00263232514177694</v>
      </c>
      <c r="F111" s="52">
        <v>0.00225897920604915</v>
      </c>
      <c r="I111" s="52">
        <v>30</v>
      </c>
      <c r="J111" s="52">
        <v>113</v>
      </c>
      <c r="K111">
        <f t="shared" si="35"/>
        <v>0</v>
      </c>
      <c r="L111">
        <f t="shared" si="19"/>
        <v>0</v>
      </c>
      <c r="M111">
        <v>0</v>
      </c>
      <c r="N111">
        <f t="shared" si="20"/>
        <v>1.57</v>
      </c>
      <c r="O111">
        <f t="shared" si="21"/>
        <v>3.454</v>
      </c>
      <c r="P111">
        <v>6.28</v>
      </c>
      <c r="Q111">
        <f t="shared" si="33"/>
        <v>2.25</v>
      </c>
      <c r="R111">
        <f t="shared" si="34"/>
        <v>4.95</v>
      </c>
      <c r="S111">
        <v>9</v>
      </c>
      <c r="V111" s="52">
        <v>30</v>
      </c>
      <c r="W111" s="52">
        <v>113</v>
      </c>
      <c r="X111" s="50">
        <f t="shared" si="28"/>
        <v>0</v>
      </c>
      <c r="Y111" s="50">
        <f t="shared" si="29"/>
        <v>0</v>
      </c>
      <c r="Z111" s="50">
        <f t="shared" si="30"/>
        <v>0</v>
      </c>
      <c r="AA111" s="50">
        <f t="shared" si="22"/>
        <v>0.00396033584234877</v>
      </c>
      <c r="AB111" s="50">
        <f t="shared" si="23"/>
        <v>0.0191680254769681</v>
      </c>
      <c r="AC111" s="50">
        <f t="shared" si="24"/>
        <v>0.0633653734775803</v>
      </c>
      <c r="AD111" s="50">
        <f t="shared" si="25"/>
        <v>0.00698024151110586</v>
      </c>
      <c r="AE111" s="50">
        <f t="shared" si="26"/>
        <v>0.0337843689137524</v>
      </c>
      <c r="AF111" s="50">
        <f t="shared" si="27"/>
        <v>0.111683864177694</v>
      </c>
    </row>
    <row r="112" spans="1:32">
      <c r="A112" s="52">
        <v>31</v>
      </c>
      <c r="B112" s="52">
        <v>123</v>
      </c>
      <c r="C112" s="52">
        <v>0.07459</v>
      </c>
      <c r="D112" s="52">
        <v>0</v>
      </c>
      <c r="E112" s="52">
        <v>0.00263232514177694</v>
      </c>
      <c r="F112" s="52">
        <v>0.00225897920604915</v>
      </c>
      <c r="I112" s="52">
        <v>31</v>
      </c>
      <c r="J112" s="52">
        <v>123</v>
      </c>
      <c r="K112">
        <f t="shared" si="35"/>
        <v>0</v>
      </c>
      <c r="L112">
        <f t="shared" si="19"/>
        <v>0</v>
      </c>
      <c r="M112">
        <v>0</v>
      </c>
      <c r="N112">
        <f t="shared" si="20"/>
        <v>1.57</v>
      </c>
      <c r="O112">
        <f t="shared" si="21"/>
        <v>3.454</v>
      </c>
      <c r="P112">
        <v>6.28</v>
      </c>
      <c r="Q112">
        <f t="shared" si="33"/>
        <v>2.25</v>
      </c>
      <c r="R112">
        <f t="shared" si="34"/>
        <v>4.95</v>
      </c>
      <c r="S112">
        <v>9</v>
      </c>
      <c r="V112" s="52">
        <v>31</v>
      </c>
      <c r="W112" s="52">
        <v>123</v>
      </c>
      <c r="X112" s="50">
        <f t="shared" si="28"/>
        <v>0</v>
      </c>
      <c r="Y112" s="50">
        <f t="shared" si="29"/>
        <v>0</v>
      </c>
      <c r="Z112" s="50">
        <f t="shared" si="30"/>
        <v>0</v>
      </c>
      <c r="AA112" s="50">
        <f t="shared" si="22"/>
        <v>0.000483971116668242</v>
      </c>
      <c r="AB112" s="50">
        <f t="shared" si="23"/>
        <v>0.00234242020467429</v>
      </c>
      <c r="AC112" s="50">
        <f t="shared" si="24"/>
        <v>0.00774353786669187</v>
      </c>
      <c r="AD112" s="50">
        <f t="shared" si="25"/>
        <v>0.000853017373582231</v>
      </c>
      <c r="AE112" s="50">
        <f t="shared" si="26"/>
        <v>0.004128604088138</v>
      </c>
      <c r="AF112" s="50">
        <f t="shared" si="27"/>
        <v>0.0136482779773157</v>
      </c>
    </row>
    <row r="113" spans="1:32">
      <c r="A113" s="52">
        <v>45</v>
      </c>
      <c r="B113" s="52">
        <v>108</v>
      </c>
      <c r="C113" s="52">
        <v>0.53541</v>
      </c>
      <c r="D113" s="52">
        <v>0</v>
      </c>
      <c r="E113" s="52">
        <v>0.00263232514177694</v>
      </c>
      <c r="F113" s="52">
        <v>0.00225897920604915</v>
      </c>
      <c r="I113" s="52">
        <v>45</v>
      </c>
      <c r="J113" s="52">
        <v>108</v>
      </c>
      <c r="K113">
        <f t="shared" si="35"/>
        <v>0</v>
      </c>
      <c r="L113">
        <f t="shared" si="19"/>
        <v>0</v>
      </c>
      <c r="M113">
        <v>0</v>
      </c>
      <c r="N113">
        <f t="shared" si="20"/>
        <v>1.57</v>
      </c>
      <c r="O113">
        <f t="shared" si="21"/>
        <v>3.454</v>
      </c>
      <c r="P113">
        <v>6.28</v>
      </c>
      <c r="Q113">
        <f t="shared" si="33"/>
        <v>2.25</v>
      </c>
      <c r="R113">
        <f t="shared" si="34"/>
        <v>4.95</v>
      </c>
      <c r="S113">
        <v>9</v>
      </c>
      <c r="V113" s="52">
        <v>45</v>
      </c>
      <c r="W113" s="52">
        <v>108</v>
      </c>
      <c r="X113" s="50">
        <f t="shared" si="28"/>
        <v>0</v>
      </c>
      <c r="Y113" s="50">
        <f t="shared" si="29"/>
        <v>0</v>
      </c>
      <c r="Z113" s="50">
        <f t="shared" si="30"/>
        <v>0</v>
      </c>
      <c r="AA113" s="50">
        <f t="shared" si="22"/>
        <v>0.003473964010931</v>
      </c>
      <c r="AB113" s="50">
        <f t="shared" si="23"/>
        <v>0.0168139858129061</v>
      </c>
      <c r="AC113" s="50">
        <f t="shared" si="24"/>
        <v>0.055583424174896</v>
      </c>
      <c r="AD113" s="50">
        <f t="shared" si="25"/>
        <v>0.0061229927870983</v>
      </c>
      <c r="AE113" s="50">
        <f t="shared" si="26"/>
        <v>0.0296352850895558</v>
      </c>
      <c r="AF113" s="50">
        <f t="shared" si="27"/>
        <v>0.0979678845935728</v>
      </c>
    </row>
    <row r="114" spans="1:32">
      <c r="A114" s="52">
        <v>46</v>
      </c>
      <c r="B114" s="52">
        <v>129</v>
      </c>
      <c r="C114" s="52">
        <v>0.97444</v>
      </c>
      <c r="D114" s="52">
        <v>0</v>
      </c>
      <c r="E114" s="52">
        <v>0.00263232514177694</v>
      </c>
      <c r="F114" s="52">
        <v>0.00225897920604915</v>
      </c>
      <c r="I114" s="52">
        <v>46</v>
      </c>
      <c r="J114" s="52">
        <v>129</v>
      </c>
      <c r="K114">
        <f t="shared" si="35"/>
        <v>0</v>
      </c>
      <c r="L114">
        <f t="shared" si="19"/>
        <v>0</v>
      </c>
      <c r="M114">
        <v>0</v>
      </c>
      <c r="N114">
        <f t="shared" si="20"/>
        <v>1.57</v>
      </c>
      <c r="O114">
        <f t="shared" si="21"/>
        <v>3.454</v>
      </c>
      <c r="P114">
        <v>6.28</v>
      </c>
      <c r="Q114">
        <f t="shared" si="33"/>
        <v>2.25</v>
      </c>
      <c r="R114">
        <f t="shared" si="34"/>
        <v>4.95</v>
      </c>
      <c r="S114">
        <v>9</v>
      </c>
      <c r="V114" s="52">
        <v>46</v>
      </c>
      <c r="W114" s="52">
        <v>129</v>
      </c>
      <c r="X114" s="50">
        <f t="shared" si="28"/>
        <v>0</v>
      </c>
      <c r="Y114" s="50">
        <f t="shared" si="29"/>
        <v>0</v>
      </c>
      <c r="Z114" s="50">
        <f t="shared" si="30"/>
        <v>0</v>
      </c>
      <c r="AA114" s="50">
        <f t="shared" si="22"/>
        <v>0.00632257427170132</v>
      </c>
      <c r="AB114" s="50">
        <f t="shared" si="23"/>
        <v>0.0306012594750344</v>
      </c>
      <c r="AC114" s="50">
        <f t="shared" si="24"/>
        <v>0.101161188347221</v>
      </c>
      <c r="AD114" s="50">
        <f t="shared" si="25"/>
        <v>0.0111437759688091</v>
      </c>
      <c r="AE114" s="50">
        <f t="shared" si="26"/>
        <v>0.0539358756890359</v>
      </c>
      <c r="AF114" s="50">
        <f t="shared" si="27"/>
        <v>0.178300415500945</v>
      </c>
    </row>
    <row r="115" spans="1:32">
      <c r="A115" s="52">
        <v>50</v>
      </c>
      <c r="B115" s="52">
        <v>101</v>
      </c>
      <c r="C115" s="52">
        <v>0.64249</v>
      </c>
      <c r="D115" s="52">
        <v>0</v>
      </c>
      <c r="E115" s="52">
        <v>0.00263232514177694</v>
      </c>
      <c r="F115" s="52">
        <v>0.00225897920604915</v>
      </c>
      <c r="I115" s="52">
        <v>50</v>
      </c>
      <c r="J115" s="52">
        <v>101</v>
      </c>
      <c r="K115">
        <f t="shared" si="35"/>
        <v>0</v>
      </c>
      <c r="L115">
        <f t="shared" si="19"/>
        <v>0</v>
      </c>
      <c r="M115">
        <v>0</v>
      </c>
      <c r="N115">
        <f t="shared" si="20"/>
        <v>1.57</v>
      </c>
      <c r="O115">
        <f t="shared" si="21"/>
        <v>3.454</v>
      </c>
      <c r="P115">
        <v>6.28</v>
      </c>
      <c r="Q115">
        <f t="shared" si="33"/>
        <v>2.25</v>
      </c>
      <c r="R115">
        <f t="shared" si="34"/>
        <v>4.95</v>
      </c>
      <c r="S115">
        <v>9</v>
      </c>
      <c r="V115" s="52">
        <v>50</v>
      </c>
      <c r="W115" s="52">
        <v>101</v>
      </c>
      <c r="X115" s="50">
        <f t="shared" si="28"/>
        <v>0</v>
      </c>
      <c r="Y115" s="50">
        <f t="shared" si="29"/>
        <v>0</v>
      </c>
      <c r="Z115" s="50">
        <f t="shared" si="30"/>
        <v>0</v>
      </c>
      <c r="AA115" s="50">
        <f t="shared" si="22"/>
        <v>0.00416874383628072</v>
      </c>
      <c r="AB115" s="50">
        <f t="shared" si="23"/>
        <v>0.0201767201675987</v>
      </c>
      <c r="AC115" s="50">
        <f t="shared" si="24"/>
        <v>0.0666999013804915</v>
      </c>
      <c r="AD115" s="50">
        <f t="shared" si="25"/>
        <v>0.0073475684723535</v>
      </c>
      <c r="AE115" s="50">
        <f t="shared" si="26"/>
        <v>0.0355622314061909</v>
      </c>
      <c r="AF115" s="50">
        <f t="shared" si="27"/>
        <v>0.117561095557656</v>
      </c>
    </row>
    <row r="116" spans="1:32">
      <c r="A116" s="52">
        <v>51</v>
      </c>
      <c r="B116" s="52">
        <v>101</v>
      </c>
      <c r="C116" s="52">
        <v>0.87807</v>
      </c>
      <c r="D116" s="52">
        <v>0</v>
      </c>
      <c r="E116" s="52">
        <v>0.00263232514177694</v>
      </c>
      <c r="F116" s="52">
        <v>0.00225897920604915</v>
      </c>
      <c r="I116" s="52">
        <v>51</v>
      </c>
      <c r="J116" s="52">
        <v>101</v>
      </c>
      <c r="K116">
        <f t="shared" si="35"/>
        <v>0</v>
      </c>
      <c r="L116">
        <f t="shared" si="19"/>
        <v>0</v>
      </c>
      <c r="M116">
        <v>0</v>
      </c>
      <c r="N116">
        <f t="shared" si="20"/>
        <v>1.57</v>
      </c>
      <c r="O116">
        <f t="shared" si="21"/>
        <v>3.454</v>
      </c>
      <c r="P116">
        <v>6.28</v>
      </c>
      <c r="Q116">
        <f t="shared" si="33"/>
        <v>2.25</v>
      </c>
      <c r="R116">
        <f t="shared" si="34"/>
        <v>4.95</v>
      </c>
      <c r="S116">
        <v>9</v>
      </c>
      <c r="V116" s="52">
        <v>51</v>
      </c>
      <c r="W116" s="52">
        <v>101</v>
      </c>
      <c r="X116" s="50">
        <f t="shared" si="28"/>
        <v>0</v>
      </c>
      <c r="Y116" s="50">
        <f t="shared" si="29"/>
        <v>0</v>
      </c>
      <c r="Z116" s="50">
        <f t="shared" si="30"/>
        <v>0</v>
      </c>
      <c r="AA116" s="50">
        <f t="shared" si="22"/>
        <v>0.00569728540572306</v>
      </c>
      <c r="AB116" s="50">
        <f t="shared" si="23"/>
        <v>0.0275748613636996</v>
      </c>
      <c r="AC116" s="50">
        <f t="shared" si="24"/>
        <v>0.091156566491569</v>
      </c>
      <c r="AD116" s="50">
        <f t="shared" si="25"/>
        <v>0.0100416807242439</v>
      </c>
      <c r="AE116" s="50">
        <f t="shared" si="26"/>
        <v>0.0486017347053403</v>
      </c>
      <c r="AF116" s="50">
        <f t="shared" si="27"/>
        <v>0.160666891587902</v>
      </c>
    </row>
    <row r="117" spans="1:32">
      <c r="A117" s="52">
        <v>56</v>
      </c>
      <c r="B117" s="52">
        <v>107</v>
      </c>
      <c r="C117" s="52">
        <v>1.2207</v>
      </c>
      <c r="D117" s="52">
        <v>0</v>
      </c>
      <c r="E117" s="52">
        <v>0.00263232514177694</v>
      </c>
      <c r="F117" s="52">
        <v>0.00225897920604915</v>
      </c>
      <c r="I117" s="52">
        <v>56</v>
      </c>
      <c r="J117" s="52">
        <v>107</v>
      </c>
      <c r="K117">
        <f t="shared" si="35"/>
        <v>0</v>
      </c>
      <c r="L117">
        <f t="shared" si="19"/>
        <v>0</v>
      </c>
      <c r="M117">
        <v>0</v>
      </c>
      <c r="N117">
        <f t="shared" si="20"/>
        <v>1.57</v>
      </c>
      <c r="O117">
        <f t="shared" si="21"/>
        <v>3.454</v>
      </c>
      <c r="P117">
        <v>6.28</v>
      </c>
      <c r="Q117">
        <f t="shared" si="33"/>
        <v>2.25</v>
      </c>
      <c r="R117">
        <f t="shared" si="34"/>
        <v>4.95</v>
      </c>
      <c r="S117">
        <v>9</v>
      </c>
      <c r="V117" s="52">
        <v>56</v>
      </c>
      <c r="W117" s="52">
        <v>107</v>
      </c>
      <c r="X117" s="50">
        <f t="shared" si="28"/>
        <v>0</v>
      </c>
      <c r="Y117" s="50">
        <f t="shared" si="29"/>
        <v>0</v>
      </c>
      <c r="Z117" s="50">
        <f t="shared" si="30"/>
        <v>0</v>
      </c>
      <c r="AA117" s="50">
        <f t="shared" si="22"/>
        <v>0.00792041214796786</v>
      </c>
      <c r="AB117" s="50">
        <f t="shared" si="23"/>
        <v>0.0383347947961645</v>
      </c>
      <c r="AC117" s="50">
        <f t="shared" si="24"/>
        <v>0.126726594367486</v>
      </c>
      <c r="AD117" s="50">
        <f t="shared" si="25"/>
        <v>0.0139600255789225</v>
      </c>
      <c r="AE117" s="50">
        <f t="shared" si="26"/>
        <v>0.0675665238019849</v>
      </c>
      <c r="AF117" s="50">
        <f t="shared" si="27"/>
        <v>0.22336040926276</v>
      </c>
    </row>
    <row r="118" spans="1:32">
      <c r="A118" s="52">
        <v>59</v>
      </c>
      <c r="B118" s="52">
        <v>104</v>
      </c>
      <c r="C118" s="52">
        <v>1.213</v>
      </c>
      <c r="D118" s="52">
        <v>0</v>
      </c>
      <c r="E118" s="52">
        <v>0.00263232514177694</v>
      </c>
      <c r="F118" s="52">
        <v>0.00225897920604915</v>
      </c>
      <c r="I118" s="52">
        <v>59</v>
      </c>
      <c r="J118" s="52">
        <v>104</v>
      </c>
      <c r="K118">
        <f t="shared" si="35"/>
        <v>0</v>
      </c>
      <c r="L118">
        <f t="shared" si="19"/>
        <v>0</v>
      </c>
      <c r="M118">
        <v>0</v>
      </c>
      <c r="N118">
        <f t="shared" si="20"/>
        <v>1.57</v>
      </c>
      <c r="O118">
        <f t="shared" si="21"/>
        <v>3.454</v>
      </c>
      <c r="P118">
        <v>6.28</v>
      </c>
      <c r="Q118">
        <f t="shared" si="33"/>
        <v>2.25</v>
      </c>
      <c r="R118">
        <f t="shared" si="34"/>
        <v>4.95</v>
      </c>
      <c r="S118">
        <v>9</v>
      </c>
      <c r="V118" s="52">
        <v>59</v>
      </c>
      <c r="W118" s="52">
        <v>104</v>
      </c>
      <c r="X118" s="50">
        <f t="shared" si="28"/>
        <v>0</v>
      </c>
      <c r="Y118" s="50">
        <f t="shared" si="29"/>
        <v>0</v>
      </c>
      <c r="Z118" s="50">
        <f t="shared" si="30"/>
        <v>0</v>
      </c>
      <c r="AA118" s="50">
        <f t="shared" si="22"/>
        <v>0.00787045132750473</v>
      </c>
      <c r="AB118" s="50">
        <f t="shared" si="23"/>
        <v>0.0380929844251229</v>
      </c>
      <c r="AC118" s="50">
        <f t="shared" si="24"/>
        <v>0.125927221240076</v>
      </c>
      <c r="AD118" s="50">
        <f t="shared" si="25"/>
        <v>0.0138719677457467</v>
      </c>
      <c r="AE118" s="50">
        <f t="shared" si="26"/>
        <v>0.067140323889414</v>
      </c>
      <c r="AF118" s="50">
        <f t="shared" si="27"/>
        <v>0.221951483931947</v>
      </c>
    </row>
    <row r="119" spans="1:32">
      <c r="A119" s="52">
        <v>65</v>
      </c>
      <c r="B119" s="52">
        <v>131</v>
      </c>
      <c r="C119" s="52">
        <v>0.53541</v>
      </c>
      <c r="D119" s="52">
        <v>0</v>
      </c>
      <c r="E119" s="52">
        <v>0.00263232514177694</v>
      </c>
      <c r="F119" s="52">
        <v>0.00225897920604915</v>
      </c>
      <c r="I119" s="52">
        <v>65</v>
      </c>
      <c r="J119" s="52">
        <v>131</v>
      </c>
      <c r="K119">
        <f t="shared" si="35"/>
        <v>0</v>
      </c>
      <c r="L119">
        <f t="shared" si="19"/>
        <v>0</v>
      </c>
      <c r="M119">
        <v>0</v>
      </c>
      <c r="N119">
        <f t="shared" si="20"/>
        <v>1.57</v>
      </c>
      <c r="O119">
        <f t="shared" si="21"/>
        <v>3.454</v>
      </c>
      <c r="P119">
        <v>6.28</v>
      </c>
      <c r="Q119">
        <f t="shared" si="33"/>
        <v>2.25</v>
      </c>
      <c r="R119">
        <f t="shared" si="34"/>
        <v>4.95</v>
      </c>
      <c r="S119">
        <v>9</v>
      </c>
      <c r="V119" s="52">
        <v>65</v>
      </c>
      <c r="W119" s="52">
        <v>131</v>
      </c>
      <c r="X119" s="50">
        <f t="shared" si="28"/>
        <v>0</v>
      </c>
      <c r="Y119" s="50">
        <f t="shared" si="29"/>
        <v>0</v>
      </c>
      <c r="Z119" s="50">
        <f t="shared" si="30"/>
        <v>0</v>
      </c>
      <c r="AA119" s="50">
        <f t="shared" si="22"/>
        <v>0.003473964010931</v>
      </c>
      <c r="AB119" s="50">
        <f t="shared" si="23"/>
        <v>0.0168139858129061</v>
      </c>
      <c r="AC119" s="50">
        <f t="shared" si="24"/>
        <v>0.055583424174896</v>
      </c>
      <c r="AD119" s="50">
        <f t="shared" si="25"/>
        <v>0.0061229927870983</v>
      </c>
      <c r="AE119" s="50">
        <f t="shared" si="26"/>
        <v>0.0296352850895558</v>
      </c>
      <c r="AF119" s="50">
        <f t="shared" si="27"/>
        <v>0.0979678845935728</v>
      </c>
    </row>
    <row r="120" spans="1:32">
      <c r="A120" s="52">
        <v>65</v>
      </c>
      <c r="B120" s="52">
        <v>133</v>
      </c>
      <c r="C120" s="52">
        <v>0.81176</v>
      </c>
      <c r="D120" s="52">
        <v>0</v>
      </c>
      <c r="E120" s="52">
        <v>0.00263232514177694</v>
      </c>
      <c r="F120" s="52">
        <v>0.00225897920604915</v>
      </c>
      <c r="I120" s="52">
        <v>65</v>
      </c>
      <c r="J120" s="52">
        <v>133</v>
      </c>
      <c r="K120">
        <f t="shared" si="35"/>
        <v>0</v>
      </c>
      <c r="L120">
        <f t="shared" si="19"/>
        <v>0</v>
      </c>
      <c r="M120">
        <v>0</v>
      </c>
      <c r="N120">
        <f t="shared" si="20"/>
        <v>1.57</v>
      </c>
      <c r="O120">
        <f t="shared" si="21"/>
        <v>3.454</v>
      </c>
      <c r="P120">
        <v>6.28</v>
      </c>
      <c r="Q120">
        <f t="shared" si="33"/>
        <v>2.25</v>
      </c>
      <c r="R120">
        <f t="shared" si="34"/>
        <v>4.95</v>
      </c>
      <c r="S120">
        <v>9</v>
      </c>
      <c r="V120" s="52">
        <v>65</v>
      </c>
      <c r="W120" s="52">
        <v>133</v>
      </c>
      <c r="X120" s="50">
        <f t="shared" si="28"/>
        <v>0</v>
      </c>
      <c r="Y120" s="50">
        <f t="shared" si="29"/>
        <v>0</v>
      </c>
      <c r="Z120" s="50">
        <f t="shared" si="30"/>
        <v>0</v>
      </c>
      <c r="AA120" s="50">
        <f t="shared" si="22"/>
        <v>0.0052670383920983</v>
      </c>
      <c r="AB120" s="50">
        <f t="shared" si="23"/>
        <v>0.0254924658177558</v>
      </c>
      <c r="AC120" s="50">
        <f t="shared" si="24"/>
        <v>0.0842726142735728</v>
      </c>
      <c r="AD120" s="50">
        <f t="shared" si="25"/>
        <v>0.00928335411153119</v>
      </c>
      <c r="AE120" s="50">
        <f t="shared" si="26"/>
        <v>0.044931433899811</v>
      </c>
      <c r="AF120" s="50">
        <f t="shared" si="27"/>
        <v>0.148533665784499</v>
      </c>
    </row>
    <row r="121" spans="1:32">
      <c r="A121" s="52">
        <v>72</v>
      </c>
      <c r="B121" s="52">
        <v>119</v>
      </c>
      <c r="C121" s="52">
        <v>0.36812</v>
      </c>
      <c r="D121" s="52">
        <v>0</v>
      </c>
      <c r="E121" s="52">
        <v>0.00263232514177694</v>
      </c>
      <c r="F121" s="52">
        <v>0.00225897920604915</v>
      </c>
      <c r="I121" s="52">
        <v>72</v>
      </c>
      <c r="J121" s="52">
        <v>119</v>
      </c>
      <c r="K121">
        <f t="shared" si="35"/>
        <v>0</v>
      </c>
      <c r="L121">
        <f t="shared" si="19"/>
        <v>0</v>
      </c>
      <c r="M121">
        <v>0</v>
      </c>
      <c r="N121">
        <f t="shared" si="20"/>
        <v>1.57</v>
      </c>
      <c r="O121">
        <f t="shared" si="21"/>
        <v>3.454</v>
      </c>
      <c r="P121">
        <v>6.28</v>
      </c>
      <c r="Q121">
        <f t="shared" si="33"/>
        <v>2.25</v>
      </c>
      <c r="R121">
        <f t="shared" si="34"/>
        <v>4.95</v>
      </c>
      <c r="S121">
        <v>9</v>
      </c>
      <c r="V121" s="52">
        <v>72</v>
      </c>
      <c r="W121" s="52">
        <v>119</v>
      </c>
      <c r="X121" s="50">
        <f t="shared" si="28"/>
        <v>0</v>
      </c>
      <c r="Y121" s="50">
        <f t="shared" si="29"/>
        <v>0</v>
      </c>
      <c r="Z121" s="50">
        <f t="shared" si="30"/>
        <v>0</v>
      </c>
      <c r="AA121" s="50">
        <f t="shared" si="22"/>
        <v>0.00238851652323251</v>
      </c>
      <c r="AB121" s="50">
        <f t="shared" si="23"/>
        <v>0.0115604199724454</v>
      </c>
      <c r="AC121" s="50">
        <f t="shared" si="24"/>
        <v>0.0382162643717202</v>
      </c>
      <c r="AD121" s="50">
        <f t="shared" si="25"/>
        <v>0.00420985059073724</v>
      </c>
      <c r="AE121" s="50">
        <f t="shared" si="26"/>
        <v>0.0203756768591682</v>
      </c>
      <c r="AF121" s="50">
        <f t="shared" si="27"/>
        <v>0.0673576094517958</v>
      </c>
    </row>
    <row r="122" spans="1:32">
      <c r="A122" s="52">
        <v>85</v>
      </c>
      <c r="B122" s="52">
        <v>111</v>
      </c>
      <c r="C122" s="52">
        <v>0.3115</v>
      </c>
      <c r="D122" s="52">
        <v>0</v>
      </c>
      <c r="E122" s="52">
        <v>0.00263232514177694</v>
      </c>
      <c r="F122" s="52">
        <v>0.00225897920604915</v>
      </c>
      <c r="I122" s="52">
        <v>85</v>
      </c>
      <c r="J122" s="52">
        <v>111</v>
      </c>
      <c r="K122">
        <f t="shared" si="35"/>
        <v>0</v>
      </c>
      <c r="L122">
        <f t="shared" si="19"/>
        <v>0</v>
      </c>
      <c r="M122">
        <v>0</v>
      </c>
      <c r="N122">
        <f t="shared" si="20"/>
        <v>1.57</v>
      </c>
      <c r="O122">
        <f t="shared" si="21"/>
        <v>3.454</v>
      </c>
      <c r="P122">
        <v>6.28</v>
      </c>
      <c r="Q122">
        <f t="shared" si="33"/>
        <v>2.25</v>
      </c>
      <c r="R122">
        <f t="shared" si="34"/>
        <v>4.95</v>
      </c>
      <c r="S122">
        <v>9</v>
      </c>
      <c r="V122" s="52">
        <v>85</v>
      </c>
      <c r="W122" s="52">
        <v>111</v>
      </c>
      <c r="X122" s="50">
        <f t="shared" si="28"/>
        <v>0</v>
      </c>
      <c r="Y122" s="50">
        <f t="shared" si="29"/>
        <v>0</v>
      </c>
      <c r="Z122" s="50">
        <f t="shared" si="30"/>
        <v>0</v>
      </c>
      <c r="AA122" s="50">
        <f t="shared" si="22"/>
        <v>0.0020211422823724</v>
      </c>
      <c r="AB122" s="50">
        <f t="shared" si="23"/>
        <v>0.00978232864668242</v>
      </c>
      <c r="AC122" s="50">
        <f t="shared" si="24"/>
        <v>0.0323382765179584</v>
      </c>
      <c r="AD122" s="50">
        <f t="shared" si="25"/>
        <v>0.00356233961483932</v>
      </c>
      <c r="AE122" s="50">
        <f t="shared" si="26"/>
        <v>0.0172417237358223</v>
      </c>
      <c r="AF122" s="50">
        <f t="shared" si="27"/>
        <v>0.0569974338374291</v>
      </c>
    </row>
    <row r="123" spans="1:32">
      <c r="A123" s="52">
        <v>94</v>
      </c>
      <c r="B123" s="52">
        <v>106</v>
      </c>
      <c r="C123" s="52">
        <v>0.02831</v>
      </c>
      <c r="D123" s="52">
        <v>0</v>
      </c>
      <c r="E123" s="52">
        <v>0.00263232514177694</v>
      </c>
      <c r="F123" s="52">
        <v>0.00225897920604915</v>
      </c>
      <c r="I123" s="52">
        <v>94</v>
      </c>
      <c r="J123" s="52">
        <v>106</v>
      </c>
      <c r="K123">
        <f t="shared" si="35"/>
        <v>0</v>
      </c>
      <c r="L123">
        <f t="shared" si="19"/>
        <v>0</v>
      </c>
      <c r="M123">
        <v>0</v>
      </c>
      <c r="N123">
        <f t="shared" si="20"/>
        <v>1.57</v>
      </c>
      <c r="O123">
        <f t="shared" si="21"/>
        <v>3.454</v>
      </c>
      <c r="P123">
        <v>6.28</v>
      </c>
      <c r="Q123">
        <f t="shared" si="33"/>
        <v>2.25</v>
      </c>
      <c r="R123">
        <f t="shared" si="34"/>
        <v>4.95</v>
      </c>
      <c r="S123">
        <v>9</v>
      </c>
      <c r="V123" s="52">
        <v>94</v>
      </c>
      <c r="W123" s="52">
        <v>106</v>
      </c>
      <c r="X123" s="50">
        <f t="shared" si="28"/>
        <v>0</v>
      </c>
      <c r="Y123" s="50">
        <f t="shared" si="29"/>
        <v>0</v>
      </c>
      <c r="Z123" s="50">
        <f t="shared" si="30"/>
        <v>0</v>
      </c>
      <c r="AA123" s="50">
        <f t="shared" si="22"/>
        <v>0.000183687120430057</v>
      </c>
      <c r="AB123" s="50">
        <f t="shared" si="23"/>
        <v>0.000889045662881475</v>
      </c>
      <c r="AC123" s="50">
        <f t="shared" si="24"/>
        <v>0.00293899392688091</v>
      </c>
      <c r="AD123" s="50">
        <f t="shared" si="25"/>
        <v>0.00032375548794896</v>
      </c>
      <c r="AE123" s="50">
        <f t="shared" si="26"/>
        <v>0.00156697656167297</v>
      </c>
      <c r="AF123" s="50">
        <f t="shared" si="27"/>
        <v>0.00518008780718336</v>
      </c>
    </row>
    <row r="124" spans="1:32">
      <c r="A124" s="52">
        <v>94</v>
      </c>
      <c r="B124" s="52">
        <v>110</v>
      </c>
      <c r="C124" s="52">
        <v>1.633</v>
      </c>
      <c r="D124" s="52">
        <v>0</v>
      </c>
      <c r="E124" s="52">
        <v>0.00263232514177694</v>
      </c>
      <c r="F124" s="52">
        <v>0.00225897920604915</v>
      </c>
      <c r="I124" s="52">
        <v>94</v>
      </c>
      <c r="J124" s="52">
        <v>110</v>
      </c>
      <c r="K124">
        <f t="shared" si="35"/>
        <v>0</v>
      </c>
      <c r="L124">
        <f t="shared" si="19"/>
        <v>0</v>
      </c>
      <c r="M124">
        <v>0</v>
      </c>
      <c r="N124">
        <f t="shared" si="20"/>
        <v>1.57</v>
      </c>
      <c r="O124">
        <f t="shared" si="21"/>
        <v>3.454</v>
      </c>
      <c r="P124">
        <v>6.28</v>
      </c>
      <c r="Q124">
        <f t="shared" si="33"/>
        <v>2.25</v>
      </c>
      <c r="R124">
        <f t="shared" si="34"/>
        <v>4.95</v>
      </c>
      <c r="S124">
        <v>9</v>
      </c>
      <c r="V124" s="52">
        <v>94</v>
      </c>
      <c r="W124" s="52">
        <v>110</v>
      </c>
      <c r="X124" s="50">
        <f t="shared" si="28"/>
        <v>0</v>
      </c>
      <c r="Y124" s="50">
        <f t="shared" si="29"/>
        <v>0</v>
      </c>
      <c r="Z124" s="50">
        <f t="shared" si="30"/>
        <v>0</v>
      </c>
      <c r="AA124" s="50">
        <f t="shared" si="22"/>
        <v>0.0105955869891304</v>
      </c>
      <c r="AB124" s="50">
        <f t="shared" si="23"/>
        <v>0.0512826410273913</v>
      </c>
      <c r="AC124" s="50">
        <f t="shared" si="24"/>
        <v>0.169529391826087</v>
      </c>
      <c r="AD124" s="50">
        <f t="shared" si="25"/>
        <v>0.0186751222826087</v>
      </c>
      <c r="AE124" s="50">
        <f t="shared" si="26"/>
        <v>0.0903875918478261</v>
      </c>
      <c r="AF124" s="50">
        <f t="shared" si="27"/>
        <v>0.298801956521739</v>
      </c>
    </row>
    <row r="125" spans="1:32">
      <c r="A125" s="52">
        <v>100</v>
      </c>
      <c r="B125" s="52">
        <v>128</v>
      </c>
      <c r="C125" s="52">
        <v>0.11327</v>
      </c>
      <c r="D125" s="52">
        <v>0</v>
      </c>
      <c r="E125" s="52">
        <v>0.00263232514177694</v>
      </c>
      <c r="F125" s="52">
        <v>0.00225897920604915</v>
      </c>
      <c r="I125" s="52">
        <v>100</v>
      </c>
      <c r="J125" s="52">
        <v>128</v>
      </c>
      <c r="K125">
        <f t="shared" si="35"/>
        <v>0</v>
      </c>
      <c r="L125">
        <f t="shared" si="19"/>
        <v>0</v>
      </c>
      <c r="M125">
        <v>0</v>
      </c>
      <c r="N125">
        <f t="shared" si="20"/>
        <v>1.57</v>
      </c>
      <c r="O125">
        <f t="shared" si="21"/>
        <v>3.454</v>
      </c>
      <c r="P125">
        <v>6.28</v>
      </c>
      <c r="Q125">
        <f t="shared" si="33"/>
        <v>2.25</v>
      </c>
      <c r="R125">
        <f t="shared" si="34"/>
        <v>4.95</v>
      </c>
      <c r="S125">
        <v>9</v>
      </c>
      <c r="V125" s="52">
        <v>100</v>
      </c>
      <c r="W125" s="52">
        <v>128</v>
      </c>
      <c r="X125" s="50">
        <f t="shared" si="28"/>
        <v>0</v>
      </c>
      <c r="Y125" s="50">
        <f t="shared" si="29"/>
        <v>0</v>
      </c>
      <c r="Z125" s="50">
        <f t="shared" si="30"/>
        <v>0</v>
      </c>
      <c r="AA125" s="50">
        <f t="shared" si="22"/>
        <v>0.000734943134267486</v>
      </c>
      <c r="AB125" s="50">
        <f t="shared" si="23"/>
        <v>0.00355712476985463</v>
      </c>
      <c r="AC125" s="50">
        <f t="shared" si="24"/>
        <v>0.0117590901482798</v>
      </c>
      <c r="AD125" s="50">
        <f t="shared" si="25"/>
        <v>0.00129536503426276</v>
      </c>
      <c r="AE125" s="50">
        <f t="shared" si="26"/>
        <v>0.00626956676583176</v>
      </c>
      <c r="AF125" s="50">
        <f t="shared" si="27"/>
        <v>0.0207258405482042</v>
      </c>
    </row>
    <row r="126" spans="1:32">
      <c r="A126" s="52">
        <v>101</v>
      </c>
      <c r="B126" s="52">
        <v>102</v>
      </c>
      <c r="C126" s="52">
        <v>0.55651</v>
      </c>
      <c r="D126" s="52">
        <v>0</v>
      </c>
      <c r="E126" s="52">
        <v>0.00263232514177694</v>
      </c>
      <c r="F126" s="52">
        <v>0.00225897920604915</v>
      </c>
      <c r="I126" s="52">
        <v>101</v>
      </c>
      <c r="J126" s="52">
        <v>102</v>
      </c>
      <c r="K126">
        <f t="shared" si="35"/>
        <v>0</v>
      </c>
      <c r="L126">
        <f t="shared" si="19"/>
        <v>0</v>
      </c>
      <c r="M126">
        <v>0</v>
      </c>
      <c r="N126">
        <f t="shared" si="20"/>
        <v>1.57</v>
      </c>
      <c r="O126">
        <f t="shared" si="21"/>
        <v>3.454</v>
      </c>
      <c r="P126">
        <v>6.28</v>
      </c>
      <c r="Q126">
        <f t="shared" si="33"/>
        <v>2.25</v>
      </c>
      <c r="R126">
        <f t="shared" si="34"/>
        <v>4.95</v>
      </c>
      <c r="S126">
        <v>9</v>
      </c>
      <c r="V126" s="52">
        <v>101</v>
      </c>
      <c r="W126" s="52">
        <v>102</v>
      </c>
      <c r="X126" s="50">
        <f t="shared" si="28"/>
        <v>0</v>
      </c>
      <c r="Y126" s="50">
        <f t="shared" si="29"/>
        <v>0</v>
      </c>
      <c r="Z126" s="50">
        <f t="shared" si="30"/>
        <v>0</v>
      </c>
      <c r="AA126" s="50">
        <f t="shared" si="22"/>
        <v>0.00361086963583648</v>
      </c>
      <c r="AB126" s="50">
        <f t="shared" si="23"/>
        <v>0.0174766090374486</v>
      </c>
      <c r="AC126" s="50">
        <f t="shared" si="24"/>
        <v>0.0577739141733837</v>
      </c>
      <c r="AD126" s="50">
        <f t="shared" si="25"/>
        <v>0.00636429412216446</v>
      </c>
      <c r="AE126" s="50">
        <f t="shared" si="26"/>
        <v>0.030803183551276</v>
      </c>
      <c r="AF126" s="50">
        <f t="shared" si="27"/>
        <v>0.101828705954631</v>
      </c>
    </row>
    <row r="127" spans="1:32">
      <c r="A127" s="52">
        <v>102</v>
      </c>
      <c r="B127" s="52">
        <v>103</v>
      </c>
      <c r="C127" s="52">
        <v>1.05191</v>
      </c>
      <c r="D127" s="52">
        <v>0</v>
      </c>
      <c r="E127" s="52">
        <v>0.00263232514177694</v>
      </c>
      <c r="F127" s="52">
        <v>0.00225897920604915</v>
      </c>
      <c r="I127" s="52">
        <v>102</v>
      </c>
      <c r="J127" s="52">
        <v>103</v>
      </c>
      <c r="K127">
        <f t="shared" si="35"/>
        <v>0</v>
      </c>
      <c r="L127">
        <f t="shared" si="19"/>
        <v>0</v>
      </c>
      <c r="M127">
        <v>0</v>
      </c>
      <c r="N127">
        <f t="shared" si="20"/>
        <v>1.57</v>
      </c>
      <c r="O127">
        <f t="shared" si="21"/>
        <v>3.454</v>
      </c>
      <c r="P127">
        <v>6.28</v>
      </c>
      <c r="Q127">
        <f t="shared" si="33"/>
        <v>2.25</v>
      </c>
      <c r="R127">
        <f t="shared" si="34"/>
        <v>4.95</v>
      </c>
      <c r="S127">
        <v>9</v>
      </c>
      <c r="V127" s="52">
        <v>102</v>
      </c>
      <c r="W127" s="52">
        <v>103</v>
      </c>
      <c r="X127" s="50">
        <f t="shared" si="28"/>
        <v>0</v>
      </c>
      <c r="Y127" s="50">
        <f t="shared" si="29"/>
        <v>0</v>
      </c>
      <c r="Z127" s="50">
        <f t="shared" si="30"/>
        <v>0</v>
      </c>
      <c r="AA127" s="50">
        <f t="shared" si="22"/>
        <v>0.00682523203290643</v>
      </c>
      <c r="AB127" s="50">
        <f t="shared" si="23"/>
        <v>0.0330341230392671</v>
      </c>
      <c r="AC127" s="50">
        <f t="shared" si="24"/>
        <v>0.109203712526503</v>
      </c>
      <c r="AD127" s="50">
        <f t="shared" si="25"/>
        <v>0.0120297292592155</v>
      </c>
      <c r="AE127" s="50">
        <f t="shared" si="26"/>
        <v>0.058223889614603</v>
      </c>
      <c r="AF127" s="50">
        <f t="shared" si="27"/>
        <v>0.192475668147448</v>
      </c>
    </row>
    <row r="128" spans="1:32">
      <c r="A128" s="52">
        <v>104</v>
      </c>
      <c r="B128" s="52">
        <v>105</v>
      </c>
      <c r="C128" s="52">
        <v>0.59966</v>
      </c>
      <c r="D128" s="52">
        <v>0</v>
      </c>
      <c r="E128" s="52">
        <v>0.00263232514177694</v>
      </c>
      <c r="F128" s="52">
        <v>0.00225897920604915</v>
      </c>
      <c r="I128" s="52">
        <v>104</v>
      </c>
      <c r="J128" s="52">
        <v>105</v>
      </c>
      <c r="K128">
        <f t="shared" si="35"/>
        <v>0</v>
      </c>
      <c r="L128">
        <f t="shared" si="19"/>
        <v>0</v>
      </c>
      <c r="M128">
        <v>0</v>
      </c>
      <c r="N128">
        <f t="shared" si="20"/>
        <v>1.57</v>
      </c>
      <c r="O128">
        <f t="shared" si="21"/>
        <v>3.454</v>
      </c>
      <c r="P128">
        <v>6.28</v>
      </c>
      <c r="Q128">
        <f t="shared" si="33"/>
        <v>2.25</v>
      </c>
      <c r="R128">
        <f t="shared" si="34"/>
        <v>4.95</v>
      </c>
      <c r="S128">
        <v>9</v>
      </c>
      <c r="V128" s="52">
        <v>104</v>
      </c>
      <c r="W128" s="52">
        <v>105</v>
      </c>
      <c r="X128" s="50">
        <f t="shared" si="28"/>
        <v>0</v>
      </c>
      <c r="Y128" s="50">
        <f t="shared" si="29"/>
        <v>0</v>
      </c>
      <c r="Z128" s="50">
        <f t="shared" si="30"/>
        <v>0</v>
      </c>
      <c r="AA128" s="50">
        <f t="shared" si="22"/>
        <v>0.00389084488297732</v>
      </c>
      <c r="AB128" s="50">
        <f t="shared" si="23"/>
        <v>0.0188316892336102</v>
      </c>
      <c r="AC128" s="50">
        <f t="shared" si="24"/>
        <v>0.0622535181276371</v>
      </c>
      <c r="AD128" s="50">
        <f t="shared" si="25"/>
        <v>0.00685776107041588</v>
      </c>
      <c r="AE128" s="50">
        <f t="shared" si="26"/>
        <v>0.0331915635808129</v>
      </c>
      <c r="AF128" s="50">
        <f t="shared" si="27"/>
        <v>0.109724177126654</v>
      </c>
    </row>
    <row r="129" spans="1:32">
      <c r="A129" s="52">
        <v>105</v>
      </c>
      <c r="B129" s="52">
        <v>122</v>
      </c>
      <c r="C129" s="52">
        <v>0.24542</v>
      </c>
      <c r="D129" s="52">
        <v>0</v>
      </c>
      <c r="E129" s="52">
        <v>0.00263232514177694</v>
      </c>
      <c r="F129" s="52">
        <v>0.00225897920604915</v>
      </c>
      <c r="I129" s="52">
        <v>105</v>
      </c>
      <c r="J129" s="52">
        <v>122</v>
      </c>
      <c r="K129">
        <f t="shared" si="35"/>
        <v>0</v>
      </c>
      <c r="L129">
        <f t="shared" si="19"/>
        <v>0</v>
      </c>
      <c r="M129">
        <v>0</v>
      </c>
      <c r="N129">
        <f t="shared" si="20"/>
        <v>1.57</v>
      </c>
      <c r="O129">
        <f t="shared" si="21"/>
        <v>3.454</v>
      </c>
      <c r="P129">
        <v>6.28</v>
      </c>
      <c r="Q129">
        <f t="shared" si="33"/>
        <v>2.25</v>
      </c>
      <c r="R129">
        <f t="shared" si="34"/>
        <v>4.95</v>
      </c>
      <c r="S129">
        <v>9</v>
      </c>
      <c r="V129" s="52">
        <v>105</v>
      </c>
      <c r="W129" s="52">
        <v>122</v>
      </c>
      <c r="X129" s="50">
        <f t="shared" si="28"/>
        <v>0</v>
      </c>
      <c r="Y129" s="50">
        <f t="shared" si="29"/>
        <v>0</v>
      </c>
      <c r="Z129" s="50">
        <f t="shared" si="30"/>
        <v>0</v>
      </c>
      <c r="AA129" s="50">
        <f t="shared" si="22"/>
        <v>0.00159238760494329</v>
      </c>
      <c r="AB129" s="50">
        <f t="shared" si="23"/>
        <v>0.00770715600792552</v>
      </c>
      <c r="AC129" s="50">
        <f t="shared" si="24"/>
        <v>0.0254782016790926</v>
      </c>
      <c r="AD129" s="50">
        <f t="shared" si="25"/>
        <v>0.0028066433010397</v>
      </c>
      <c r="AE129" s="50">
        <f t="shared" si="26"/>
        <v>0.0135841535770321</v>
      </c>
      <c r="AF129" s="50">
        <f t="shared" si="27"/>
        <v>0.0449062928166352</v>
      </c>
    </row>
    <row r="130" spans="1:32">
      <c r="A130" s="52">
        <v>106</v>
      </c>
      <c r="B130" s="52">
        <v>107</v>
      </c>
      <c r="C130" s="52">
        <v>0.29733</v>
      </c>
      <c r="D130" s="52">
        <v>0</v>
      </c>
      <c r="E130" s="52">
        <v>0.00263232514177694</v>
      </c>
      <c r="F130" s="52">
        <v>0.00225897920604915</v>
      </c>
      <c r="I130" s="52">
        <v>106</v>
      </c>
      <c r="J130" s="52">
        <v>107</v>
      </c>
      <c r="K130">
        <f t="shared" si="35"/>
        <v>0</v>
      </c>
      <c r="L130">
        <f t="shared" si="19"/>
        <v>0</v>
      </c>
      <c r="M130">
        <v>0</v>
      </c>
      <c r="N130">
        <f t="shared" si="20"/>
        <v>1.57</v>
      </c>
      <c r="O130">
        <f t="shared" si="21"/>
        <v>3.454</v>
      </c>
      <c r="P130">
        <v>6.28</v>
      </c>
      <c r="Q130">
        <f t="shared" si="33"/>
        <v>2.25</v>
      </c>
      <c r="R130">
        <f t="shared" si="34"/>
        <v>4.95</v>
      </c>
      <c r="S130">
        <v>9</v>
      </c>
      <c r="V130" s="52">
        <v>106</v>
      </c>
      <c r="W130" s="52">
        <v>107</v>
      </c>
      <c r="X130" s="50">
        <f t="shared" si="28"/>
        <v>0</v>
      </c>
      <c r="Y130" s="50">
        <f t="shared" si="29"/>
        <v>0</v>
      </c>
      <c r="Z130" s="50">
        <f t="shared" si="30"/>
        <v>0</v>
      </c>
      <c r="AA130" s="50">
        <f t="shared" si="22"/>
        <v>0.00192920139588374</v>
      </c>
      <c r="AB130" s="50">
        <f t="shared" si="23"/>
        <v>0.00933733475607732</v>
      </c>
      <c r="AC130" s="50">
        <f t="shared" si="24"/>
        <v>0.0308672223341399</v>
      </c>
      <c r="AD130" s="50">
        <f t="shared" si="25"/>
        <v>0.00340029032963138</v>
      </c>
      <c r="AE130" s="50">
        <f t="shared" si="26"/>
        <v>0.0164574051954159</v>
      </c>
      <c r="AF130" s="50">
        <f t="shared" si="27"/>
        <v>0.0544046452741021</v>
      </c>
    </row>
    <row r="131" spans="1:32">
      <c r="A131" s="52">
        <v>107</v>
      </c>
      <c r="B131" s="52">
        <v>122</v>
      </c>
      <c r="C131" s="52">
        <v>0.34924</v>
      </c>
      <c r="D131" s="52">
        <v>0</v>
      </c>
      <c r="E131" s="52">
        <v>0.00263232514177694</v>
      </c>
      <c r="F131" s="52">
        <v>0.00225897920604915</v>
      </c>
      <c r="I131" s="52">
        <v>107</v>
      </c>
      <c r="J131" s="52">
        <v>122</v>
      </c>
      <c r="K131">
        <f t="shared" si="35"/>
        <v>0</v>
      </c>
      <c r="L131">
        <f t="shared" si="19"/>
        <v>0</v>
      </c>
      <c r="M131">
        <v>0</v>
      </c>
      <c r="N131">
        <f t="shared" si="20"/>
        <v>1.57</v>
      </c>
      <c r="O131">
        <f t="shared" si="21"/>
        <v>3.454</v>
      </c>
      <c r="P131">
        <v>6.28</v>
      </c>
      <c r="Q131">
        <f t="shared" si="33"/>
        <v>2.25</v>
      </c>
      <c r="R131">
        <f t="shared" si="34"/>
        <v>4.95</v>
      </c>
      <c r="S131">
        <v>9</v>
      </c>
      <c r="V131" s="52">
        <v>107</v>
      </c>
      <c r="W131" s="52">
        <v>122</v>
      </c>
      <c r="X131" s="50">
        <f t="shared" si="28"/>
        <v>0</v>
      </c>
      <c r="Y131" s="50">
        <f t="shared" si="29"/>
        <v>0</v>
      </c>
      <c r="Z131" s="50">
        <f t="shared" si="30"/>
        <v>0</v>
      </c>
      <c r="AA131" s="50">
        <f t="shared" si="22"/>
        <v>0.0022660151868242</v>
      </c>
      <c r="AB131" s="50">
        <f t="shared" si="23"/>
        <v>0.0109675135042291</v>
      </c>
      <c r="AC131" s="50">
        <f t="shared" si="24"/>
        <v>0.0362562429891871</v>
      </c>
      <c r="AD131" s="50">
        <f t="shared" si="25"/>
        <v>0.00399393735822306</v>
      </c>
      <c r="AE131" s="50">
        <f t="shared" si="26"/>
        <v>0.0193306568137996</v>
      </c>
      <c r="AF131" s="50">
        <f t="shared" si="27"/>
        <v>0.063902997731569</v>
      </c>
    </row>
    <row r="132" spans="1:32">
      <c r="A132" s="52">
        <v>107</v>
      </c>
      <c r="B132" s="52">
        <v>125</v>
      </c>
      <c r="C132" s="52">
        <v>1.10855</v>
      </c>
      <c r="D132" s="52">
        <v>0</v>
      </c>
      <c r="E132" s="52">
        <v>0.00263232514177694</v>
      </c>
      <c r="F132" s="52">
        <v>0.00225897920604915</v>
      </c>
      <c r="I132" s="52">
        <v>107</v>
      </c>
      <c r="J132" s="52">
        <v>125</v>
      </c>
      <c r="K132">
        <f t="shared" si="35"/>
        <v>0</v>
      </c>
      <c r="L132">
        <f t="shared" ref="L132:L153" si="36">M132*0.55</f>
        <v>0</v>
      </c>
      <c r="M132">
        <v>0</v>
      </c>
      <c r="N132">
        <f t="shared" ref="N132:N153" si="37">P132*0.25</f>
        <v>1.57</v>
      </c>
      <c r="O132">
        <f t="shared" ref="O132:O153" si="38">P132*0.55</f>
        <v>3.454</v>
      </c>
      <c r="P132">
        <v>6.28</v>
      </c>
      <c r="Q132">
        <f t="shared" si="33"/>
        <v>2.25</v>
      </c>
      <c r="R132">
        <f t="shared" si="34"/>
        <v>4.95</v>
      </c>
      <c r="S132">
        <v>9</v>
      </c>
      <c r="V132" s="52">
        <v>107</v>
      </c>
      <c r="W132" s="52">
        <v>125</v>
      </c>
      <c r="X132" s="50">
        <f t="shared" si="28"/>
        <v>0</v>
      </c>
      <c r="Y132" s="50">
        <f t="shared" si="29"/>
        <v>0</v>
      </c>
      <c r="Z132" s="50">
        <f t="shared" si="30"/>
        <v>0</v>
      </c>
      <c r="AA132" s="50">
        <f t="shared" ref="AA132:AA153" si="39">N132^2*E132*C132</f>
        <v>0.00719273604213138</v>
      </c>
      <c r="AB132" s="50">
        <f t="shared" ref="AB132:AB153" si="40">O132^2*E132*C132</f>
        <v>0.0348128424439159</v>
      </c>
      <c r="AC132" s="50">
        <f t="shared" ref="AC132:AC153" si="41">P132^2*E132*C132</f>
        <v>0.115083776674102</v>
      </c>
      <c r="AD132" s="50">
        <f t="shared" ref="AD132:AD153" si="42">Q132^2*F132*C132</f>
        <v>0.012677468956758</v>
      </c>
      <c r="AE132" s="50">
        <f t="shared" ref="AE132:AE153" si="43">R132^2*F132*C132</f>
        <v>0.0613589497507089</v>
      </c>
      <c r="AF132" s="50">
        <f t="shared" ref="AF132:AF153" si="44">S132^2*F132*C132</f>
        <v>0.202839503308129</v>
      </c>
    </row>
    <row r="133" spans="1:32">
      <c r="A133" s="52">
        <v>108</v>
      </c>
      <c r="B133" s="52">
        <v>109</v>
      </c>
      <c r="C133" s="52">
        <v>0.23125</v>
      </c>
      <c r="D133" s="52">
        <v>0</v>
      </c>
      <c r="E133" s="52">
        <v>0.00263232514177694</v>
      </c>
      <c r="F133" s="52">
        <v>0.00225897920604915</v>
      </c>
      <c r="I133" s="52">
        <v>108</v>
      </c>
      <c r="J133" s="52">
        <v>109</v>
      </c>
      <c r="K133">
        <f t="shared" si="35"/>
        <v>0</v>
      </c>
      <c r="L133">
        <f t="shared" si="36"/>
        <v>0</v>
      </c>
      <c r="M133">
        <v>0</v>
      </c>
      <c r="N133">
        <f t="shared" si="37"/>
        <v>1.57</v>
      </c>
      <c r="O133">
        <f t="shared" si="38"/>
        <v>3.454</v>
      </c>
      <c r="P133">
        <v>6.28</v>
      </c>
      <c r="Q133">
        <f t="shared" si="33"/>
        <v>2.25</v>
      </c>
      <c r="R133">
        <f t="shared" si="34"/>
        <v>4.95</v>
      </c>
      <c r="S133">
        <v>9</v>
      </c>
      <c r="V133" s="52">
        <v>108</v>
      </c>
      <c r="W133" s="52">
        <v>109</v>
      </c>
      <c r="X133" s="50">
        <f t="shared" ref="X133:X153" si="45">K133^2*D133*C133</f>
        <v>0</v>
      </c>
      <c r="Y133" s="50">
        <f t="shared" ref="Y133:Y153" si="46">L133^2*D133*C133</f>
        <v>0</v>
      </c>
      <c r="Z133" s="50">
        <f t="shared" ref="Z133:Z153" si="47">M133^2*D133*C133</f>
        <v>0</v>
      </c>
      <c r="AA133" s="50">
        <f t="shared" si="39"/>
        <v>0.00150044671845463</v>
      </c>
      <c r="AB133" s="50">
        <f t="shared" si="40"/>
        <v>0.00726216211732042</v>
      </c>
      <c r="AC133" s="50">
        <f t="shared" si="41"/>
        <v>0.0240071474952741</v>
      </c>
      <c r="AD133" s="50">
        <f t="shared" si="42"/>
        <v>0.00264459401583176</v>
      </c>
      <c r="AE133" s="50">
        <f t="shared" si="43"/>
        <v>0.0127998350366257</v>
      </c>
      <c r="AF133" s="50">
        <f t="shared" si="44"/>
        <v>0.0423135042533081</v>
      </c>
    </row>
    <row r="134" spans="1:32">
      <c r="A134" s="52">
        <v>108</v>
      </c>
      <c r="B134" s="52">
        <v>122</v>
      </c>
      <c r="C134" s="52">
        <v>0.40588</v>
      </c>
      <c r="D134" s="52">
        <v>0</v>
      </c>
      <c r="E134" s="52">
        <v>0.00263232514177694</v>
      </c>
      <c r="F134" s="52">
        <v>0.00225897920604915</v>
      </c>
      <c r="I134" s="52">
        <v>108</v>
      </c>
      <c r="J134" s="52">
        <v>122</v>
      </c>
      <c r="K134">
        <f t="shared" si="35"/>
        <v>0</v>
      </c>
      <c r="L134">
        <f t="shared" si="36"/>
        <v>0</v>
      </c>
      <c r="M134">
        <v>0</v>
      </c>
      <c r="N134">
        <f t="shared" si="37"/>
        <v>1.57</v>
      </c>
      <c r="O134">
        <f t="shared" si="38"/>
        <v>3.454</v>
      </c>
      <c r="P134">
        <v>6.28</v>
      </c>
      <c r="Q134">
        <f t="shared" si="33"/>
        <v>2.25</v>
      </c>
      <c r="R134">
        <f t="shared" si="34"/>
        <v>4.95</v>
      </c>
      <c r="S134">
        <v>9</v>
      </c>
      <c r="V134" s="52">
        <v>108</v>
      </c>
      <c r="W134" s="52">
        <v>122</v>
      </c>
      <c r="X134" s="50">
        <f t="shared" si="45"/>
        <v>0</v>
      </c>
      <c r="Y134" s="50">
        <f t="shared" si="46"/>
        <v>0</v>
      </c>
      <c r="Z134" s="50">
        <f t="shared" si="47"/>
        <v>0</v>
      </c>
      <c r="AA134" s="50">
        <f t="shared" si="39"/>
        <v>0.00263351919604915</v>
      </c>
      <c r="AB134" s="50">
        <f t="shared" si="40"/>
        <v>0.0127462329088779</v>
      </c>
      <c r="AC134" s="50">
        <f t="shared" si="41"/>
        <v>0.0421363071367864</v>
      </c>
      <c r="AD134" s="50">
        <f t="shared" si="42"/>
        <v>0.0046416770557656</v>
      </c>
      <c r="AE134" s="50">
        <f t="shared" si="43"/>
        <v>0.0224657169499055</v>
      </c>
      <c r="AF134" s="50">
        <f t="shared" si="44"/>
        <v>0.0742668328922495</v>
      </c>
    </row>
    <row r="135" spans="1:32">
      <c r="A135" s="52">
        <v>109</v>
      </c>
      <c r="B135" s="52">
        <v>110</v>
      </c>
      <c r="C135" s="52">
        <v>0.53462</v>
      </c>
      <c r="D135" s="52">
        <v>0</v>
      </c>
      <c r="E135" s="52">
        <v>0.00263232514177694</v>
      </c>
      <c r="F135" s="52">
        <v>0.00225897920604915</v>
      </c>
      <c r="I135" s="52">
        <v>109</v>
      </c>
      <c r="J135" s="52">
        <v>110</v>
      </c>
      <c r="K135">
        <f t="shared" si="35"/>
        <v>0</v>
      </c>
      <c r="L135">
        <f t="shared" si="36"/>
        <v>0</v>
      </c>
      <c r="M135">
        <v>0</v>
      </c>
      <c r="N135">
        <f t="shared" si="37"/>
        <v>1.57</v>
      </c>
      <c r="O135">
        <f t="shared" si="38"/>
        <v>3.454</v>
      </c>
      <c r="P135">
        <v>6.28</v>
      </c>
      <c r="Q135">
        <f t="shared" si="33"/>
        <v>2.25</v>
      </c>
      <c r="R135">
        <f t="shared" si="34"/>
        <v>4.95</v>
      </c>
      <c r="S135">
        <v>9</v>
      </c>
      <c r="V135" s="52">
        <v>109</v>
      </c>
      <c r="W135" s="52">
        <v>110</v>
      </c>
      <c r="X135" s="50">
        <f t="shared" si="45"/>
        <v>0</v>
      </c>
      <c r="Y135" s="50">
        <f t="shared" si="46"/>
        <v>0</v>
      </c>
      <c r="Z135" s="50">
        <f t="shared" si="47"/>
        <v>0</v>
      </c>
      <c r="AA135" s="50">
        <f t="shared" si="39"/>
        <v>0.00346883816051985</v>
      </c>
      <c r="AB135" s="50">
        <f t="shared" si="40"/>
        <v>0.0167891766969161</v>
      </c>
      <c r="AC135" s="50">
        <f t="shared" si="41"/>
        <v>0.0555014105683176</v>
      </c>
      <c r="AD135" s="50">
        <f t="shared" si="42"/>
        <v>0.00611395828213611</v>
      </c>
      <c r="AE135" s="50">
        <f t="shared" si="43"/>
        <v>0.0295915580855388</v>
      </c>
      <c r="AF135" s="50">
        <f t="shared" si="44"/>
        <v>0.0978233325141777</v>
      </c>
    </row>
    <row r="136" spans="1:32">
      <c r="A136" s="52">
        <v>111</v>
      </c>
      <c r="B136" s="52">
        <v>112</v>
      </c>
      <c r="C136" s="52">
        <v>0.56136</v>
      </c>
      <c r="D136" s="52">
        <v>0</v>
      </c>
      <c r="E136" s="52">
        <v>0.00263232514177694</v>
      </c>
      <c r="F136" s="52">
        <v>0.00225897920604915</v>
      </c>
      <c r="I136" s="52">
        <v>111</v>
      </c>
      <c r="J136" s="52">
        <v>112</v>
      </c>
      <c r="K136">
        <f t="shared" si="35"/>
        <v>0</v>
      </c>
      <c r="L136">
        <f t="shared" si="36"/>
        <v>0</v>
      </c>
      <c r="M136">
        <v>0</v>
      </c>
      <c r="N136">
        <f t="shared" si="37"/>
        <v>1.57</v>
      </c>
      <c r="O136">
        <f t="shared" si="38"/>
        <v>3.454</v>
      </c>
      <c r="P136">
        <v>6.28</v>
      </c>
      <c r="Q136">
        <f t="shared" si="33"/>
        <v>2.25</v>
      </c>
      <c r="R136">
        <f t="shared" si="34"/>
        <v>4.95</v>
      </c>
      <c r="S136">
        <v>9</v>
      </c>
      <c r="V136" s="52">
        <v>111</v>
      </c>
      <c r="W136" s="52">
        <v>112</v>
      </c>
      <c r="X136" s="50">
        <f t="shared" si="45"/>
        <v>0</v>
      </c>
      <c r="Y136" s="50">
        <f t="shared" si="46"/>
        <v>0</v>
      </c>
      <c r="Z136" s="50">
        <f t="shared" si="47"/>
        <v>0</v>
      </c>
      <c r="AA136" s="50">
        <f t="shared" si="39"/>
        <v>0.00364233846431002</v>
      </c>
      <c r="AB136" s="50">
        <f t="shared" si="40"/>
        <v>0.0176289181672605</v>
      </c>
      <c r="AC136" s="50">
        <f t="shared" si="41"/>
        <v>0.0582774154289603</v>
      </c>
      <c r="AD136" s="50">
        <f t="shared" si="42"/>
        <v>0.00641975912098299</v>
      </c>
      <c r="AE136" s="50">
        <f t="shared" si="43"/>
        <v>0.0310716341455577</v>
      </c>
      <c r="AF136" s="50">
        <f t="shared" si="44"/>
        <v>0.102716145935728</v>
      </c>
    </row>
    <row r="137" spans="1:32">
      <c r="A137" s="52">
        <v>112</v>
      </c>
      <c r="B137" s="52">
        <v>113</v>
      </c>
      <c r="C137" s="52">
        <v>0.41434</v>
      </c>
      <c r="D137" s="52">
        <v>0</v>
      </c>
      <c r="E137" s="52">
        <v>0.00263232514177694</v>
      </c>
      <c r="F137" s="52">
        <v>0.00225897920604915</v>
      </c>
      <c r="I137" s="52">
        <v>112</v>
      </c>
      <c r="J137" s="52">
        <v>113</v>
      </c>
      <c r="K137">
        <f t="shared" si="35"/>
        <v>0</v>
      </c>
      <c r="L137">
        <f t="shared" si="36"/>
        <v>0</v>
      </c>
      <c r="M137">
        <v>0</v>
      </c>
      <c r="N137">
        <f t="shared" si="37"/>
        <v>1.57</v>
      </c>
      <c r="O137">
        <f t="shared" si="38"/>
        <v>3.454</v>
      </c>
      <c r="P137">
        <v>6.28</v>
      </c>
      <c r="Q137">
        <f t="shared" si="33"/>
        <v>2.25</v>
      </c>
      <c r="R137">
        <f t="shared" si="34"/>
        <v>4.95</v>
      </c>
      <c r="S137">
        <v>9</v>
      </c>
      <c r="V137" s="52">
        <v>112</v>
      </c>
      <c r="W137" s="52">
        <v>113</v>
      </c>
      <c r="X137" s="50">
        <f t="shared" si="45"/>
        <v>0</v>
      </c>
      <c r="Y137" s="50">
        <f t="shared" si="46"/>
        <v>0</v>
      </c>
      <c r="Z137" s="50">
        <f t="shared" si="47"/>
        <v>0</v>
      </c>
      <c r="AA137" s="50">
        <f t="shared" si="39"/>
        <v>0.00268841121437618</v>
      </c>
      <c r="AB137" s="50">
        <f t="shared" si="40"/>
        <v>0.0130119102775807</v>
      </c>
      <c r="AC137" s="50">
        <f t="shared" si="41"/>
        <v>0.0430145794300189</v>
      </c>
      <c r="AD137" s="50">
        <f t="shared" si="42"/>
        <v>0.00473842631143667</v>
      </c>
      <c r="AE137" s="50">
        <f t="shared" si="43"/>
        <v>0.0229339833473535</v>
      </c>
      <c r="AF137" s="50">
        <f t="shared" si="44"/>
        <v>0.0758148209829868</v>
      </c>
    </row>
    <row r="138" spans="1:32">
      <c r="A138" s="52">
        <v>113</v>
      </c>
      <c r="B138" s="52">
        <v>114</v>
      </c>
      <c r="C138" s="52">
        <v>0.916562465369815</v>
      </c>
      <c r="D138" s="52">
        <v>0</v>
      </c>
      <c r="E138" s="52">
        <v>0.00263232514177694</v>
      </c>
      <c r="F138" s="52">
        <v>0.00225897920604915</v>
      </c>
      <c r="I138" s="52">
        <v>113</v>
      </c>
      <c r="J138" s="52">
        <v>114</v>
      </c>
      <c r="K138">
        <f t="shared" si="35"/>
        <v>0</v>
      </c>
      <c r="L138">
        <f t="shared" si="36"/>
        <v>0</v>
      </c>
      <c r="M138">
        <v>0</v>
      </c>
      <c r="N138">
        <f t="shared" si="37"/>
        <v>1.57</v>
      </c>
      <c r="O138">
        <f t="shared" si="38"/>
        <v>3.454</v>
      </c>
      <c r="P138">
        <v>6.28</v>
      </c>
      <c r="Q138">
        <f t="shared" si="33"/>
        <v>2.25</v>
      </c>
      <c r="R138">
        <f t="shared" si="34"/>
        <v>4.95</v>
      </c>
      <c r="S138">
        <v>9</v>
      </c>
      <c r="V138" s="52">
        <v>113</v>
      </c>
      <c r="W138" s="52">
        <v>114</v>
      </c>
      <c r="X138" s="50">
        <f t="shared" si="45"/>
        <v>0</v>
      </c>
      <c r="Y138" s="50">
        <f t="shared" si="46"/>
        <v>0</v>
      </c>
      <c r="Z138" s="50">
        <f t="shared" si="47"/>
        <v>0</v>
      </c>
      <c r="AA138" s="50">
        <f t="shared" si="39"/>
        <v>0.00594704062020681</v>
      </c>
      <c r="AB138" s="50">
        <f t="shared" si="40"/>
        <v>0.028783676601801</v>
      </c>
      <c r="AC138" s="50">
        <f t="shared" si="41"/>
        <v>0.095152649923309</v>
      </c>
      <c r="AD138" s="50">
        <f t="shared" si="42"/>
        <v>0.0104818837234725</v>
      </c>
      <c r="AE138" s="50">
        <f t="shared" si="43"/>
        <v>0.0507323172216069</v>
      </c>
      <c r="AF138" s="50">
        <f t="shared" si="44"/>
        <v>0.16771013957556</v>
      </c>
    </row>
    <row r="139" spans="1:32">
      <c r="A139" s="52">
        <v>114</v>
      </c>
      <c r="B139" s="52">
        <v>123</v>
      </c>
      <c r="C139" s="52">
        <v>1.70231450692765</v>
      </c>
      <c r="D139" s="52">
        <v>0</v>
      </c>
      <c r="E139" s="52">
        <v>0.00263232514177694</v>
      </c>
      <c r="F139" s="52">
        <v>0.00225897920604915</v>
      </c>
      <c r="I139" s="52">
        <v>114</v>
      </c>
      <c r="J139" s="52">
        <v>123</v>
      </c>
      <c r="K139">
        <f t="shared" si="35"/>
        <v>0</v>
      </c>
      <c r="L139">
        <f t="shared" si="36"/>
        <v>0</v>
      </c>
      <c r="M139">
        <v>0</v>
      </c>
      <c r="N139">
        <f t="shared" si="37"/>
        <v>1.57</v>
      </c>
      <c r="O139">
        <f t="shared" si="38"/>
        <v>3.454</v>
      </c>
      <c r="P139">
        <v>6.28</v>
      </c>
      <c r="Q139">
        <f t="shared" si="33"/>
        <v>2.25</v>
      </c>
      <c r="R139">
        <f t="shared" si="34"/>
        <v>4.95</v>
      </c>
      <c r="S139">
        <v>9</v>
      </c>
      <c r="V139" s="52">
        <v>114</v>
      </c>
      <c r="W139" s="52">
        <v>123</v>
      </c>
      <c r="X139" s="50">
        <f t="shared" si="45"/>
        <v>0</v>
      </c>
      <c r="Y139" s="50">
        <f t="shared" si="46"/>
        <v>0</v>
      </c>
      <c r="Z139" s="50">
        <f t="shared" si="47"/>
        <v>0</v>
      </c>
      <c r="AA139" s="50">
        <f t="shared" si="39"/>
        <v>0.0110453285003127</v>
      </c>
      <c r="AB139" s="50">
        <f t="shared" si="40"/>
        <v>0.0534593899415134</v>
      </c>
      <c r="AC139" s="50">
        <f t="shared" si="41"/>
        <v>0.176725256005003</v>
      </c>
      <c r="AD139" s="50">
        <f t="shared" si="42"/>
        <v>0.0194678086836084</v>
      </c>
      <c r="AE139" s="50">
        <f t="shared" si="43"/>
        <v>0.0942241940286649</v>
      </c>
      <c r="AF139" s="50">
        <f t="shared" si="44"/>
        <v>0.311484938937735</v>
      </c>
    </row>
    <row r="140" spans="1:32">
      <c r="A140" s="52">
        <v>115</v>
      </c>
      <c r="B140" s="52">
        <v>116</v>
      </c>
      <c r="C140" s="52">
        <v>0.27625502642996</v>
      </c>
      <c r="D140" s="52">
        <v>0</v>
      </c>
      <c r="E140" s="52">
        <v>0.00263232514177694</v>
      </c>
      <c r="F140" s="52">
        <v>0.00225897920604915</v>
      </c>
      <c r="I140" s="52">
        <v>115</v>
      </c>
      <c r="J140" s="52">
        <v>116</v>
      </c>
      <c r="K140">
        <f t="shared" si="35"/>
        <v>0</v>
      </c>
      <c r="L140">
        <f t="shared" si="36"/>
        <v>0</v>
      </c>
      <c r="M140">
        <v>0</v>
      </c>
      <c r="N140">
        <f t="shared" si="37"/>
        <v>1.57</v>
      </c>
      <c r="O140">
        <f t="shared" si="38"/>
        <v>3.454</v>
      </c>
      <c r="P140">
        <v>6.28</v>
      </c>
      <c r="Q140">
        <f t="shared" si="33"/>
        <v>2.25</v>
      </c>
      <c r="R140">
        <f t="shared" si="34"/>
        <v>4.95</v>
      </c>
      <c r="S140">
        <v>9</v>
      </c>
      <c r="V140" s="52">
        <v>115</v>
      </c>
      <c r="W140" s="52">
        <v>116</v>
      </c>
      <c r="X140" s="50">
        <f t="shared" si="45"/>
        <v>0</v>
      </c>
      <c r="Y140" s="50">
        <f t="shared" si="46"/>
        <v>0</v>
      </c>
      <c r="Z140" s="50">
        <f t="shared" si="47"/>
        <v>0</v>
      </c>
      <c r="AA140" s="50">
        <f t="shared" si="39"/>
        <v>0.00179245815292295</v>
      </c>
      <c r="AB140" s="50">
        <f t="shared" si="40"/>
        <v>0.00867549746014707</v>
      </c>
      <c r="AC140" s="50">
        <f t="shared" si="41"/>
        <v>0.0286793304467672</v>
      </c>
      <c r="AD140" s="50">
        <f t="shared" si="42"/>
        <v>0.00315927519887618</v>
      </c>
      <c r="AE140" s="50">
        <f t="shared" si="43"/>
        <v>0.0152908919625607</v>
      </c>
      <c r="AF140" s="50">
        <f t="shared" si="44"/>
        <v>0.0505484031820189</v>
      </c>
    </row>
    <row r="141" spans="1:32">
      <c r="A141" s="52">
        <v>115</v>
      </c>
      <c r="B141" s="52">
        <v>129</v>
      </c>
      <c r="C141" s="52">
        <v>0.904129555617597</v>
      </c>
      <c r="D141" s="52">
        <v>0</v>
      </c>
      <c r="E141" s="52">
        <v>0.00263232514177694</v>
      </c>
      <c r="F141" s="52">
        <v>0.00225897920604915</v>
      </c>
      <c r="I141" s="52">
        <v>115</v>
      </c>
      <c r="J141" s="52">
        <v>129</v>
      </c>
      <c r="K141">
        <f t="shared" si="35"/>
        <v>0</v>
      </c>
      <c r="L141">
        <f t="shared" si="36"/>
        <v>0</v>
      </c>
      <c r="M141">
        <v>0</v>
      </c>
      <c r="N141">
        <f t="shared" si="37"/>
        <v>1.57</v>
      </c>
      <c r="O141">
        <f t="shared" si="38"/>
        <v>3.454</v>
      </c>
      <c r="P141">
        <v>6.28</v>
      </c>
      <c r="Q141">
        <f t="shared" si="33"/>
        <v>2.25</v>
      </c>
      <c r="R141">
        <f t="shared" si="34"/>
        <v>4.95</v>
      </c>
      <c r="S141">
        <v>9</v>
      </c>
      <c r="V141" s="52">
        <v>115</v>
      </c>
      <c r="W141" s="52">
        <v>129</v>
      </c>
      <c r="X141" s="50">
        <f t="shared" si="45"/>
        <v>0</v>
      </c>
      <c r="Y141" s="50">
        <f t="shared" si="46"/>
        <v>0</v>
      </c>
      <c r="Z141" s="50">
        <f t="shared" si="47"/>
        <v>0</v>
      </c>
      <c r="AA141" s="50">
        <f t="shared" si="39"/>
        <v>0.0058663707017698</v>
      </c>
      <c r="AB141" s="50">
        <f t="shared" si="40"/>
        <v>0.0283932341965659</v>
      </c>
      <c r="AC141" s="50">
        <f t="shared" si="41"/>
        <v>0.0938619312283169</v>
      </c>
      <c r="AD141" s="50">
        <f t="shared" si="42"/>
        <v>0.0103396999451802</v>
      </c>
      <c r="AE141" s="50">
        <f t="shared" si="43"/>
        <v>0.0500441477346722</v>
      </c>
      <c r="AF141" s="50">
        <f t="shared" si="44"/>
        <v>0.165435199122883</v>
      </c>
    </row>
    <row r="142" spans="1:32">
      <c r="A142" s="52">
        <v>116</v>
      </c>
      <c r="B142" s="52">
        <v>117</v>
      </c>
      <c r="C142" s="52">
        <v>1.25492939949946</v>
      </c>
      <c r="D142" s="52">
        <v>0</v>
      </c>
      <c r="E142" s="52">
        <v>0.00263232514177694</v>
      </c>
      <c r="F142" s="52">
        <v>0.00225897920604915</v>
      </c>
      <c r="I142" s="52">
        <v>116</v>
      </c>
      <c r="J142" s="52">
        <v>117</v>
      </c>
      <c r="K142">
        <f t="shared" si="35"/>
        <v>0</v>
      </c>
      <c r="L142">
        <f t="shared" si="36"/>
        <v>0</v>
      </c>
      <c r="M142">
        <v>0</v>
      </c>
      <c r="N142">
        <f t="shared" si="37"/>
        <v>1.57</v>
      </c>
      <c r="O142">
        <f t="shared" si="38"/>
        <v>3.454</v>
      </c>
      <c r="P142">
        <v>6.28</v>
      </c>
      <c r="Q142">
        <f t="shared" si="33"/>
        <v>2.25</v>
      </c>
      <c r="R142">
        <f t="shared" si="34"/>
        <v>4.95</v>
      </c>
      <c r="S142">
        <v>9</v>
      </c>
      <c r="V142" s="52">
        <v>116</v>
      </c>
      <c r="W142" s="52">
        <v>117</v>
      </c>
      <c r="X142" s="50">
        <f t="shared" si="45"/>
        <v>0</v>
      </c>
      <c r="Y142" s="50">
        <f t="shared" si="46"/>
        <v>0</v>
      </c>
      <c r="Z142" s="50">
        <f t="shared" si="47"/>
        <v>0</v>
      </c>
      <c r="AA142" s="50">
        <f t="shared" si="39"/>
        <v>0.0081425068080917</v>
      </c>
      <c r="AB142" s="50">
        <f t="shared" si="40"/>
        <v>0.0394097329511638</v>
      </c>
      <c r="AC142" s="50">
        <f t="shared" si="41"/>
        <v>0.130280108929467</v>
      </c>
      <c r="AD142" s="50">
        <f t="shared" si="42"/>
        <v>0.0143514758063032</v>
      </c>
      <c r="AE142" s="50">
        <f t="shared" si="43"/>
        <v>0.0694611429025075</v>
      </c>
      <c r="AF142" s="50">
        <f t="shared" si="44"/>
        <v>0.229623612900851</v>
      </c>
    </row>
    <row r="143" spans="1:32">
      <c r="A143" s="52">
        <v>117</v>
      </c>
      <c r="B143" s="52">
        <v>118</v>
      </c>
      <c r="C143" s="52">
        <v>0.862264174265412</v>
      </c>
      <c r="D143" s="52">
        <v>0</v>
      </c>
      <c r="E143" s="52">
        <v>0.00263232514177694</v>
      </c>
      <c r="F143" s="52">
        <v>0.00225897920604915</v>
      </c>
      <c r="I143" s="52">
        <v>117</v>
      </c>
      <c r="J143" s="52">
        <v>118</v>
      </c>
      <c r="K143">
        <f t="shared" si="35"/>
        <v>0</v>
      </c>
      <c r="L143">
        <f t="shared" si="36"/>
        <v>0</v>
      </c>
      <c r="M143">
        <v>0</v>
      </c>
      <c r="N143">
        <f t="shared" si="37"/>
        <v>1.57</v>
      </c>
      <c r="O143">
        <f t="shared" si="38"/>
        <v>3.454</v>
      </c>
      <c r="P143">
        <v>6.28</v>
      </c>
      <c r="Q143">
        <f t="shared" si="33"/>
        <v>2.25</v>
      </c>
      <c r="R143">
        <f t="shared" si="34"/>
        <v>4.95</v>
      </c>
      <c r="S143">
        <v>9</v>
      </c>
      <c r="V143" s="52">
        <v>117</v>
      </c>
      <c r="W143" s="52">
        <v>118</v>
      </c>
      <c r="X143" s="50">
        <f t="shared" si="45"/>
        <v>0</v>
      </c>
      <c r="Y143" s="50">
        <f t="shared" si="46"/>
        <v>0</v>
      </c>
      <c r="Z143" s="50">
        <f t="shared" si="47"/>
        <v>0</v>
      </c>
      <c r="AA143" s="50">
        <f t="shared" si="39"/>
        <v>0.00559473059769743</v>
      </c>
      <c r="AB143" s="50">
        <f t="shared" si="40"/>
        <v>0.0270784960928556</v>
      </c>
      <c r="AC143" s="50">
        <f t="shared" si="41"/>
        <v>0.0895156895631589</v>
      </c>
      <c r="AD143" s="50">
        <f t="shared" si="42"/>
        <v>0.0098609240014202</v>
      </c>
      <c r="AE143" s="50">
        <f t="shared" si="43"/>
        <v>0.0477268721668738</v>
      </c>
      <c r="AF143" s="50">
        <f t="shared" si="44"/>
        <v>0.157774784022723</v>
      </c>
    </row>
    <row r="144" spans="1:32">
      <c r="A144" s="52">
        <v>118</v>
      </c>
      <c r="B144" s="52">
        <v>130</v>
      </c>
      <c r="C144" s="52">
        <v>0.555481685339079</v>
      </c>
      <c r="D144" s="52">
        <v>0</v>
      </c>
      <c r="E144" s="52">
        <v>0.00263232514177694</v>
      </c>
      <c r="F144" s="52">
        <v>0.00225897920604915</v>
      </c>
      <c r="I144" s="52">
        <v>118</v>
      </c>
      <c r="J144" s="52">
        <v>130</v>
      </c>
      <c r="K144">
        <f t="shared" si="35"/>
        <v>0</v>
      </c>
      <c r="L144">
        <f t="shared" si="36"/>
        <v>0</v>
      </c>
      <c r="M144">
        <v>0</v>
      </c>
      <c r="N144">
        <f t="shared" si="37"/>
        <v>1.57</v>
      </c>
      <c r="O144">
        <f t="shared" si="38"/>
        <v>3.454</v>
      </c>
      <c r="P144">
        <v>6.28</v>
      </c>
      <c r="Q144">
        <f t="shared" si="33"/>
        <v>2.25</v>
      </c>
      <c r="R144">
        <f t="shared" si="34"/>
        <v>4.95</v>
      </c>
      <c r="S144">
        <v>9</v>
      </c>
      <c r="V144" s="52">
        <v>118</v>
      </c>
      <c r="W144" s="52">
        <v>130</v>
      </c>
      <c r="X144" s="50">
        <f t="shared" si="45"/>
        <v>0</v>
      </c>
      <c r="Y144" s="50">
        <f t="shared" si="46"/>
        <v>0</v>
      </c>
      <c r="Z144" s="50">
        <f t="shared" si="47"/>
        <v>0</v>
      </c>
      <c r="AA144" s="50">
        <f t="shared" si="39"/>
        <v>0.00360419750023208</v>
      </c>
      <c r="AB144" s="50">
        <f t="shared" si="40"/>
        <v>0.0174443159011233</v>
      </c>
      <c r="AC144" s="50">
        <f t="shared" si="41"/>
        <v>0.0576671600037133</v>
      </c>
      <c r="AD144" s="50">
        <f t="shared" si="42"/>
        <v>0.00635253423114321</v>
      </c>
      <c r="AE144" s="50">
        <f t="shared" si="43"/>
        <v>0.0307462656787331</v>
      </c>
      <c r="AF144" s="50">
        <f t="shared" si="44"/>
        <v>0.101640547698291</v>
      </c>
    </row>
    <row r="145" spans="1:32">
      <c r="A145" s="52">
        <v>119</v>
      </c>
      <c r="B145" s="52">
        <v>120</v>
      </c>
      <c r="C145" s="52">
        <v>0.641857069868741</v>
      </c>
      <c r="D145" s="52">
        <v>0</v>
      </c>
      <c r="E145" s="52">
        <v>0.00263232514177694</v>
      </c>
      <c r="F145" s="52">
        <v>0.00225897920604915</v>
      </c>
      <c r="I145" s="52">
        <v>119</v>
      </c>
      <c r="J145" s="52">
        <v>120</v>
      </c>
      <c r="K145">
        <f t="shared" si="35"/>
        <v>0</v>
      </c>
      <c r="L145">
        <f t="shared" si="36"/>
        <v>0</v>
      </c>
      <c r="M145">
        <v>0</v>
      </c>
      <c r="N145">
        <f t="shared" si="37"/>
        <v>1.57</v>
      </c>
      <c r="O145">
        <f t="shared" si="38"/>
        <v>3.454</v>
      </c>
      <c r="P145">
        <v>6.28</v>
      </c>
      <c r="Q145">
        <f t="shared" si="33"/>
        <v>2.25</v>
      </c>
      <c r="R145">
        <f t="shared" si="34"/>
        <v>4.95</v>
      </c>
      <c r="S145">
        <v>9</v>
      </c>
      <c r="V145" s="52">
        <v>119</v>
      </c>
      <c r="W145" s="52">
        <v>120</v>
      </c>
      <c r="X145" s="50">
        <f t="shared" si="45"/>
        <v>0</v>
      </c>
      <c r="Y145" s="50">
        <f t="shared" si="46"/>
        <v>0</v>
      </c>
      <c r="Z145" s="50">
        <f t="shared" si="47"/>
        <v>0</v>
      </c>
      <c r="AA145" s="50">
        <f t="shared" si="39"/>
        <v>0.00416463712087117</v>
      </c>
      <c r="AB145" s="50">
        <f t="shared" si="40"/>
        <v>0.0201568436650165</v>
      </c>
      <c r="AC145" s="50">
        <f t="shared" si="41"/>
        <v>0.0666341939339387</v>
      </c>
      <c r="AD145" s="50">
        <f t="shared" si="42"/>
        <v>0.00734033023132618</v>
      </c>
      <c r="AE145" s="50">
        <f t="shared" si="43"/>
        <v>0.0355271983196187</v>
      </c>
      <c r="AF145" s="50">
        <f t="shared" si="44"/>
        <v>0.117445283701219</v>
      </c>
    </row>
    <row r="146" spans="1:32">
      <c r="A146" s="52">
        <v>121</v>
      </c>
      <c r="B146" s="52">
        <v>132</v>
      </c>
      <c r="C146" s="52">
        <v>0.964301690101224</v>
      </c>
      <c r="D146" s="52">
        <v>0</v>
      </c>
      <c r="E146" s="52">
        <v>0.00263232514177694</v>
      </c>
      <c r="F146" s="52">
        <v>0.00225897920604915</v>
      </c>
      <c r="I146" s="52">
        <v>121</v>
      </c>
      <c r="J146" s="52">
        <v>132</v>
      </c>
      <c r="K146">
        <f t="shared" si="35"/>
        <v>0</v>
      </c>
      <c r="L146">
        <f t="shared" si="36"/>
        <v>0</v>
      </c>
      <c r="M146">
        <v>0</v>
      </c>
      <c r="N146">
        <f t="shared" si="37"/>
        <v>1.57</v>
      </c>
      <c r="O146">
        <f t="shared" si="38"/>
        <v>3.454</v>
      </c>
      <c r="P146">
        <v>6.28</v>
      </c>
      <c r="Q146">
        <f t="shared" si="33"/>
        <v>2.25</v>
      </c>
      <c r="R146">
        <f t="shared" si="34"/>
        <v>4.95</v>
      </c>
      <c r="S146">
        <v>9</v>
      </c>
      <c r="V146" s="52">
        <v>121</v>
      </c>
      <c r="W146" s="52">
        <v>132</v>
      </c>
      <c r="X146" s="50">
        <f t="shared" si="45"/>
        <v>0</v>
      </c>
      <c r="Y146" s="50">
        <f t="shared" si="46"/>
        <v>0</v>
      </c>
      <c r="Z146" s="50">
        <f t="shared" si="47"/>
        <v>0</v>
      </c>
      <c r="AA146" s="50">
        <f t="shared" si="39"/>
        <v>0.0062567926768114</v>
      </c>
      <c r="AB146" s="50">
        <f t="shared" si="40"/>
        <v>0.0302828765557672</v>
      </c>
      <c r="AC146" s="50">
        <f t="shared" si="41"/>
        <v>0.100108682828982</v>
      </c>
      <c r="AD146" s="50">
        <f t="shared" si="42"/>
        <v>0.0110278334231271</v>
      </c>
      <c r="AE146" s="50">
        <f t="shared" si="43"/>
        <v>0.0533747137679353</v>
      </c>
      <c r="AF146" s="50">
        <f t="shared" si="44"/>
        <v>0.176445334770034</v>
      </c>
    </row>
    <row r="147" spans="1:32">
      <c r="A147" s="52">
        <v>123</v>
      </c>
      <c r="B147" s="52">
        <v>124</v>
      </c>
      <c r="C147" s="52">
        <v>0.581637430450087</v>
      </c>
      <c r="D147" s="52">
        <v>0</v>
      </c>
      <c r="E147" s="52">
        <v>0.00263232514177694</v>
      </c>
      <c r="F147" s="52">
        <v>0.00225897920604915</v>
      </c>
      <c r="I147" s="52">
        <v>123</v>
      </c>
      <c r="J147" s="52">
        <v>124</v>
      </c>
      <c r="K147">
        <f t="shared" si="35"/>
        <v>0</v>
      </c>
      <c r="L147">
        <f t="shared" si="36"/>
        <v>0</v>
      </c>
      <c r="M147">
        <v>0</v>
      </c>
      <c r="N147">
        <f t="shared" si="37"/>
        <v>1.57</v>
      </c>
      <c r="O147">
        <f t="shared" si="38"/>
        <v>3.454</v>
      </c>
      <c r="P147">
        <v>6.28</v>
      </c>
      <c r="Q147">
        <f t="shared" si="33"/>
        <v>2.25</v>
      </c>
      <c r="R147">
        <f t="shared" si="34"/>
        <v>4.95</v>
      </c>
      <c r="S147">
        <v>9</v>
      </c>
      <c r="V147" s="52">
        <v>123</v>
      </c>
      <c r="W147" s="52">
        <v>124</v>
      </c>
      <c r="X147" s="50">
        <f t="shared" si="45"/>
        <v>0</v>
      </c>
      <c r="Y147" s="50">
        <f t="shared" si="46"/>
        <v>0</v>
      </c>
      <c r="Z147" s="50">
        <f t="shared" si="47"/>
        <v>0</v>
      </c>
      <c r="AA147" s="50">
        <f t="shared" si="39"/>
        <v>0.00377390691394256</v>
      </c>
      <c r="AB147" s="50">
        <f t="shared" si="40"/>
        <v>0.018265709463482</v>
      </c>
      <c r="AC147" s="50">
        <f t="shared" si="41"/>
        <v>0.060382510623081</v>
      </c>
      <c r="AD147" s="50">
        <f t="shared" si="42"/>
        <v>0.00665165348303594</v>
      </c>
      <c r="AE147" s="50">
        <f t="shared" si="43"/>
        <v>0.032194002857894</v>
      </c>
      <c r="AF147" s="50">
        <f t="shared" si="44"/>
        <v>0.106426455728575</v>
      </c>
    </row>
    <row r="148" spans="1:32">
      <c r="A148" s="52">
        <v>124</v>
      </c>
      <c r="B148" s="52">
        <v>125</v>
      </c>
      <c r="C148" s="52">
        <v>0.357120695029446</v>
      </c>
      <c r="D148" s="52">
        <v>0</v>
      </c>
      <c r="E148" s="52">
        <v>0.00263232514177694</v>
      </c>
      <c r="F148" s="52">
        <v>0.00225897920604915</v>
      </c>
      <c r="I148" s="52">
        <v>124</v>
      </c>
      <c r="J148" s="52">
        <v>125</v>
      </c>
      <c r="K148">
        <f t="shared" si="35"/>
        <v>0</v>
      </c>
      <c r="L148">
        <f t="shared" si="36"/>
        <v>0</v>
      </c>
      <c r="M148">
        <v>0</v>
      </c>
      <c r="N148">
        <f t="shared" si="37"/>
        <v>1.57</v>
      </c>
      <c r="O148">
        <f t="shared" si="38"/>
        <v>3.454</v>
      </c>
      <c r="P148">
        <v>6.28</v>
      </c>
      <c r="Q148">
        <f t="shared" si="33"/>
        <v>2.25</v>
      </c>
      <c r="R148">
        <f t="shared" si="34"/>
        <v>4.95</v>
      </c>
      <c r="S148">
        <v>9</v>
      </c>
      <c r="V148" s="52">
        <v>124</v>
      </c>
      <c r="W148" s="52">
        <v>125</v>
      </c>
      <c r="X148" s="50">
        <f t="shared" si="45"/>
        <v>0</v>
      </c>
      <c r="Y148" s="50">
        <f t="shared" si="46"/>
        <v>0</v>
      </c>
      <c r="Z148" s="50">
        <f t="shared" si="47"/>
        <v>0</v>
      </c>
      <c r="AA148" s="50">
        <f t="shared" si="39"/>
        <v>0.00231714843221263</v>
      </c>
      <c r="AB148" s="50">
        <f t="shared" si="40"/>
        <v>0.0112149984119091</v>
      </c>
      <c r="AC148" s="50">
        <f t="shared" si="41"/>
        <v>0.037074374915402</v>
      </c>
      <c r="AD148" s="50">
        <f t="shared" si="42"/>
        <v>0.00408406163461428</v>
      </c>
      <c r="AE148" s="50">
        <f t="shared" si="43"/>
        <v>0.0197668583115331</v>
      </c>
      <c r="AF148" s="50">
        <f t="shared" si="44"/>
        <v>0.0653449861538285</v>
      </c>
    </row>
    <row r="149" spans="1:32">
      <c r="A149" s="52">
        <v>126</v>
      </c>
      <c r="B149" s="52">
        <v>127</v>
      </c>
      <c r="C149" s="52">
        <v>1.35827169624217</v>
      </c>
      <c r="D149" s="52">
        <v>0</v>
      </c>
      <c r="E149" s="52">
        <v>0.00263232514177694</v>
      </c>
      <c r="F149" s="52">
        <v>0.00225897920604915</v>
      </c>
      <c r="I149" s="52">
        <v>126</v>
      </c>
      <c r="J149" s="52">
        <v>127</v>
      </c>
      <c r="K149">
        <f t="shared" si="35"/>
        <v>0</v>
      </c>
      <c r="L149">
        <f t="shared" si="36"/>
        <v>0</v>
      </c>
      <c r="M149">
        <v>0</v>
      </c>
      <c r="N149">
        <f t="shared" si="37"/>
        <v>1.57</v>
      </c>
      <c r="O149">
        <f t="shared" si="38"/>
        <v>3.454</v>
      </c>
      <c r="P149">
        <v>6.28</v>
      </c>
      <c r="Q149">
        <f t="shared" si="33"/>
        <v>2.25</v>
      </c>
      <c r="R149">
        <f t="shared" si="34"/>
        <v>4.95</v>
      </c>
      <c r="S149">
        <v>9</v>
      </c>
      <c r="V149" s="52">
        <v>126</v>
      </c>
      <c r="W149" s="52">
        <v>127</v>
      </c>
      <c r="X149" s="50">
        <f t="shared" si="45"/>
        <v>0</v>
      </c>
      <c r="Y149" s="50">
        <f t="shared" si="46"/>
        <v>0</v>
      </c>
      <c r="Z149" s="50">
        <f t="shared" si="47"/>
        <v>0</v>
      </c>
      <c r="AA149" s="50">
        <f t="shared" si="39"/>
        <v>0.00881303485144376</v>
      </c>
      <c r="AB149" s="50">
        <f t="shared" si="40"/>
        <v>0.0426550886809878</v>
      </c>
      <c r="AC149" s="50">
        <f t="shared" si="41"/>
        <v>0.1410085576231</v>
      </c>
      <c r="AD149" s="50">
        <f t="shared" si="42"/>
        <v>0.0155333068097544</v>
      </c>
      <c r="AE149" s="50">
        <f t="shared" si="43"/>
        <v>0.0751812049592111</v>
      </c>
      <c r="AF149" s="50">
        <f t="shared" si="44"/>
        <v>0.24853290895607</v>
      </c>
    </row>
    <row r="150" spans="1:32">
      <c r="A150" s="52">
        <v>127</v>
      </c>
      <c r="B150" s="52">
        <v>128</v>
      </c>
      <c r="C150" s="52">
        <v>0.359297049035422</v>
      </c>
      <c r="D150" s="52">
        <v>0</v>
      </c>
      <c r="E150" s="52">
        <v>0.00263232514177694</v>
      </c>
      <c r="F150" s="52">
        <v>0.00225897920604915</v>
      </c>
      <c r="I150" s="52">
        <v>127</v>
      </c>
      <c r="J150" s="52">
        <v>128</v>
      </c>
      <c r="K150">
        <f t="shared" si="35"/>
        <v>0</v>
      </c>
      <c r="L150">
        <f t="shared" si="36"/>
        <v>0</v>
      </c>
      <c r="M150">
        <v>0</v>
      </c>
      <c r="N150">
        <f t="shared" si="37"/>
        <v>1.57</v>
      </c>
      <c r="O150">
        <f t="shared" si="38"/>
        <v>3.454</v>
      </c>
      <c r="P150">
        <v>6.28</v>
      </c>
      <c r="Q150">
        <f t="shared" si="33"/>
        <v>2.25</v>
      </c>
      <c r="R150">
        <f t="shared" si="34"/>
        <v>4.95</v>
      </c>
      <c r="S150">
        <v>9</v>
      </c>
      <c r="V150" s="52">
        <v>127</v>
      </c>
      <c r="W150" s="52">
        <v>128</v>
      </c>
      <c r="X150" s="50">
        <f t="shared" si="45"/>
        <v>0</v>
      </c>
      <c r="Y150" s="50">
        <f t="shared" si="46"/>
        <v>0</v>
      </c>
      <c r="Z150" s="50">
        <f t="shared" si="47"/>
        <v>0</v>
      </c>
      <c r="AA150" s="50">
        <f t="shared" si="39"/>
        <v>0.00233126952724598</v>
      </c>
      <c r="AB150" s="50">
        <f t="shared" si="40"/>
        <v>0.0112833445118705</v>
      </c>
      <c r="AC150" s="50">
        <f t="shared" si="41"/>
        <v>0.0373003124359356</v>
      </c>
      <c r="AD150" s="50">
        <f t="shared" si="42"/>
        <v>0.00410895059798957</v>
      </c>
      <c r="AE150" s="50">
        <f t="shared" si="43"/>
        <v>0.0198873208942695</v>
      </c>
      <c r="AF150" s="50">
        <f t="shared" si="44"/>
        <v>0.0657432095678331</v>
      </c>
    </row>
    <row r="151" spans="1:32">
      <c r="A151" s="52">
        <v>132</v>
      </c>
      <c r="B151" s="52">
        <v>133</v>
      </c>
      <c r="C151" s="52">
        <v>0.307052012567015</v>
      </c>
      <c r="D151" s="52">
        <v>0</v>
      </c>
      <c r="E151" s="52">
        <v>0.00263232514177694</v>
      </c>
      <c r="F151" s="52">
        <v>0.00225897920604915</v>
      </c>
      <c r="I151" s="52">
        <v>132</v>
      </c>
      <c r="J151" s="52">
        <v>133</v>
      </c>
      <c r="K151">
        <f t="shared" si="35"/>
        <v>0</v>
      </c>
      <c r="L151">
        <f t="shared" si="36"/>
        <v>0</v>
      </c>
      <c r="M151">
        <v>0</v>
      </c>
      <c r="N151">
        <f t="shared" si="37"/>
        <v>1.57</v>
      </c>
      <c r="O151">
        <f t="shared" si="38"/>
        <v>3.454</v>
      </c>
      <c r="P151">
        <v>6.28</v>
      </c>
      <c r="Q151">
        <f t="shared" si="33"/>
        <v>2.25</v>
      </c>
      <c r="R151">
        <f t="shared" si="34"/>
        <v>4.95</v>
      </c>
      <c r="S151">
        <v>9</v>
      </c>
      <c r="V151" s="52">
        <v>132</v>
      </c>
      <c r="W151" s="52">
        <v>133</v>
      </c>
      <c r="X151" s="50">
        <f t="shared" si="45"/>
        <v>0</v>
      </c>
      <c r="Y151" s="50">
        <f t="shared" si="46"/>
        <v>0</v>
      </c>
      <c r="Z151" s="50">
        <f t="shared" si="47"/>
        <v>0</v>
      </c>
      <c r="AA151" s="50">
        <f t="shared" si="39"/>
        <v>0.00199228187957219</v>
      </c>
      <c r="AB151" s="50">
        <f t="shared" si="40"/>
        <v>0.00964264429712939</v>
      </c>
      <c r="AC151" s="50">
        <f t="shared" si="41"/>
        <v>0.031876510073155</v>
      </c>
      <c r="AD151" s="50">
        <f t="shared" si="42"/>
        <v>0.00351147206479492</v>
      </c>
      <c r="AE151" s="50">
        <f t="shared" si="43"/>
        <v>0.0169955247936074</v>
      </c>
      <c r="AF151" s="50">
        <f t="shared" si="44"/>
        <v>0.0561835530367188</v>
      </c>
    </row>
    <row r="152" spans="1:32">
      <c r="A152" s="52">
        <v>133</v>
      </c>
      <c r="B152" s="52">
        <v>134</v>
      </c>
      <c r="C152" s="52">
        <v>0.452773103981693</v>
      </c>
      <c r="D152" s="52">
        <v>0</v>
      </c>
      <c r="E152" s="52">
        <v>0.00263232514177694</v>
      </c>
      <c r="F152" s="52">
        <v>0.00225897920604915</v>
      </c>
      <c r="I152" s="52">
        <v>133</v>
      </c>
      <c r="J152" s="52">
        <v>134</v>
      </c>
      <c r="K152">
        <f t="shared" si="35"/>
        <v>0</v>
      </c>
      <c r="L152">
        <f t="shared" si="36"/>
        <v>0</v>
      </c>
      <c r="M152">
        <v>0</v>
      </c>
      <c r="N152">
        <f t="shared" si="37"/>
        <v>1.57</v>
      </c>
      <c r="O152">
        <f t="shared" si="38"/>
        <v>3.454</v>
      </c>
      <c r="P152">
        <v>6.28</v>
      </c>
      <c r="Q152">
        <f t="shared" si="33"/>
        <v>2.25</v>
      </c>
      <c r="R152">
        <f t="shared" si="34"/>
        <v>4.95</v>
      </c>
      <c r="S152">
        <v>9</v>
      </c>
      <c r="V152" s="52">
        <v>133</v>
      </c>
      <c r="W152" s="52">
        <v>134</v>
      </c>
      <c r="X152" s="50">
        <f t="shared" si="45"/>
        <v>0</v>
      </c>
      <c r="Y152" s="50">
        <f t="shared" si="46"/>
        <v>0</v>
      </c>
      <c r="Z152" s="50">
        <f t="shared" si="47"/>
        <v>0</v>
      </c>
      <c r="AA152" s="50">
        <f t="shared" si="39"/>
        <v>0.00293778126734638</v>
      </c>
      <c r="AB152" s="50">
        <f t="shared" si="40"/>
        <v>0.0142188613339565</v>
      </c>
      <c r="AC152" s="50">
        <f t="shared" si="41"/>
        <v>0.047004500277542</v>
      </c>
      <c r="AD152" s="50">
        <f t="shared" si="42"/>
        <v>0.00517795044894944</v>
      </c>
      <c r="AE152" s="50">
        <f t="shared" si="43"/>
        <v>0.0250612801729153</v>
      </c>
      <c r="AF152" s="50">
        <f t="shared" si="44"/>
        <v>0.082847207183191</v>
      </c>
    </row>
    <row r="153" spans="1:32">
      <c r="A153" s="52">
        <v>134</v>
      </c>
      <c r="B153" s="52">
        <v>135</v>
      </c>
      <c r="C153" s="52">
        <v>0.560965435989149</v>
      </c>
      <c r="D153" s="52">
        <v>0</v>
      </c>
      <c r="E153" s="52">
        <v>0.00263232514177694</v>
      </c>
      <c r="F153" s="52">
        <v>0.00225897920604915</v>
      </c>
      <c r="I153" s="52">
        <v>134</v>
      </c>
      <c r="J153" s="52">
        <v>135</v>
      </c>
      <c r="K153">
        <f t="shared" si="35"/>
        <v>0</v>
      </c>
      <c r="L153">
        <f t="shared" si="36"/>
        <v>0</v>
      </c>
      <c r="M153">
        <v>0</v>
      </c>
      <c r="N153">
        <f t="shared" si="37"/>
        <v>1.57</v>
      </c>
      <c r="O153">
        <f t="shared" si="38"/>
        <v>3.454</v>
      </c>
      <c r="P153">
        <v>6.28</v>
      </c>
      <c r="Q153">
        <f t="shared" si="33"/>
        <v>2.25</v>
      </c>
      <c r="R153">
        <f t="shared" si="34"/>
        <v>4.95</v>
      </c>
      <c r="S153">
        <v>9</v>
      </c>
      <c r="V153" s="52">
        <v>134</v>
      </c>
      <c r="W153" s="52">
        <v>135</v>
      </c>
      <c r="X153" s="50">
        <f t="shared" si="45"/>
        <v>0</v>
      </c>
      <c r="Y153" s="50">
        <f t="shared" si="46"/>
        <v>0</v>
      </c>
      <c r="Z153" s="50">
        <f t="shared" si="47"/>
        <v>0</v>
      </c>
      <c r="AA153" s="50">
        <f t="shared" si="39"/>
        <v>0.00363977836798439</v>
      </c>
      <c r="AB153" s="50">
        <f t="shared" si="40"/>
        <v>0.0176165273010444</v>
      </c>
      <c r="AC153" s="50">
        <f t="shared" si="41"/>
        <v>0.0582364538877502</v>
      </c>
      <c r="AD153" s="50">
        <f t="shared" si="42"/>
        <v>0.00641524685450965</v>
      </c>
      <c r="AE153" s="50">
        <f t="shared" si="43"/>
        <v>0.0310497947758267</v>
      </c>
      <c r="AF153" s="50">
        <f t="shared" si="44"/>
        <v>0.102643949672154</v>
      </c>
    </row>
  </sheetData>
  <mergeCells count="10">
    <mergeCell ref="D1:F1"/>
    <mergeCell ref="K1:S1"/>
    <mergeCell ref="X1:AF1"/>
    <mergeCell ref="A1:A2"/>
    <mergeCell ref="B1:B2"/>
    <mergeCell ref="C1:C2"/>
    <mergeCell ref="I1:I2"/>
    <mergeCell ref="J1:J2"/>
    <mergeCell ref="V1:V2"/>
    <mergeCell ref="W1:W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61"/>
  <sheetViews>
    <sheetView workbookViewId="0">
      <selection activeCell="G33" sqref="G33"/>
    </sheetView>
  </sheetViews>
  <sheetFormatPr defaultColWidth="9.14166666666667" defaultRowHeight="13.5"/>
  <cols>
    <col min="1" max="1" width="14.425" customWidth="1"/>
    <col min="2" max="2" width="18.8583333333333" customWidth="1"/>
    <col min="4" max="4" width="12" customWidth="1"/>
    <col min="5" max="5" width="9.56666666666667" customWidth="1"/>
    <col min="7" max="7" width="10.425" customWidth="1"/>
    <col min="8" max="8" width="12" customWidth="1"/>
    <col min="9" max="9" width="6.70833333333333" customWidth="1"/>
    <col min="10" max="12" width="12" customWidth="1"/>
  </cols>
  <sheetData>
    <row r="1" ht="40.5" spans="1:20">
      <c r="A1" s="37" t="s">
        <v>190</v>
      </c>
      <c r="B1" s="38" t="s">
        <v>191</v>
      </c>
      <c r="D1" s="38" t="s">
        <v>192</v>
      </c>
      <c r="E1" s="30">
        <f>AVERAGE(B2:B2001)</f>
        <v>6.1304775</v>
      </c>
      <c r="K1" s="38"/>
      <c r="L1" s="38"/>
    </row>
    <row r="2" spans="1:20">
      <c r="A2" s="39">
        <v>7.27582429845194</v>
      </c>
      <c r="B2" s="40">
        <v>2.3</v>
      </c>
      <c r="D2" s="2" t="s">
        <v>193</v>
      </c>
      <c r="E2" s="31">
        <f>AVERAGE(B2002:B7761)</f>
        <v>9.10212847222222</v>
      </c>
      <c r="K2" s="41" t="s">
        <v>194</v>
      </c>
      <c r="L2" s="42" t="s">
        <v>195</v>
      </c>
      <c r="M2" s="42"/>
      <c r="N2" s="42"/>
    </row>
    <row r="3" spans="1:20">
      <c r="A3" s="39">
        <v>6.96325655919374</v>
      </c>
      <c r="B3" s="40">
        <v>5.5</v>
      </c>
      <c r="D3" s="2" t="s">
        <v>196</v>
      </c>
      <c r="E3" s="31">
        <f>AVERAGE(B7762:B8761)</f>
        <v>10.04955</v>
      </c>
      <c r="K3" s="41"/>
      <c r="L3" s="42">
        <v>1</v>
      </c>
      <c r="M3" s="42">
        <v>2</v>
      </c>
      <c r="N3" s="42">
        <v>3</v>
      </c>
    </row>
    <row r="4" spans="1:20">
      <c r="A4" s="39">
        <v>6.95907505097623</v>
      </c>
      <c r="B4" s="40">
        <v>4.6</v>
      </c>
      <c r="D4" s="2"/>
      <c r="E4" s="31"/>
      <c r="K4" s="42" t="s">
        <v>197</v>
      </c>
      <c r="L4">
        <v>8.53</v>
      </c>
      <c r="M4" s="11">
        <v>9.12</v>
      </c>
      <c r="N4">
        <v>10.04</v>
      </c>
    </row>
    <row r="5" spans="1:20">
      <c r="A5" s="39">
        <v>6.94339439516061</v>
      </c>
      <c r="B5" s="40">
        <v>3.5</v>
      </c>
      <c r="D5" s="2"/>
      <c r="E5" s="31"/>
      <c r="K5" s="42" t="s">
        <v>198</v>
      </c>
      <c r="L5">
        <v>6.13</v>
      </c>
      <c r="M5" s="11">
        <v>7.26</v>
      </c>
      <c r="N5">
        <v>7.11</v>
      </c>
    </row>
    <row r="6" spans="1:20">
      <c r="A6" s="39">
        <v>6.89008016538746</v>
      </c>
      <c r="B6" s="40">
        <v>7</v>
      </c>
      <c r="D6" s="2"/>
      <c r="E6" s="31"/>
      <c r="G6" s="43"/>
      <c r="H6" s="2"/>
      <c r="K6" s="42" t="s">
        <v>199</v>
      </c>
      <c r="L6">
        <v>4.13</v>
      </c>
      <c r="M6" s="11">
        <v>5.1</v>
      </c>
      <c r="N6">
        <v>5.56</v>
      </c>
    </row>
    <row r="7" spans="1:20">
      <c r="A7" s="39">
        <v>6.88067177189809</v>
      </c>
      <c r="B7" s="40">
        <v>7.5</v>
      </c>
      <c r="D7" s="2"/>
      <c r="E7" s="31"/>
      <c r="G7" s="43"/>
      <c r="H7" s="2"/>
    </row>
    <row r="8" spans="1:20">
      <c r="A8" s="39">
        <v>6.88067177189809</v>
      </c>
      <c r="B8" s="40">
        <v>4.5</v>
      </c>
      <c r="D8" s="2"/>
      <c r="E8" s="31"/>
      <c r="G8" s="43"/>
      <c r="H8" s="2"/>
      <c r="T8" s="2"/>
    </row>
    <row r="9" spans="1:20">
      <c r="A9" s="39">
        <v>6.85976423081058</v>
      </c>
      <c r="B9" s="40">
        <v>6.9</v>
      </c>
      <c r="D9" s="2"/>
      <c r="E9" s="31"/>
      <c r="G9" s="43"/>
      <c r="H9" s="2"/>
    </row>
    <row r="10" spans="1:20">
      <c r="A10" s="39">
        <v>6.85976423081058</v>
      </c>
      <c r="B10" s="40">
        <v>4.5</v>
      </c>
      <c r="D10" s="2"/>
      <c r="E10" s="31"/>
      <c r="G10" s="43"/>
      <c r="H10" s="2"/>
    </row>
    <row r="11" spans="1:20">
      <c r="A11" s="39">
        <v>6.83467518150558</v>
      </c>
      <c r="B11" s="40">
        <v>3.7</v>
      </c>
      <c r="D11" s="2"/>
      <c r="E11" s="31"/>
      <c r="G11" s="43"/>
      <c r="H11" s="2"/>
    </row>
    <row r="12" spans="1:20">
      <c r="A12" s="39">
        <v>6.80749537809182</v>
      </c>
      <c r="B12" s="40">
        <v>6.9</v>
      </c>
      <c r="D12" s="2"/>
      <c r="E12" s="31"/>
      <c r="G12" s="43"/>
      <c r="H12" s="2"/>
    </row>
    <row r="13" spans="1:20">
      <c r="A13" s="39">
        <v>6.80122311576557</v>
      </c>
      <c r="B13" s="40">
        <v>3.2</v>
      </c>
      <c r="D13" s="2"/>
      <c r="E13" s="31"/>
      <c r="G13" s="43"/>
      <c r="H13" s="2"/>
    </row>
    <row r="14" spans="1:20">
      <c r="A14" s="39">
        <v>6.79181472227619</v>
      </c>
      <c r="B14" s="40">
        <v>8.8</v>
      </c>
      <c r="D14" s="2"/>
      <c r="E14" s="31"/>
      <c r="G14" s="43"/>
      <c r="H14" s="2"/>
    </row>
    <row r="15" spans="1:20">
      <c r="A15" s="39">
        <v>6.78658783700431</v>
      </c>
      <c r="B15" s="40">
        <v>5.5</v>
      </c>
      <c r="D15" s="2"/>
      <c r="E15" s="31"/>
      <c r="G15" s="43"/>
      <c r="H15" s="2"/>
    </row>
    <row r="16" spans="1:20">
      <c r="A16" s="39">
        <v>6.77613406646056</v>
      </c>
      <c r="B16" s="40">
        <v>10.3</v>
      </c>
      <c r="D16" s="2"/>
      <c r="E16" s="31"/>
      <c r="G16" s="43"/>
      <c r="H16" s="2"/>
    </row>
    <row r="17" spans="1:8">
      <c r="A17" s="39">
        <v>6.77195255824306</v>
      </c>
      <c r="B17" s="40">
        <v>2.7</v>
      </c>
      <c r="D17" s="2"/>
      <c r="E17" s="31"/>
      <c r="G17" s="43"/>
      <c r="H17" s="2"/>
    </row>
    <row r="18" spans="1:8">
      <c r="A18" s="39">
        <v>6.76463491886243</v>
      </c>
      <c r="B18" s="40">
        <v>6</v>
      </c>
      <c r="D18" s="2"/>
      <c r="E18" s="31"/>
      <c r="G18" s="43"/>
      <c r="H18" s="2"/>
    </row>
    <row r="19" spans="1:8">
      <c r="A19" s="39">
        <v>6.76149878769931</v>
      </c>
      <c r="B19" s="40">
        <v>2.7</v>
      </c>
      <c r="D19" s="2"/>
      <c r="E19" s="31"/>
      <c r="G19" s="43"/>
      <c r="H19" s="2"/>
    </row>
    <row r="20" spans="1:8">
      <c r="A20" s="39">
        <v>6.76045341064493</v>
      </c>
      <c r="B20" s="40">
        <v>8.8</v>
      </c>
      <c r="D20" s="2"/>
      <c r="E20" s="31"/>
      <c r="G20" s="43"/>
      <c r="H20" s="2"/>
    </row>
    <row r="21" spans="1:8">
      <c r="A21" s="39">
        <v>6.75522652537305</v>
      </c>
      <c r="B21" s="40">
        <v>4.4</v>
      </c>
      <c r="D21" s="2"/>
      <c r="E21" s="31"/>
      <c r="G21" s="43"/>
      <c r="H21" s="2"/>
    </row>
    <row r="22" spans="1:8">
      <c r="A22" s="39">
        <v>6.7447727548293</v>
      </c>
      <c r="B22" s="40">
        <v>5.5</v>
      </c>
      <c r="D22" s="2"/>
      <c r="E22" s="31"/>
      <c r="G22" s="43"/>
      <c r="H22" s="2"/>
    </row>
    <row r="23" spans="1:8">
      <c r="A23" s="39">
        <v>6.74372737777493</v>
      </c>
      <c r="B23" s="40">
        <v>5.5</v>
      </c>
      <c r="D23" s="2"/>
      <c r="E23" s="31"/>
      <c r="G23" s="43"/>
      <c r="H23" s="2"/>
    </row>
    <row r="24" spans="1:8">
      <c r="A24" s="39">
        <v>6.73431898428555</v>
      </c>
      <c r="B24" s="40">
        <v>8.7</v>
      </c>
      <c r="D24" s="2"/>
      <c r="E24" s="31"/>
      <c r="G24" s="43"/>
      <c r="H24" s="2"/>
    </row>
    <row r="25" spans="1:8">
      <c r="A25" s="39">
        <v>6.72072908257867</v>
      </c>
      <c r="B25" s="40">
        <v>5.2</v>
      </c>
      <c r="D25" s="2"/>
      <c r="E25" s="31"/>
      <c r="G25" s="43"/>
      <c r="H25" s="2"/>
    </row>
    <row r="26" spans="1:8">
      <c r="A26" s="39">
        <v>6.71968370552429</v>
      </c>
      <c r="B26" s="40">
        <v>3.6</v>
      </c>
      <c r="D26" s="2"/>
      <c r="E26" s="31"/>
      <c r="G26" s="43"/>
      <c r="H26" s="2"/>
    </row>
    <row r="27" spans="1:8">
      <c r="A27" s="39">
        <v>6.69773078738241</v>
      </c>
      <c r="B27" s="40">
        <v>4.7</v>
      </c>
      <c r="D27" s="2"/>
      <c r="E27" s="31"/>
      <c r="G27" s="43"/>
      <c r="H27" s="2"/>
    </row>
    <row r="28" spans="1:8">
      <c r="A28" s="39">
        <v>6.69668541032804</v>
      </c>
      <c r="B28" s="40">
        <v>6.7</v>
      </c>
      <c r="D28" s="2"/>
      <c r="E28" s="31"/>
      <c r="G28" s="43"/>
      <c r="H28" s="2"/>
    </row>
    <row r="29" spans="1:8">
      <c r="A29" s="39">
        <v>6.68623163978429</v>
      </c>
      <c r="B29" s="40">
        <v>3.2</v>
      </c>
      <c r="D29" s="2"/>
      <c r="E29" s="31"/>
      <c r="G29" s="43"/>
      <c r="H29" s="2"/>
    </row>
    <row r="30" spans="1:8">
      <c r="A30" s="39">
        <v>6.68205013156679</v>
      </c>
      <c r="B30" s="40">
        <v>7.7</v>
      </c>
      <c r="D30" s="2"/>
      <c r="E30" s="31"/>
      <c r="G30" s="43"/>
      <c r="H30" s="2"/>
    </row>
    <row r="31" spans="1:8">
      <c r="A31" s="39">
        <v>6.66741485280553</v>
      </c>
      <c r="B31" s="40">
        <v>11.6</v>
      </c>
      <c r="D31" s="2"/>
      <c r="E31" s="31"/>
      <c r="G31" s="43"/>
      <c r="H31" s="2"/>
    </row>
    <row r="32" spans="1:8">
      <c r="A32" s="39">
        <v>6.66532409869678</v>
      </c>
      <c r="B32" s="40">
        <v>2.3</v>
      </c>
      <c r="D32" s="2"/>
      <c r="E32" s="31"/>
      <c r="G32" s="43"/>
      <c r="H32" s="2"/>
    </row>
    <row r="33" spans="1:8">
      <c r="A33" s="39">
        <v>6.66532409869678</v>
      </c>
      <c r="B33" s="40">
        <v>2.8</v>
      </c>
      <c r="D33" s="2"/>
      <c r="E33" s="31"/>
      <c r="G33" s="43"/>
      <c r="H33" s="2"/>
    </row>
    <row r="34" spans="1:8">
      <c r="A34" s="39">
        <v>6.6475526887724</v>
      </c>
      <c r="B34" s="40">
        <v>6.6</v>
      </c>
      <c r="D34" s="2"/>
      <c r="E34" s="31"/>
      <c r="G34" s="43"/>
      <c r="H34" s="2"/>
    </row>
    <row r="35" spans="1:8">
      <c r="A35" s="39">
        <v>6.64441655760928</v>
      </c>
      <c r="B35" s="40">
        <v>2.8</v>
      </c>
      <c r="D35" s="2"/>
      <c r="E35" s="31"/>
      <c r="G35" s="43"/>
      <c r="H35" s="2"/>
    </row>
    <row r="36" spans="1:8">
      <c r="A36" s="39">
        <v>6.6350081641199</v>
      </c>
      <c r="B36" s="40">
        <v>5</v>
      </c>
      <c r="D36" s="2"/>
      <c r="E36" s="31"/>
      <c r="G36" s="43"/>
      <c r="H36" s="2"/>
    </row>
    <row r="37" spans="1:8">
      <c r="A37" s="39">
        <v>6.62978127884802</v>
      </c>
      <c r="B37" s="40">
        <v>6.3</v>
      </c>
      <c r="D37" s="2"/>
      <c r="E37" s="31"/>
      <c r="G37" s="43"/>
      <c r="H37" s="2"/>
    </row>
    <row r="38" spans="1:8">
      <c r="A38" s="39">
        <v>6.60887373776051</v>
      </c>
      <c r="B38" s="40">
        <v>2.5</v>
      </c>
      <c r="D38" s="2"/>
      <c r="E38" s="31"/>
      <c r="G38" s="43"/>
      <c r="H38" s="2"/>
    </row>
    <row r="39" spans="1:8">
      <c r="A39" s="39">
        <v>6.60364685248864</v>
      </c>
      <c r="B39" s="40">
        <v>0</v>
      </c>
      <c r="D39" s="2"/>
      <c r="E39" s="31"/>
      <c r="G39" s="43"/>
      <c r="H39" s="2"/>
    </row>
    <row r="40" spans="1:8">
      <c r="A40" s="39">
        <v>6.59841996721676</v>
      </c>
      <c r="B40" s="40">
        <v>6.4</v>
      </c>
      <c r="D40" s="2"/>
      <c r="E40" s="31"/>
      <c r="G40" s="43"/>
      <c r="H40" s="2"/>
    </row>
    <row r="41" spans="1:8">
      <c r="A41" s="39">
        <v>6.59423845899926</v>
      </c>
      <c r="B41" s="40">
        <v>0</v>
      </c>
      <c r="D41" s="2"/>
      <c r="E41" s="31"/>
      <c r="G41" s="43"/>
      <c r="H41" s="2"/>
    </row>
    <row r="42" spans="1:8">
      <c r="A42" s="39">
        <v>6.59319308194489</v>
      </c>
      <c r="B42" s="40">
        <v>7.4</v>
      </c>
      <c r="D42" s="2"/>
      <c r="E42" s="31"/>
      <c r="G42" s="43"/>
      <c r="H42" s="2"/>
    </row>
    <row r="43" spans="1:8">
      <c r="A43" s="39">
        <v>6.57855780318363</v>
      </c>
      <c r="B43" s="40">
        <v>4.7</v>
      </c>
      <c r="D43" s="2"/>
      <c r="E43" s="31"/>
      <c r="G43" s="43"/>
      <c r="H43" s="2"/>
    </row>
    <row r="44" spans="1:8">
      <c r="A44" s="39">
        <v>6.57751242612926</v>
      </c>
      <c r="B44" s="40">
        <v>6</v>
      </c>
      <c r="D44" s="2"/>
      <c r="E44" s="31"/>
      <c r="G44" s="43"/>
      <c r="H44" s="2"/>
    </row>
    <row r="45" spans="1:8">
      <c r="A45" s="39">
        <v>6.57751242612926</v>
      </c>
      <c r="B45" s="40">
        <v>7.2</v>
      </c>
      <c r="D45" s="2"/>
      <c r="E45" s="31"/>
      <c r="G45" s="43"/>
      <c r="H45" s="2"/>
    </row>
    <row r="46" spans="1:8">
      <c r="A46" s="39">
        <v>6.57333091791176</v>
      </c>
      <c r="B46" s="40">
        <v>8.6</v>
      </c>
      <c r="D46" s="2"/>
      <c r="E46" s="31"/>
      <c r="G46" s="43"/>
      <c r="H46" s="2"/>
    </row>
    <row r="47" spans="1:8">
      <c r="A47" s="39">
        <v>6.57228554085738</v>
      </c>
      <c r="B47" s="40">
        <v>6.8</v>
      </c>
      <c r="D47" s="2"/>
      <c r="E47" s="31"/>
      <c r="G47" s="43"/>
      <c r="H47" s="2"/>
    </row>
    <row r="48" spans="1:8">
      <c r="A48" s="39">
        <v>6.57228554085738</v>
      </c>
      <c r="B48" s="40">
        <v>0</v>
      </c>
      <c r="D48" s="2"/>
      <c r="E48" s="31"/>
      <c r="G48" s="43"/>
      <c r="H48" s="2"/>
    </row>
    <row r="49" spans="1:8">
      <c r="A49" s="39">
        <v>6.5670586555855</v>
      </c>
      <c r="B49" s="40">
        <v>2.5</v>
      </c>
      <c r="D49" s="2"/>
      <c r="E49" s="31"/>
      <c r="G49" s="43"/>
      <c r="H49" s="2"/>
    </row>
    <row r="50" spans="1:8">
      <c r="A50" s="39">
        <v>6.56496790147675</v>
      </c>
      <c r="B50" s="40">
        <v>8.6</v>
      </c>
      <c r="D50" s="2"/>
      <c r="E50" s="31"/>
      <c r="G50" s="43"/>
      <c r="H50" s="2"/>
    </row>
    <row r="51" spans="1:8">
      <c r="A51" s="39">
        <v>6.562877147368</v>
      </c>
      <c r="B51" s="40">
        <v>2.7</v>
      </c>
      <c r="D51" s="2"/>
      <c r="E51" s="31"/>
      <c r="G51" s="43"/>
      <c r="H51" s="2"/>
    </row>
    <row r="52" spans="1:8">
      <c r="A52" s="39">
        <v>6.56183177031363</v>
      </c>
      <c r="B52" s="40">
        <v>5</v>
      </c>
      <c r="D52" s="2"/>
      <c r="E52" s="31"/>
      <c r="G52" s="43"/>
      <c r="H52" s="2"/>
    </row>
    <row r="53" spans="1:8">
      <c r="A53" s="39">
        <v>6.55765026209613</v>
      </c>
      <c r="B53" s="40">
        <v>6.7</v>
      </c>
      <c r="D53" s="2"/>
      <c r="E53" s="31"/>
      <c r="G53" s="43"/>
      <c r="H53" s="2"/>
    </row>
    <row r="54" spans="1:8">
      <c r="A54" s="39">
        <v>6.55555950798738</v>
      </c>
      <c r="B54" s="40">
        <v>3</v>
      </c>
      <c r="D54" s="2"/>
      <c r="E54" s="31"/>
      <c r="G54" s="43"/>
      <c r="H54" s="2"/>
    </row>
    <row r="55" spans="1:8">
      <c r="A55" s="39">
        <v>6.55137799976988</v>
      </c>
      <c r="B55" s="40">
        <v>6.9</v>
      </c>
      <c r="D55" s="2"/>
      <c r="E55" s="31"/>
      <c r="G55" s="43"/>
      <c r="H55" s="2"/>
    </row>
    <row r="56" spans="1:8">
      <c r="A56" s="39">
        <v>6.54510573744362</v>
      </c>
      <c r="B56" s="40">
        <v>4</v>
      </c>
      <c r="D56" s="2"/>
      <c r="E56" s="31"/>
      <c r="G56" s="43"/>
      <c r="H56" s="2"/>
    </row>
    <row r="57" spans="1:8">
      <c r="A57" s="39">
        <v>6.5419696062805</v>
      </c>
      <c r="B57" s="40">
        <v>8.9</v>
      </c>
      <c r="D57" s="2"/>
      <c r="E57" s="31"/>
      <c r="G57" s="43"/>
      <c r="H57" s="2"/>
    </row>
    <row r="58" spans="1:8">
      <c r="A58" s="39">
        <v>6.5419696062805</v>
      </c>
      <c r="B58" s="40">
        <v>5.9</v>
      </c>
      <c r="D58" s="2"/>
      <c r="E58" s="31"/>
      <c r="G58" s="43"/>
      <c r="H58" s="2"/>
    </row>
    <row r="59" spans="1:8">
      <c r="A59" s="39">
        <v>6.53674272100862</v>
      </c>
      <c r="B59" s="40">
        <v>9</v>
      </c>
      <c r="D59" s="2"/>
      <c r="E59" s="31"/>
      <c r="G59" s="43"/>
      <c r="H59" s="2"/>
    </row>
    <row r="60" spans="1:8">
      <c r="A60" s="39">
        <v>6.53151583573674</v>
      </c>
      <c r="B60" s="40">
        <v>4</v>
      </c>
      <c r="D60" s="2"/>
      <c r="E60" s="31"/>
      <c r="G60" s="43"/>
      <c r="H60" s="2"/>
    </row>
    <row r="61" spans="1:8">
      <c r="A61" s="39">
        <v>6.53047045868237</v>
      </c>
      <c r="B61" s="40">
        <v>0</v>
      </c>
      <c r="D61" s="2"/>
      <c r="E61" s="31"/>
      <c r="G61" s="43"/>
      <c r="H61" s="2"/>
    </row>
    <row r="62" spans="1:8">
      <c r="A62" s="39">
        <v>6.53047045868237</v>
      </c>
      <c r="B62" s="40">
        <v>6.3</v>
      </c>
      <c r="D62" s="2"/>
      <c r="E62" s="31"/>
      <c r="G62" s="43"/>
      <c r="H62" s="2"/>
    </row>
    <row r="63" spans="1:8">
      <c r="A63" s="39">
        <v>6.53047045868237</v>
      </c>
      <c r="B63" s="40">
        <v>0</v>
      </c>
      <c r="D63" s="2"/>
      <c r="E63" s="31"/>
      <c r="G63" s="43"/>
      <c r="H63" s="2"/>
    </row>
    <row r="64" spans="1:8">
      <c r="A64" s="39">
        <v>6.52524357341049</v>
      </c>
      <c r="B64" s="40">
        <v>4.6</v>
      </c>
      <c r="D64" s="2"/>
      <c r="E64" s="31"/>
      <c r="G64" s="43"/>
      <c r="H64" s="2"/>
    </row>
    <row r="65" spans="1:8">
      <c r="A65" s="39">
        <v>6.52001668813862</v>
      </c>
      <c r="B65" s="40">
        <v>8.4</v>
      </c>
      <c r="D65" s="2"/>
      <c r="E65" s="31"/>
      <c r="G65" s="43"/>
      <c r="H65" s="2"/>
    </row>
    <row r="66" spans="1:8">
      <c r="A66" s="39">
        <v>6.52001668813862</v>
      </c>
      <c r="B66" s="40">
        <v>1.8</v>
      </c>
      <c r="D66" s="2"/>
      <c r="E66" s="31"/>
      <c r="G66" s="43"/>
      <c r="H66" s="2"/>
    </row>
    <row r="67" spans="1:8">
      <c r="A67" s="39">
        <v>6.51478980286674</v>
      </c>
      <c r="B67" s="40">
        <v>7.5</v>
      </c>
      <c r="D67" s="2"/>
      <c r="E67" s="31"/>
      <c r="G67" s="43"/>
      <c r="H67" s="2"/>
    </row>
    <row r="68" spans="1:8">
      <c r="A68" s="39">
        <v>6.51478980286674</v>
      </c>
      <c r="B68" s="40">
        <v>8.5</v>
      </c>
      <c r="D68" s="2"/>
      <c r="E68" s="31"/>
      <c r="G68" s="43"/>
      <c r="H68" s="2"/>
    </row>
    <row r="69" spans="1:8">
      <c r="A69" s="39">
        <v>6.51478980286674</v>
      </c>
      <c r="B69" s="40">
        <v>8.5</v>
      </c>
      <c r="D69" s="2"/>
      <c r="E69" s="31"/>
      <c r="G69" s="43"/>
      <c r="H69" s="2"/>
    </row>
    <row r="70" spans="1:8">
      <c r="A70" s="39">
        <v>6.51478980286674</v>
      </c>
      <c r="B70" s="40">
        <v>2.5</v>
      </c>
      <c r="D70" s="2"/>
      <c r="E70" s="31"/>
      <c r="G70" s="43"/>
      <c r="H70" s="2"/>
    </row>
    <row r="71" spans="1:8">
      <c r="A71" s="39">
        <v>6.50956291759486</v>
      </c>
      <c r="B71" s="40">
        <v>4.2</v>
      </c>
      <c r="D71" s="2"/>
      <c r="E71" s="31"/>
      <c r="G71" s="43"/>
      <c r="H71" s="2"/>
    </row>
    <row r="72" spans="1:8">
      <c r="A72" s="39">
        <v>6.50433603232299</v>
      </c>
      <c r="B72" s="40">
        <v>5.1</v>
      </c>
      <c r="D72" s="2"/>
      <c r="E72" s="31"/>
      <c r="G72" s="43"/>
      <c r="H72" s="2"/>
    </row>
    <row r="73" spans="1:8">
      <c r="A73" s="39">
        <v>6.50329065526861</v>
      </c>
      <c r="B73" s="40">
        <v>5</v>
      </c>
      <c r="D73" s="2"/>
      <c r="E73" s="31"/>
      <c r="G73" s="43"/>
      <c r="H73" s="2"/>
    </row>
    <row r="74" spans="1:8">
      <c r="A74" s="39">
        <v>6.49910914705111</v>
      </c>
      <c r="B74" s="40">
        <v>3.5</v>
      </c>
      <c r="D74" s="2"/>
      <c r="E74" s="31"/>
      <c r="G74" s="43"/>
      <c r="H74" s="2"/>
    </row>
    <row r="75" spans="1:8">
      <c r="A75" s="39">
        <v>6.49388226177923</v>
      </c>
      <c r="B75" s="40">
        <v>4.5</v>
      </c>
      <c r="D75" s="2"/>
      <c r="E75" s="31"/>
      <c r="G75" s="43"/>
      <c r="H75" s="2"/>
    </row>
    <row r="76" spans="1:8">
      <c r="A76" s="39">
        <v>6.49283688472486</v>
      </c>
      <c r="B76" s="40">
        <v>7</v>
      </c>
      <c r="D76" s="2"/>
      <c r="E76" s="31"/>
      <c r="G76" s="43"/>
      <c r="H76" s="2"/>
    </row>
    <row r="77" spans="1:8">
      <c r="A77" s="39">
        <v>6.48970075356173</v>
      </c>
      <c r="B77" s="40">
        <v>4</v>
      </c>
      <c r="D77" s="2"/>
      <c r="E77" s="31"/>
      <c r="G77" s="43"/>
      <c r="H77" s="2"/>
    </row>
    <row r="78" spans="1:8">
      <c r="A78" s="39">
        <v>6.48865537650736</v>
      </c>
      <c r="B78" s="40">
        <v>6.8</v>
      </c>
      <c r="D78" s="2"/>
      <c r="E78" s="31"/>
      <c r="G78" s="43"/>
      <c r="H78" s="2"/>
    </row>
    <row r="79" spans="1:8">
      <c r="A79" s="39">
        <v>6.48760999945298</v>
      </c>
      <c r="B79" s="40">
        <v>2.3</v>
      </c>
      <c r="D79" s="2"/>
      <c r="E79" s="31"/>
      <c r="G79" s="43"/>
      <c r="H79" s="2"/>
    </row>
    <row r="80" spans="1:8">
      <c r="A80" s="39">
        <v>6.48342849123548</v>
      </c>
      <c r="B80" s="40">
        <v>5.3</v>
      </c>
      <c r="D80" s="2"/>
      <c r="E80" s="31"/>
      <c r="G80" s="43"/>
      <c r="H80" s="2"/>
    </row>
    <row r="81" spans="1:8">
      <c r="A81" s="39">
        <v>6.47820160596361</v>
      </c>
      <c r="B81" s="40">
        <v>3</v>
      </c>
      <c r="D81" s="2"/>
      <c r="E81" s="31"/>
      <c r="G81" s="43"/>
      <c r="H81" s="2"/>
    </row>
    <row r="82" spans="1:8">
      <c r="A82" s="39">
        <v>6.47820160596361</v>
      </c>
      <c r="B82" s="40">
        <v>5</v>
      </c>
      <c r="D82" s="2"/>
      <c r="E82" s="31"/>
      <c r="G82" s="43"/>
      <c r="H82" s="2"/>
    </row>
    <row r="83" spans="1:8">
      <c r="A83" s="39">
        <v>6.47715622890923</v>
      </c>
      <c r="B83" s="40">
        <v>4</v>
      </c>
      <c r="D83" s="2"/>
      <c r="E83" s="31"/>
      <c r="G83" s="43"/>
      <c r="H83" s="2"/>
    </row>
    <row r="84" spans="1:8">
      <c r="A84" s="39">
        <v>6.4740200977461</v>
      </c>
      <c r="B84" s="40">
        <v>2.3</v>
      </c>
      <c r="D84" s="2"/>
      <c r="E84" s="31"/>
      <c r="G84" s="43"/>
      <c r="H84" s="2"/>
    </row>
    <row r="85" spans="1:8">
      <c r="A85" s="39">
        <v>6.47297472069173</v>
      </c>
      <c r="B85" s="40">
        <v>4</v>
      </c>
      <c r="D85" s="2"/>
      <c r="E85" s="31"/>
      <c r="G85" s="43"/>
      <c r="H85" s="2"/>
    </row>
    <row r="86" spans="1:8">
      <c r="A86" s="39">
        <v>6.46356632720235</v>
      </c>
      <c r="B86" s="40">
        <v>3.8</v>
      </c>
      <c r="D86" s="2"/>
      <c r="E86" s="31"/>
      <c r="G86" s="43"/>
      <c r="H86" s="2"/>
    </row>
    <row r="87" spans="1:8">
      <c r="A87" s="39">
        <v>6.45938481898485</v>
      </c>
      <c r="B87" s="40">
        <v>5.9</v>
      </c>
      <c r="D87" s="2"/>
      <c r="E87" s="31"/>
      <c r="G87" s="43"/>
      <c r="H87" s="2"/>
    </row>
    <row r="88" spans="1:8">
      <c r="A88" s="39">
        <v>6.4572940648761</v>
      </c>
      <c r="B88" s="40">
        <v>3</v>
      </c>
      <c r="D88" s="2"/>
      <c r="E88" s="31"/>
      <c r="G88" s="43"/>
      <c r="H88" s="2"/>
    </row>
    <row r="89" spans="1:8">
      <c r="A89" s="39">
        <v>6.45206717960422</v>
      </c>
      <c r="B89" s="40">
        <v>2.6</v>
      </c>
      <c r="D89" s="2"/>
      <c r="E89" s="31"/>
      <c r="G89" s="43"/>
      <c r="H89" s="2"/>
    </row>
    <row r="90" spans="1:8">
      <c r="A90" s="39">
        <v>6.44684029433235</v>
      </c>
      <c r="B90" s="40">
        <v>11</v>
      </c>
      <c r="D90" s="2"/>
      <c r="E90" s="31"/>
      <c r="G90" s="43"/>
      <c r="H90" s="2"/>
    </row>
    <row r="91" spans="1:8">
      <c r="A91" s="39">
        <v>6.44428730238881</v>
      </c>
      <c r="B91" s="40">
        <v>4.9</v>
      </c>
      <c r="D91" s="2"/>
      <c r="E91" s="31"/>
      <c r="G91" s="43"/>
      <c r="H91" s="2"/>
    </row>
    <row r="92" spans="1:8">
      <c r="A92" s="39">
        <v>6.43325039262547</v>
      </c>
      <c r="B92" s="40">
        <v>4.5</v>
      </c>
      <c r="D92" s="2"/>
      <c r="E92" s="31"/>
      <c r="G92" s="43"/>
      <c r="H92" s="2"/>
    </row>
    <row r="93" spans="1:8">
      <c r="A93" s="39">
        <v>6.43011426146234</v>
      </c>
      <c r="B93" s="40">
        <v>6.5</v>
      </c>
      <c r="D93" s="2"/>
      <c r="E93" s="31"/>
      <c r="G93" s="43"/>
      <c r="H93" s="2"/>
    </row>
    <row r="94" spans="1:8">
      <c r="A94" s="39">
        <v>6.42987270210014</v>
      </c>
      <c r="B94" s="40">
        <v>2</v>
      </c>
      <c r="D94" s="2"/>
      <c r="E94" s="31"/>
      <c r="G94" s="43"/>
      <c r="H94" s="2"/>
    </row>
    <row r="95" spans="1:8">
      <c r="A95" s="39">
        <v>6.42802350735359</v>
      </c>
      <c r="B95" s="40">
        <v>7.5</v>
      </c>
      <c r="D95" s="2"/>
      <c r="E95" s="31"/>
      <c r="G95" s="43"/>
      <c r="H95" s="2"/>
    </row>
    <row r="96" spans="1:8">
      <c r="A96" s="39">
        <v>6.42175124502734</v>
      </c>
      <c r="B96" s="40">
        <v>5.6</v>
      </c>
      <c r="D96" s="2"/>
      <c r="E96" s="31"/>
      <c r="G96" s="43"/>
      <c r="H96" s="2"/>
    </row>
    <row r="97" spans="1:8">
      <c r="A97" s="39">
        <v>6.42175124502734</v>
      </c>
      <c r="B97" s="40">
        <v>0</v>
      </c>
      <c r="D97" s="2"/>
      <c r="E97" s="31"/>
      <c r="G97" s="43"/>
      <c r="H97" s="2"/>
    </row>
    <row r="98" spans="1:8">
      <c r="A98" s="39">
        <v>6.42070586797297</v>
      </c>
      <c r="B98" s="40">
        <v>3.5</v>
      </c>
      <c r="D98" s="2"/>
      <c r="E98" s="31"/>
      <c r="G98" s="43"/>
      <c r="H98" s="2"/>
    </row>
    <row r="99" spans="1:8">
      <c r="A99" s="39">
        <v>6.41641907516405</v>
      </c>
      <c r="B99" s="40">
        <v>5.05</v>
      </c>
      <c r="D99" s="2"/>
      <c r="E99" s="31"/>
      <c r="G99" s="43"/>
      <c r="H99" s="2"/>
    </row>
    <row r="100" spans="1:8">
      <c r="A100" s="39">
        <v>6.41593858848776</v>
      </c>
      <c r="B100" s="40">
        <v>7.5</v>
      </c>
      <c r="D100" s="2"/>
      <c r="E100" s="31"/>
      <c r="G100" s="43"/>
      <c r="H100" s="2"/>
    </row>
    <row r="101" spans="1:8">
      <c r="A101" s="39">
        <v>6.41545810181147</v>
      </c>
      <c r="B101" s="40">
        <v>3.6</v>
      </c>
      <c r="D101" s="2"/>
      <c r="E101" s="31"/>
      <c r="G101" s="43"/>
      <c r="H101" s="2"/>
    </row>
    <row r="102" spans="1:8">
      <c r="A102" s="39">
        <v>6.41443360564671</v>
      </c>
      <c r="B102" s="40">
        <v>12.6</v>
      </c>
      <c r="D102" s="2"/>
      <c r="E102" s="31"/>
      <c r="G102" s="43"/>
      <c r="H102" s="2"/>
    </row>
    <row r="103" spans="1:8">
      <c r="A103" s="39">
        <v>6.40502521215734</v>
      </c>
      <c r="B103" s="40">
        <v>0</v>
      </c>
      <c r="D103" s="2"/>
      <c r="E103" s="31"/>
      <c r="G103" s="43"/>
      <c r="H103" s="2"/>
    </row>
    <row r="104" spans="1:8">
      <c r="A104" s="39">
        <v>6.40397983510296</v>
      </c>
      <c r="B104" s="40">
        <v>4</v>
      </c>
      <c r="D104" s="2"/>
      <c r="E104" s="31"/>
      <c r="G104" s="43"/>
      <c r="H104" s="2"/>
    </row>
    <row r="105" spans="1:8">
      <c r="A105" s="39">
        <v>6.40397983510296</v>
      </c>
      <c r="B105" s="40">
        <v>6.7</v>
      </c>
      <c r="D105" s="2"/>
      <c r="E105" s="31"/>
      <c r="G105" s="43"/>
      <c r="H105" s="2"/>
    </row>
    <row r="106" spans="1:8">
      <c r="A106" s="39">
        <v>6.40084370393984</v>
      </c>
      <c r="B106" s="40">
        <v>1.1</v>
      </c>
      <c r="D106" s="2"/>
      <c r="E106" s="31"/>
      <c r="G106" s="43"/>
      <c r="H106" s="2"/>
    </row>
    <row r="107" spans="1:8">
      <c r="A107" s="39">
        <v>6.40084370393984</v>
      </c>
      <c r="B107" s="40">
        <v>4.5</v>
      </c>
      <c r="D107" s="2"/>
      <c r="E107" s="31"/>
      <c r="G107" s="43"/>
      <c r="H107" s="2"/>
    </row>
    <row r="108" spans="1:8">
      <c r="A108" s="39">
        <v>6.39979832688546</v>
      </c>
      <c r="B108" s="40">
        <v>7.5</v>
      </c>
      <c r="D108" s="2"/>
      <c r="E108" s="31"/>
      <c r="G108" s="43"/>
      <c r="H108" s="2"/>
    </row>
    <row r="109" spans="1:8">
      <c r="A109" s="39">
        <v>6.39719960811248</v>
      </c>
      <c r="B109" s="40">
        <v>2</v>
      </c>
      <c r="D109" s="2"/>
      <c r="E109" s="31"/>
      <c r="G109" s="43"/>
      <c r="H109" s="2"/>
    </row>
    <row r="110" spans="1:8">
      <c r="A110" s="39">
        <v>6.39623863475991</v>
      </c>
      <c r="B110" s="40">
        <v>5.7</v>
      </c>
      <c r="D110" s="2"/>
      <c r="E110" s="31"/>
      <c r="G110" s="43"/>
      <c r="H110" s="2"/>
    </row>
    <row r="111" spans="1:8">
      <c r="A111" s="39">
        <v>6.39561681866796</v>
      </c>
      <c r="B111" s="40">
        <v>8.6</v>
      </c>
      <c r="D111" s="2"/>
      <c r="E111" s="31"/>
      <c r="G111" s="43"/>
      <c r="H111" s="2"/>
    </row>
    <row r="112" spans="1:8">
      <c r="A112" s="39">
        <v>6.39457144161358</v>
      </c>
      <c r="B112" s="40">
        <v>4.7</v>
      </c>
      <c r="D112" s="2"/>
      <c r="E112" s="31"/>
      <c r="G112" s="43"/>
      <c r="H112" s="2"/>
    </row>
    <row r="113" spans="1:8">
      <c r="A113" s="39">
        <v>6.3875898745867</v>
      </c>
      <c r="B113" s="40">
        <v>5.7</v>
      </c>
      <c r="D113" s="2"/>
      <c r="E113" s="31"/>
      <c r="G113" s="43"/>
      <c r="H113" s="2"/>
    </row>
    <row r="114" spans="1:8">
      <c r="A114" s="39">
        <v>6.38411767106983</v>
      </c>
      <c r="B114" s="40">
        <v>8.2</v>
      </c>
      <c r="D114" s="2"/>
      <c r="E114" s="31"/>
      <c r="G114" s="43"/>
      <c r="H114" s="2"/>
    </row>
    <row r="115" spans="1:8">
      <c r="A115" s="39">
        <v>6.37889078579795</v>
      </c>
      <c r="B115" s="40">
        <v>3.5</v>
      </c>
      <c r="D115" s="2"/>
      <c r="E115" s="31"/>
      <c r="G115" s="43"/>
      <c r="H115" s="2"/>
    </row>
    <row r="116" spans="1:8">
      <c r="A116" s="39">
        <v>6.37846062773721</v>
      </c>
      <c r="B116" s="40">
        <v>8</v>
      </c>
      <c r="D116" s="2"/>
      <c r="E116" s="31"/>
      <c r="G116" s="43"/>
      <c r="H116" s="2"/>
    </row>
    <row r="117" spans="1:8">
      <c r="A117" s="39">
        <v>6.37366390052608</v>
      </c>
      <c r="B117" s="40">
        <v>0</v>
      </c>
      <c r="D117" s="2"/>
      <c r="E117" s="31"/>
      <c r="G117" s="43"/>
      <c r="H117" s="2"/>
    </row>
    <row r="118" spans="1:8">
      <c r="A118" s="39">
        <v>6.37366390052608</v>
      </c>
      <c r="B118" s="40">
        <v>5.5</v>
      </c>
      <c r="D118" s="2"/>
      <c r="E118" s="31"/>
      <c r="G118" s="43"/>
      <c r="H118" s="2"/>
    </row>
    <row r="119" spans="1:8">
      <c r="A119" s="39">
        <v>6.37366390052608</v>
      </c>
      <c r="B119" s="40">
        <v>7.2</v>
      </c>
      <c r="D119" s="2"/>
      <c r="E119" s="31"/>
      <c r="G119" s="43"/>
      <c r="H119" s="2"/>
    </row>
    <row r="120" spans="1:8">
      <c r="A120" s="39">
        <v>6.3726185234717</v>
      </c>
      <c r="B120" s="40">
        <v>6.7</v>
      </c>
      <c r="D120" s="2"/>
      <c r="E120" s="31"/>
      <c r="G120" s="43"/>
      <c r="H120" s="2"/>
    </row>
    <row r="121" spans="1:8">
      <c r="A121" s="39">
        <v>6.3642555070367</v>
      </c>
      <c r="B121" s="40">
        <v>6.4</v>
      </c>
      <c r="D121" s="2"/>
      <c r="E121" s="31"/>
      <c r="G121" s="43"/>
      <c r="H121" s="2"/>
    </row>
    <row r="122" spans="1:8">
      <c r="A122" s="39">
        <v>6.36321012998232</v>
      </c>
      <c r="B122" s="40">
        <v>8.6</v>
      </c>
      <c r="D122" s="2"/>
      <c r="E122" s="31"/>
      <c r="G122" s="43"/>
      <c r="H122" s="2"/>
    </row>
    <row r="123" spans="1:8">
      <c r="A123" s="39">
        <v>6.35902862176482</v>
      </c>
      <c r="B123" s="40">
        <v>5</v>
      </c>
      <c r="D123" s="2"/>
      <c r="E123" s="31"/>
      <c r="G123" s="43"/>
      <c r="H123" s="2"/>
    </row>
    <row r="124" spans="1:8">
      <c r="A124" s="39">
        <v>6.35798324471045</v>
      </c>
      <c r="B124" s="40">
        <v>3.2</v>
      </c>
      <c r="D124" s="2"/>
      <c r="E124" s="31"/>
      <c r="G124" s="43"/>
      <c r="H124" s="2"/>
    </row>
    <row r="125" spans="1:8">
      <c r="A125" s="39">
        <v>6.35395580724647</v>
      </c>
      <c r="B125" s="40">
        <v>5</v>
      </c>
      <c r="D125" s="2"/>
      <c r="E125" s="31"/>
      <c r="G125" s="43"/>
      <c r="H125" s="2"/>
    </row>
    <row r="126" spans="1:8">
      <c r="A126" s="39">
        <v>6.35380173649295</v>
      </c>
      <c r="B126" s="40">
        <v>4.9</v>
      </c>
      <c r="D126" s="2"/>
      <c r="E126" s="31"/>
      <c r="G126" s="43"/>
      <c r="H126" s="2"/>
    </row>
    <row r="127" spans="1:8">
      <c r="A127" s="39">
        <v>6.35275635943857</v>
      </c>
      <c r="B127" s="40">
        <v>5.5</v>
      </c>
      <c r="D127" s="2"/>
      <c r="E127" s="31"/>
      <c r="G127" s="43"/>
      <c r="H127" s="2"/>
    </row>
    <row r="128" spans="1:8">
      <c r="A128" s="39">
        <v>6.3517109823842</v>
      </c>
      <c r="B128" s="40">
        <v>8.9</v>
      </c>
      <c r="D128" s="2"/>
      <c r="E128" s="31"/>
      <c r="G128" s="43"/>
      <c r="H128" s="2"/>
    </row>
    <row r="129" spans="1:8">
      <c r="A129" s="39">
        <v>6.3517109823842</v>
      </c>
      <c r="B129" s="40">
        <v>5.5</v>
      </c>
      <c r="D129" s="2"/>
      <c r="E129" s="31"/>
      <c r="G129" s="43"/>
      <c r="H129" s="2"/>
    </row>
    <row r="130" spans="1:8">
      <c r="A130" s="39">
        <v>6.34857485122107</v>
      </c>
      <c r="B130" s="40">
        <v>3.2</v>
      </c>
      <c r="D130" s="2"/>
      <c r="E130" s="31"/>
      <c r="G130" s="43"/>
      <c r="H130" s="2"/>
    </row>
    <row r="131" spans="1:8">
      <c r="A131" s="39">
        <v>6.3475294741667</v>
      </c>
      <c r="B131" s="40">
        <v>3.8</v>
      </c>
      <c r="D131" s="2"/>
      <c r="E131" s="31"/>
      <c r="G131" s="43"/>
      <c r="H131" s="2"/>
    </row>
    <row r="132" spans="1:8">
      <c r="A132" s="39">
        <v>6.3475294741667</v>
      </c>
      <c r="B132" s="40">
        <v>3.5</v>
      </c>
      <c r="D132" s="2"/>
      <c r="E132" s="31"/>
      <c r="G132" s="43"/>
      <c r="H132" s="2"/>
    </row>
    <row r="133" spans="1:8">
      <c r="A133" s="39">
        <v>6.3475294741667</v>
      </c>
      <c r="B133" s="40">
        <v>4.2</v>
      </c>
      <c r="D133" s="2"/>
      <c r="E133" s="31"/>
      <c r="G133" s="43"/>
      <c r="H133" s="2"/>
    </row>
    <row r="134" spans="1:8">
      <c r="A134" s="39">
        <v>6.34439334300357</v>
      </c>
      <c r="B134" s="40">
        <v>7.2</v>
      </c>
      <c r="D134" s="2"/>
      <c r="E134" s="31"/>
      <c r="G134" s="43"/>
      <c r="H134" s="2"/>
    </row>
    <row r="135" spans="1:8">
      <c r="A135" s="39">
        <v>6.34125721184044</v>
      </c>
      <c r="B135" s="40">
        <v>3.7</v>
      </c>
      <c r="D135" s="2"/>
      <c r="E135" s="31"/>
      <c r="G135" s="43"/>
      <c r="H135" s="2"/>
    </row>
    <row r="136" spans="1:8">
      <c r="A136" s="39">
        <v>6.33812108067732</v>
      </c>
      <c r="B136" s="40">
        <v>3.9</v>
      </c>
      <c r="D136" s="2"/>
      <c r="E136" s="31"/>
      <c r="G136" s="43"/>
      <c r="H136" s="2"/>
    </row>
    <row r="137" spans="1:8">
      <c r="A137" s="39">
        <v>6.33707570362294</v>
      </c>
      <c r="B137" s="40">
        <v>2.9</v>
      </c>
      <c r="D137" s="2"/>
      <c r="E137" s="31"/>
      <c r="G137" s="43"/>
      <c r="H137" s="2"/>
    </row>
    <row r="138" spans="1:8">
      <c r="A138" s="39">
        <v>6.33289419540544</v>
      </c>
      <c r="B138" s="40">
        <v>3.7</v>
      </c>
      <c r="D138" s="2"/>
      <c r="E138" s="31"/>
      <c r="G138" s="43"/>
      <c r="H138" s="2"/>
    </row>
    <row r="139" spans="1:8">
      <c r="A139" s="39">
        <v>6.33184881835107</v>
      </c>
      <c r="B139" s="40">
        <v>0</v>
      </c>
      <c r="D139" s="2"/>
      <c r="E139" s="31"/>
      <c r="G139" s="43"/>
      <c r="H139" s="2"/>
    </row>
    <row r="140" spans="1:8">
      <c r="A140" s="39">
        <v>6.32662193307919</v>
      </c>
      <c r="B140" s="40">
        <v>6</v>
      </c>
      <c r="D140" s="2"/>
      <c r="E140" s="31"/>
      <c r="G140" s="43"/>
      <c r="H140" s="2"/>
    </row>
    <row r="141" spans="1:8">
      <c r="A141" s="39">
        <v>6.32662193307919</v>
      </c>
      <c r="B141" s="40">
        <v>7.1</v>
      </c>
      <c r="D141" s="2"/>
      <c r="E141" s="31"/>
      <c r="G141" s="43"/>
      <c r="H141" s="2"/>
    </row>
    <row r="142" spans="1:8">
      <c r="A142" s="39">
        <v>6.32348580191606</v>
      </c>
      <c r="B142" s="40">
        <v>6.3</v>
      </c>
      <c r="D142" s="2"/>
      <c r="E142" s="31"/>
      <c r="G142" s="43"/>
      <c r="H142" s="2"/>
    </row>
    <row r="143" spans="1:8">
      <c r="A143" s="39">
        <v>6.32139504780731</v>
      </c>
      <c r="B143" s="40">
        <v>5.4</v>
      </c>
      <c r="D143" s="2"/>
      <c r="E143" s="31"/>
      <c r="G143" s="43"/>
      <c r="H143" s="2"/>
    </row>
    <row r="144" spans="1:8">
      <c r="A144" s="39">
        <v>6.32080222658252</v>
      </c>
      <c r="B144" s="40">
        <v>8.5</v>
      </c>
      <c r="D144" s="2"/>
      <c r="E144" s="31"/>
      <c r="G144" s="43"/>
      <c r="H144" s="2"/>
    </row>
    <row r="145" spans="1:8">
      <c r="A145" s="39">
        <v>6.32032173990624</v>
      </c>
      <c r="B145" s="40">
        <v>7.2</v>
      </c>
      <c r="D145" s="2"/>
      <c r="E145" s="31"/>
      <c r="G145" s="43"/>
      <c r="H145" s="2"/>
    </row>
    <row r="146" spans="1:8">
      <c r="A146" s="39">
        <v>6.31616816253544</v>
      </c>
      <c r="B146" s="40">
        <v>7.5</v>
      </c>
      <c r="D146" s="2"/>
      <c r="E146" s="31"/>
      <c r="G146" s="43"/>
      <c r="H146" s="2"/>
    </row>
    <row r="147" spans="1:8">
      <c r="A147" s="39">
        <v>6.31198665431794</v>
      </c>
      <c r="B147" s="40">
        <v>6.5</v>
      </c>
      <c r="D147" s="2"/>
      <c r="E147" s="31"/>
      <c r="G147" s="43"/>
      <c r="H147" s="2"/>
    </row>
    <row r="148" spans="1:8">
      <c r="A148" s="39">
        <v>6.31119249305674</v>
      </c>
      <c r="B148" s="40">
        <v>7.5</v>
      </c>
      <c r="D148" s="2"/>
      <c r="E148" s="31"/>
      <c r="G148" s="43"/>
      <c r="H148" s="2"/>
    </row>
    <row r="149" spans="1:8">
      <c r="A149" s="39">
        <v>6.30675976904606</v>
      </c>
      <c r="B149" s="40">
        <v>6</v>
      </c>
      <c r="D149" s="2"/>
      <c r="E149" s="31"/>
      <c r="G149" s="43"/>
      <c r="H149" s="2"/>
    </row>
    <row r="150" spans="1:8">
      <c r="A150" s="39">
        <v>6.30571439199168</v>
      </c>
      <c r="B150" s="40">
        <v>1.875</v>
      </c>
      <c r="D150" s="2"/>
      <c r="E150" s="31"/>
      <c r="G150" s="43"/>
      <c r="H150" s="2"/>
    </row>
    <row r="151" spans="1:8">
      <c r="A151" s="39">
        <v>6.30571439199168</v>
      </c>
      <c r="B151" s="40">
        <v>4.5</v>
      </c>
      <c r="D151" s="2"/>
      <c r="E151" s="31"/>
      <c r="G151" s="43"/>
      <c r="H151" s="2"/>
    </row>
    <row r="152" spans="1:8">
      <c r="A152" s="39">
        <v>6.3001412995021</v>
      </c>
      <c r="B152" s="40">
        <v>6.3</v>
      </c>
      <c r="D152" s="2"/>
      <c r="E152" s="31"/>
      <c r="G152" s="43"/>
      <c r="H152" s="2"/>
    </row>
    <row r="153" spans="1:8">
      <c r="A153" s="39">
        <v>6.29526062144793</v>
      </c>
      <c r="B153" s="40">
        <v>2.5</v>
      </c>
      <c r="D153" s="2"/>
      <c r="E153" s="31"/>
      <c r="G153" s="43"/>
      <c r="H153" s="2"/>
    </row>
    <row r="154" spans="1:8">
      <c r="A154" s="39">
        <v>6.29003373617606</v>
      </c>
      <c r="B154" s="40">
        <v>3.2</v>
      </c>
      <c r="D154" s="2"/>
      <c r="E154" s="31"/>
      <c r="G154" s="43"/>
      <c r="H154" s="2"/>
    </row>
    <row r="155" spans="1:8">
      <c r="A155" s="39">
        <v>6.29003373617606</v>
      </c>
      <c r="B155" s="40">
        <v>6.6</v>
      </c>
      <c r="D155" s="2"/>
      <c r="E155" s="31"/>
      <c r="G155" s="43"/>
      <c r="H155" s="2"/>
    </row>
    <row r="156" spans="1:8">
      <c r="A156" s="39">
        <v>6.28585222795855</v>
      </c>
      <c r="B156" s="40">
        <v>3.7</v>
      </c>
      <c r="D156" s="2"/>
      <c r="E156" s="31"/>
      <c r="G156" s="43"/>
      <c r="H156" s="2"/>
    </row>
    <row r="157" spans="1:8">
      <c r="A157" s="39">
        <v>6.28062534268668</v>
      </c>
      <c r="B157" s="40">
        <v>5.5</v>
      </c>
      <c r="D157" s="2"/>
      <c r="E157" s="31"/>
      <c r="G157" s="43"/>
      <c r="H157" s="2"/>
    </row>
    <row r="158" spans="1:8">
      <c r="A158" s="39">
        <v>6.2753984574148</v>
      </c>
      <c r="B158" s="40">
        <v>5.6</v>
      </c>
      <c r="D158" s="2"/>
      <c r="E158" s="31"/>
      <c r="G158" s="43"/>
      <c r="H158" s="2"/>
    </row>
    <row r="159" spans="1:8">
      <c r="A159" s="39">
        <v>6.27077244538357</v>
      </c>
      <c r="B159" s="40">
        <v>5.2</v>
      </c>
      <c r="D159" s="2"/>
      <c r="E159" s="31"/>
      <c r="G159" s="43"/>
      <c r="H159" s="2"/>
    </row>
    <row r="160" spans="1:8">
      <c r="A160" s="39">
        <v>6.26494468687105</v>
      </c>
      <c r="B160" s="40">
        <v>4.3</v>
      </c>
      <c r="D160" s="2"/>
      <c r="E160" s="31"/>
      <c r="G160" s="43"/>
      <c r="H160" s="2"/>
    </row>
    <row r="161" spans="1:8">
      <c r="A161" s="39">
        <v>6.26494468687105</v>
      </c>
      <c r="B161" s="40">
        <v>4</v>
      </c>
      <c r="D161" s="2"/>
      <c r="E161" s="31"/>
      <c r="G161" s="43"/>
      <c r="H161" s="2"/>
    </row>
    <row r="162" spans="1:8">
      <c r="A162" s="39">
        <v>6.26180855570792</v>
      </c>
      <c r="B162" s="40">
        <v>6.5</v>
      </c>
      <c r="D162" s="2"/>
      <c r="E162" s="31"/>
      <c r="G162" s="43"/>
      <c r="H162" s="2"/>
    </row>
    <row r="163" spans="1:8">
      <c r="A163" s="39">
        <v>6.24821865400104</v>
      </c>
      <c r="B163" s="40">
        <v>6.9</v>
      </c>
      <c r="D163" s="2"/>
      <c r="E163" s="31"/>
      <c r="G163" s="43"/>
      <c r="H163" s="2"/>
    </row>
    <row r="164" spans="1:8">
      <c r="A164" s="39">
        <v>6.24488533172885</v>
      </c>
      <c r="B164" s="40">
        <v>5.5</v>
      </c>
      <c r="D164" s="2"/>
      <c r="E164" s="31"/>
      <c r="G164" s="43"/>
      <c r="H164" s="2"/>
    </row>
    <row r="165" spans="1:8">
      <c r="A165" s="39">
        <v>6.24403714578354</v>
      </c>
      <c r="B165" s="40">
        <v>4.2</v>
      </c>
      <c r="D165" s="2"/>
      <c r="E165" s="31"/>
      <c r="G165" s="43"/>
      <c r="H165" s="2"/>
    </row>
    <row r="166" spans="1:8">
      <c r="A166" s="39">
        <v>6.24299176872917</v>
      </c>
      <c r="B166" s="40">
        <v>4.5</v>
      </c>
      <c r="D166" s="2"/>
      <c r="E166" s="31"/>
      <c r="G166" s="43"/>
      <c r="H166" s="2"/>
    </row>
    <row r="167" spans="1:8">
      <c r="A167" s="39">
        <v>6.23881026051167</v>
      </c>
      <c r="B167" s="40">
        <v>5.2</v>
      </c>
      <c r="D167" s="2"/>
      <c r="E167" s="31"/>
      <c r="G167" s="43"/>
      <c r="H167" s="2"/>
    </row>
    <row r="168" spans="1:8">
      <c r="A168" s="39">
        <v>6.2386390049371</v>
      </c>
      <c r="B168" s="40">
        <v>5.1</v>
      </c>
      <c r="D168" s="2"/>
      <c r="E168" s="31"/>
      <c r="G168" s="43"/>
      <c r="H168" s="2"/>
    </row>
    <row r="169" spans="1:8">
      <c r="A169" s="39">
        <v>6.23776488345729</v>
      </c>
      <c r="B169" s="40">
        <v>4.5</v>
      </c>
      <c r="D169" s="2"/>
      <c r="E169" s="31"/>
      <c r="G169" s="43"/>
      <c r="H169" s="2"/>
    </row>
    <row r="170" spans="1:8">
      <c r="A170" s="39">
        <v>6.23767803158452</v>
      </c>
      <c r="B170" s="40">
        <v>2</v>
      </c>
      <c r="D170" s="2"/>
      <c r="E170" s="31"/>
      <c r="G170" s="43"/>
      <c r="H170" s="2"/>
    </row>
    <row r="171" spans="1:8">
      <c r="A171" s="39">
        <v>6.23358337523979</v>
      </c>
      <c r="B171" s="40">
        <v>3.7</v>
      </c>
      <c r="D171" s="2"/>
      <c r="E171" s="31"/>
      <c r="G171" s="43"/>
      <c r="H171" s="2"/>
    </row>
    <row r="172" spans="1:8">
      <c r="A172" s="39">
        <v>6.23253799818541</v>
      </c>
      <c r="B172" s="40">
        <v>6</v>
      </c>
      <c r="D172" s="2"/>
      <c r="E172" s="31"/>
      <c r="G172" s="43"/>
      <c r="H172" s="2"/>
    </row>
    <row r="173" spans="1:8">
      <c r="A173" s="39">
        <v>6.23253799818541</v>
      </c>
      <c r="B173" s="40">
        <v>5.9</v>
      </c>
      <c r="D173" s="2"/>
      <c r="E173" s="31"/>
      <c r="G173" s="43"/>
      <c r="H173" s="2"/>
    </row>
    <row r="174" spans="1:8">
      <c r="A174" s="39">
        <v>6.22940186702229</v>
      </c>
      <c r="B174" s="40">
        <v>7.6</v>
      </c>
      <c r="D174" s="2"/>
      <c r="E174" s="31"/>
      <c r="G174" s="43"/>
      <c r="H174" s="2"/>
    </row>
    <row r="175" spans="1:8">
      <c r="A175" s="39">
        <v>6.22731111291354</v>
      </c>
      <c r="B175" s="40">
        <v>4.6</v>
      </c>
      <c r="D175" s="2"/>
      <c r="E175" s="31"/>
      <c r="G175" s="43"/>
      <c r="H175" s="2"/>
    </row>
    <row r="176" spans="1:8">
      <c r="A176" s="39">
        <v>6.22731111291354</v>
      </c>
      <c r="B176" s="40">
        <v>4.7</v>
      </c>
      <c r="D176" s="2"/>
      <c r="E176" s="31"/>
      <c r="G176" s="43"/>
      <c r="H176" s="2"/>
    </row>
    <row r="177" spans="1:8">
      <c r="A177" s="39">
        <v>6.22522035880479</v>
      </c>
      <c r="B177" s="40">
        <v>10.5</v>
      </c>
      <c r="D177" s="2"/>
      <c r="E177" s="31"/>
      <c r="G177" s="43"/>
      <c r="H177" s="2"/>
    </row>
    <row r="178" spans="1:8">
      <c r="A178" s="39">
        <v>6.22422440464842</v>
      </c>
      <c r="B178" s="40">
        <v>7</v>
      </c>
      <c r="D178" s="2"/>
      <c r="E178" s="31"/>
      <c r="G178" s="43"/>
      <c r="H178" s="2"/>
    </row>
    <row r="179" spans="1:8">
      <c r="A179" s="39">
        <v>6.22312960469604</v>
      </c>
      <c r="B179" s="40">
        <v>9.1</v>
      </c>
      <c r="D179" s="2"/>
      <c r="E179" s="31"/>
      <c r="G179" s="43"/>
      <c r="H179" s="2"/>
    </row>
    <row r="180" spans="1:8">
      <c r="A180" s="39">
        <v>6.21845856453295</v>
      </c>
      <c r="B180" s="40">
        <v>2</v>
      </c>
      <c r="D180" s="2"/>
      <c r="E180" s="31"/>
      <c r="G180" s="43"/>
      <c r="H180" s="2"/>
    </row>
    <row r="181" spans="1:8">
      <c r="A181" s="39">
        <v>6.21685734236979</v>
      </c>
      <c r="B181" s="40">
        <v>8.6</v>
      </c>
      <c r="D181" s="2"/>
      <c r="E181" s="31"/>
      <c r="G181" s="43"/>
      <c r="H181" s="2"/>
    </row>
    <row r="182" spans="1:8">
      <c r="A182" s="39">
        <v>6.21685734236979</v>
      </c>
      <c r="B182" s="40">
        <v>6</v>
      </c>
      <c r="D182" s="2"/>
      <c r="E182" s="31"/>
      <c r="G182" s="43"/>
      <c r="H182" s="2"/>
    </row>
    <row r="183" spans="1:8">
      <c r="A183" s="39">
        <v>6.21461467112264</v>
      </c>
      <c r="B183" s="40">
        <v>5.7</v>
      </c>
      <c r="D183" s="2"/>
      <c r="E183" s="31"/>
      <c r="G183" s="43"/>
      <c r="H183" s="2"/>
    </row>
    <row r="184" spans="1:8">
      <c r="A184" s="39">
        <v>6.21267583415228</v>
      </c>
      <c r="B184" s="40">
        <v>3.8</v>
      </c>
      <c r="D184" s="2"/>
      <c r="E184" s="31"/>
      <c r="G184" s="43"/>
      <c r="H184" s="2"/>
    </row>
    <row r="185" spans="1:8">
      <c r="A185" s="39">
        <v>6.21163045709791</v>
      </c>
      <c r="B185" s="40">
        <v>5.7</v>
      </c>
      <c r="D185" s="2"/>
      <c r="E185" s="31"/>
      <c r="G185" s="43"/>
      <c r="H185" s="2"/>
    </row>
    <row r="186" spans="1:8">
      <c r="A186" s="39">
        <v>6.20744894888041</v>
      </c>
      <c r="B186" s="40">
        <v>0</v>
      </c>
      <c r="D186" s="2"/>
      <c r="E186" s="31"/>
      <c r="G186" s="43"/>
      <c r="H186" s="2"/>
    </row>
    <row r="187" spans="1:8">
      <c r="A187" s="39">
        <v>6.20500493759686</v>
      </c>
      <c r="B187" s="40">
        <v>5.3</v>
      </c>
      <c r="D187" s="2"/>
      <c r="E187" s="31"/>
      <c r="G187" s="43"/>
      <c r="H187" s="2"/>
    </row>
    <row r="188" spans="1:8">
      <c r="A188" s="39">
        <v>6.20222206360853</v>
      </c>
      <c r="B188" s="40">
        <v>5.3</v>
      </c>
      <c r="D188" s="2"/>
      <c r="E188" s="31"/>
      <c r="G188" s="43"/>
      <c r="H188" s="2"/>
    </row>
    <row r="189" spans="1:8">
      <c r="A189" s="39">
        <v>6.19699517833666</v>
      </c>
      <c r="B189" s="40">
        <v>4.6</v>
      </c>
      <c r="D189" s="2"/>
      <c r="E189" s="31"/>
      <c r="G189" s="43"/>
      <c r="H189" s="2"/>
    </row>
    <row r="190" spans="1:8">
      <c r="A190" s="39">
        <v>6.1907229160104</v>
      </c>
      <c r="B190" s="40">
        <v>3.4</v>
      </c>
      <c r="D190" s="2"/>
      <c r="E190" s="31"/>
      <c r="G190" s="43"/>
      <c r="H190" s="2"/>
    </row>
    <row r="191" spans="1:8">
      <c r="A191" s="39">
        <v>6.1907229160104</v>
      </c>
      <c r="B191" s="40">
        <v>4</v>
      </c>
      <c r="D191" s="2"/>
      <c r="E191" s="31"/>
      <c r="G191" s="43"/>
      <c r="H191" s="2"/>
    </row>
    <row r="192" spans="1:8">
      <c r="A192" s="39">
        <v>6.18549603073853</v>
      </c>
      <c r="B192" s="40">
        <v>5.6</v>
      </c>
      <c r="D192" s="2"/>
      <c r="E192" s="31"/>
      <c r="G192" s="43"/>
      <c r="H192" s="2"/>
    </row>
    <row r="193" spans="1:8">
      <c r="A193" s="39">
        <v>6.18131452252103</v>
      </c>
      <c r="B193" s="40">
        <v>2</v>
      </c>
      <c r="D193" s="2"/>
      <c r="E193" s="31"/>
      <c r="G193" s="43"/>
      <c r="H193" s="2"/>
    </row>
    <row r="194" spans="1:8">
      <c r="A194" s="39">
        <v>6.18026914546665</v>
      </c>
      <c r="B194" s="40">
        <v>5.3</v>
      </c>
      <c r="D194" s="2"/>
      <c r="E194" s="31"/>
      <c r="G194" s="43"/>
      <c r="H194" s="2"/>
    </row>
    <row r="195" spans="1:8">
      <c r="A195" s="39">
        <v>6.17137087025663</v>
      </c>
      <c r="B195" s="40">
        <v>4.2</v>
      </c>
      <c r="D195" s="2"/>
      <c r="E195" s="31"/>
      <c r="G195" s="43"/>
      <c r="H195" s="2"/>
    </row>
    <row r="196" spans="1:8">
      <c r="A196" s="39">
        <v>6.1698153749229</v>
      </c>
      <c r="B196" s="40">
        <v>3.1</v>
      </c>
      <c r="D196" s="2"/>
      <c r="E196" s="31"/>
      <c r="G196" s="43"/>
      <c r="H196" s="2"/>
    </row>
    <row r="197" spans="1:8">
      <c r="A197" s="39">
        <v>6.1698153749229</v>
      </c>
      <c r="B197" s="40">
        <v>5</v>
      </c>
      <c r="D197" s="2"/>
      <c r="E197" s="31"/>
      <c r="G197" s="43"/>
      <c r="H197" s="2"/>
    </row>
    <row r="198" spans="1:8">
      <c r="A198" s="39">
        <v>6.16354311259665</v>
      </c>
      <c r="B198" s="40">
        <v>7</v>
      </c>
      <c r="D198" s="2"/>
      <c r="E198" s="31"/>
      <c r="G198" s="43"/>
      <c r="H198" s="2"/>
    </row>
    <row r="199" spans="1:8">
      <c r="A199" s="39">
        <v>6.16224162340714</v>
      </c>
      <c r="B199" s="40">
        <v>7.5</v>
      </c>
      <c r="D199" s="2"/>
      <c r="E199" s="31"/>
      <c r="G199" s="43"/>
      <c r="H199" s="2"/>
    </row>
    <row r="200" spans="1:8">
      <c r="A200" s="39">
        <v>6.15936160437915</v>
      </c>
      <c r="B200" s="40">
        <v>7</v>
      </c>
      <c r="D200" s="2"/>
      <c r="E200" s="31"/>
      <c r="G200" s="43"/>
      <c r="H200" s="2"/>
    </row>
    <row r="201" spans="1:8">
      <c r="A201" s="39">
        <v>6.14995321088977</v>
      </c>
      <c r="B201" s="40">
        <v>0</v>
      </c>
      <c r="D201" s="2"/>
      <c r="E201" s="31"/>
      <c r="G201" s="43"/>
      <c r="H201" s="2"/>
    </row>
    <row r="202" spans="1:8">
      <c r="A202" s="39">
        <v>6.14995321088977</v>
      </c>
      <c r="B202" s="40">
        <v>4.5</v>
      </c>
      <c r="D202" s="2"/>
      <c r="E202" s="31"/>
      <c r="G202" s="43"/>
      <c r="H202" s="2"/>
    </row>
    <row r="203" spans="1:8">
      <c r="A203" s="39">
        <v>6.14890783383539</v>
      </c>
      <c r="B203" s="40">
        <v>14.5</v>
      </c>
      <c r="D203" s="2"/>
      <c r="E203" s="31"/>
      <c r="G203" s="43"/>
      <c r="H203" s="2"/>
    </row>
    <row r="204" spans="1:8">
      <c r="A204" s="39">
        <v>6.14890783383539</v>
      </c>
      <c r="B204" s="40">
        <v>5.3</v>
      </c>
      <c r="D204" s="2"/>
      <c r="E204" s="31"/>
      <c r="G204" s="43"/>
      <c r="H204" s="2"/>
    </row>
    <row r="205" spans="1:8">
      <c r="A205" s="39">
        <v>6.14890783383539</v>
      </c>
      <c r="B205" s="40">
        <v>4.4</v>
      </c>
      <c r="D205" s="2"/>
      <c r="E205" s="31"/>
      <c r="G205" s="43"/>
      <c r="H205" s="2"/>
    </row>
    <row r="206" spans="1:8">
      <c r="A206" s="39">
        <v>6.13949944034602</v>
      </c>
      <c r="B206" s="40">
        <v>10.5</v>
      </c>
      <c r="D206" s="2"/>
      <c r="E206" s="31"/>
      <c r="G206" s="43"/>
      <c r="H206" s="2"/>
    </row>
    <row r="207" spans="1:8">
      <c r="A207" s="39">
        <v>6.13677582956382</v>
      </c>
      <c r="B207" s="40">
        <v>5.2</v>
      </c>
      <c r="D207" s="2"/>
      <c r="E207" s="31"/>
      <c r="G207" s="43"/>
      <c r="H207" s="2"/>
    </row>
    <row r="208" spans="1:8">
      <c r="A208" s="39">
        <v>6.12904566980226</v>
      </c>
      <c r="B208" s="40">
        <v>4.2</v>
      </c>
      <c r="D208" s="2"/>
      <c r="E208" s="31"/>
      <c r="G208" s="43"/>
      <c r="H208" s="2"/>
    </row>
    <row r="209" spans="1:8">
      <c r="A209" s="39">
        <v>6.12800029274789</v>
      </c>
      <c r="B209" s="40">
        <v>5.9</v>
      </c>
      <c r="D209" s="2"/>
      <c r="E209" s="31"/>
      <c r="G209" s="43"/>
      <c r="H209" s="2"/>
    </row>
    <row r="210" spans="1:8">
      <c r="A210" s="39">
        <v>6.12800029274789</v>
      </c>
      <c r="B210" s="40">
        <v>2.5</v>
      </c>
      <c r="D210" s="2"/>
      <c r="E210" s="31"/>
      <c r="G210" s="43"/>
      <c r="H210" s="2"/>
    </row>
    <row r="211" spans="1:8">
      <c r="A211" s="39">
        <v>6.12800029274789</v>
      </c>
      <c r="B211" s="40">
        <v>2.5</v>
      </c>
      <c r="D211" s="2"/>
      <c r="E211" s="31"/>
      <c r="G211" s="43"/>
      <c r="H211" s="2"/>
    </row>
    <row r="212" spans="1:8">
      <c r="A212" s="39">
        <v>6.12596545116286</v>
      </c>
      <c r="B212" s="40">
        <v>12.9</v>
      </c>
      <c r="D212" s="2"/>
      <c r="E212" s="31"/>
      <c r="G212" s="43"/>
      <c r="H212" s="2"/>
    </row>
    <row r="213" spans="1:8">
      <c r="A213" s="39">
        <v>6.12172803042164</v>
      </c>
      <c r="B213" s="40">
        <v>3.5</v>
      </c>
      <c r="D213" s="2"/>
      <c r="E213" s="31"/>
      <c r="G213" s="43"/>
      <c r="H213" s="2"/>
    </row>
    <row r="214" spans="1:8">
      <c r="A214" s="39">
        <v>6.11859189925851</v>
      </c>
      <c r="B214" s="40">
        <v>0</v>
      </c>
      <c r="D214" s="2"/>
      <c r="E214" s="31"/>
      <c r="G214" s="43"/>
      <c r="H214" s="2"/>
    </row>
    <row r="215" spans="1:8">
      <c r="A215" s="39">
        <v>6.11851733586483</v>
      </c>
      <c r="B215" s="40">
        <v>4.6</v>
      </c>
      <c r="D215" s="2"/>
      <c r="E215" s="31"/>
      <c r="G215" s="43"/>
      <c r="H215" s="2"/>
    </row>
    <row r="216" spans="1:8">
      <c r="A216" s="39">
        <v>6.11754652220413</v>
      </c>
      <c r="B216" s="40">
        <v>3.3</v>
      </c>
      <c r="D216" s="2"/>
      <c r="E216" s="31"/>
      <c r="G216" s="43"/>
      <c r="H216" s="2"/>
    </row>
    <row r="217" spans="1:8">
      <c r="A217" s="39">
        <v>6.11754652220413</v>
      </c>
      <c r="B217" s="40">
        <v>2.5</v>
      </c>
      <c r="D217" s="2"/>
      <c r="E217" s="31"/>
      <c r="G217" s="43"/>
      <c r="H217" s="2"/>
    </row>
    <row r="218" spans="1:8">
      <c r="A218" s="39">
        <v>6.11754652220413</v>
      </c>
      <c r="B218" s="40">
        <v>4</v>
      </c>
      <c r="D218" s="2"/>
      <c r="E218" s="31"/>
      <c r="G218" s="43"/>
      <c r="H218" s="2"/>
    </row>
    <row r="219" spans="1:8">
      <c r="A219" s="39">
        <v>6.11336501398663</v>
      </c>
      <c r="B219" s="40">
        <v>5.3</v>
      </c>
      <c r="D219" s="2"/>
      <c r="E219" s="31"/>
      <c r="G219" s="43"/>
      <c r="H219" s="2"/>
    </row>
    <row r="220" spans="1:8">
      <c r="A220" s="39">
        <v>6.10890760233905</v>
      </c>
      <c r="B220" s="40">
        <v>1.5</v>
      </c>
      <c r="D220" s="2"/>
      <c r="E220" s="31"/>
      <c r="G220" s="43"/>
      <c r="H220" s="2"/>
    </row>
    <row r="221" spans="1:8">
      <c r="A221" s="39">
        <v>6.10709275166038</v>
      </c>
      <c r="B221" s="40">
        <v>10.5</v>
      </c>
      <c r="D221" s="2"/>
      <c r="E221" s="31"/>
      <c r="G221" s="43"/>
      <c r="H221" s="2"/>
    </row>
    <row r="222" spans="1:8">
      <c r="A222" s="39">
        <v>6.10709275166038</v>
      </c>
      <c r="B222" s="40">
        <v>4.1</v>
      </c>
      <c r="D222" s="2"/>
      <c r="E222" s="31"/>
      <c r="G222" s="43"/>
      <c r="H222" s="2"/>
    </row>
    <row r="223" spans="1:8">
      <c r="A223" s="39">
        <v>6.10291124344288</v>
      </c>
      <c r="B223" s="40">
        <v>4.2</v>
      </c>
      <c r="D223" s="2"/>
      <c r="E223" s="31"/>
      <c r="G223" s="43"/>
      <c r="H223" s="2"/>
    </row>
    <row r="224" spans="1:8">
      <c r="A224" s="39">
        <v>6.09737592210811</v>
      </c>
      <c r="B224" s="40">
        <v>4</v>
      </c>
      <c r="D224" s="2"/>
      <c r="E224" s="31"/>
      <c r="G224" s="43"/>
      <c r="H224" s="2"/>
    </row>
    <row r="225" spans="1:8">
      <c r="A225" s="39">
        <v>6.09718393678359</v>
      </c>
      <c r="B225" s="40">
        <v>14</v>
      </c>
      <c r="D225" s="2"/>
      <c r="E225" s="31"/>
      <c r="G225" s="43"/>
      <c r="H225" s="2"/>
    </row>
    <row r="226" spans="1:8">
      <c r="A226" s="39">
        <v>6.09064910864007</v>
      </c>
      <c r="B226" s="40">
        <v>2.5</v>
      </c>
      <c r="D226" s="2"/>
      <c r="E226" s="31"/>
      <c r="G226" s="43"/>
      <c r="H226" s="2"/>
    </row>
    <row r="227" spans="1:8">
      <c r="A227" s="39">
        <v>6.080958325301</v>
      </c>
      <c r="B227" s="40">
        <v>5.9</v>
      </c>
      <c r="D227" s="2"/>
      <c r="E227" s="31"/>
      <c r="G227" s="43"/>
      <c r="H227" s="2"/>
    </row>
    <row r="228" spans="1:8">
      <c r="A228" s="39">
        <v>6.08007840176171</v>
      </c>
      <c r="B228" s="40">
        <v>3.2</v>
      </c>
      <c r="D228" s="2"/>
      <c r="E228" s="31"/>
      <c r="G228" s="43"/>
      <c r="H228" s="2"/>
    </row>
    <row r="229" spans="1:8">
      <c r="A229" s="39">
        <v>6.07911742840913</v>
      </c>
      <c r="B229" s="40">
        <v>4</v>
      </c>
      <c r="D229" s="2"/>
      <c r="E229" s="31"/>
      <c r="G229" s="43"/>
      <c r="H229" s="2"/>
    </row>
    <row r="230" spans="1:8">
      <c r="A230" s="39">
        <v>6.07573144002912</v>
      </c>
      <c r="B230" s="40">
        <v>4.6</v>
      </c>
      <c r="D230" s="2"/>
      <c r="E230" s="31"/>
      <c r="G230" s="43"/>
      <c r="H230" s="2"/>
    </row>
    <row r="231" spans="1:8">
      <c r="A231" s="39">
        <v>6.07573144002912</v>
      </c>
      <c r="B231" s="40">
        <v>2.5</v>
      </c>
      <c r="D231" s="2"/>
      <c r="E231" s="31"/>
      <c r="G231" s="43"/>
      <c r="H231" s="2"/>
    </row>
    <row r="232" spans="1:8">
      <c r="A232" s="39">
        <v>6.07046866823593</v>
      </c>
      <c r="B232" s="40">
        <v>1</v>
      </c>
      <c r="D232" s="2"/>
      <c r="E232" s="31"/>
      <c r="G232" s="43"/>
      <c r="H232" s="2"/>
    </row>
    <row r="233" spans="1:8">
      <c r="A233" s="39">
        <v>6.06632304653975</v>
      </c>
      <c r="B233" s="40">
        <v>7</v>
      </c>
      <c r="D233" s="2"/>
      <c r="E233" s="31"/>
      <c r="G233" s="43"/>
      <c r="H233" s="2"/>
    </row>
    <row r="234" spans="1:8">
      <c r="A234" s="39">
        <v>6.06632304653975</v>
      </c>
      <c r="B234" s="40">
        <v>4.5</v>
      </c>
      <c r="D234" s="2"/>
      <c r="E234" s="31"/>
      <c r="G234" s="43"/>
      <c r="H234" s="2"/>
    </row>
    <row r="235" spans="1:8">
      <c r="A235" s="39">
        <v>6.06527766948537</v>
      </c>
      <c r="B235" s="40">
        <v>5.4</v>
      </c>
      <c r="D235" s="2"/>
      <c r="E235" s="31"/>
      <c r="G235" s="43"/>
      <c r="H235" s="2"/>
    </row>
    <row r="236" spans="1:8">
      <c r="A236" s="39">
        <v>6.06470282812046</v>
      </c>
      <c r="B236" s="40">
        <v>0</v>
      </c>
      <c r="D236" s="2"/>
      <c r="E236" s="31"/>
      <c r="G236" s="43"/>
      <c r="H236" s="2"/>
    </row>
    <row r="237" spans="1:8">
      <c r="A237" s="39">
        <v>6.064232292431</v>
      </c>
      <c r="B237" s="40">
        <v>4.3</v>
      </c>
      <c r="D237" s="2"/>
      <c r="E237" s="31"/>
      <c r="G237" s="43"/>
      <c r="H237" s="2"/>
    </row>
    <row r="238" spans="1:8">
      <c r="A238" s="39">
        <v>6.06374185476788</v>
      </c>
      <c r="B238" s="40">
        <v>3.5</v>
      </c>
      <c r="D238" s="2"/>
      <c r="E238" s="31"/>
      <c r="G238" s="43"/>
      <c r="H238" s="2"/>
    </row>
    <row r="239" spans="1:8">
      <c r="A239" s="39">
        <v>6.05586927599599</v>
      </c>
      <c r="B239" s="40">
        <v>5.2</v>
      </c>
      <c r="D239" s="2"/>
      <c r="E239" s="31"/>
      <c r="G239" s="43"/>
      <c r="H239" s="2"/>
    </row>
    <row r="240" spans="1:8">
      <c r="A240" s="39">
        <v>6.04959701366974</v>
      </c>
      <c r="B240" s="40">
        <v>7.2</v>
      </c>
      <c r="D240" s="2"/>
      <c r="E240" s="31"/>
      <c r="G240" s="43"/>
      <c r="H240" s="2"/>
    </row>
    <row r="241" spans="1:8">
      <c r="A241" s="39">
        <v>6.04437012839787</v>
      </c>
      <c r="B241" s="40">
        <v>4.7</v>
      </c>
      <c r="D241" s="2"/>
      <c r="E241" s="31"/>
      <c r="G241" s="43"/>
      <c r="H241" s="2"/>
    </row>
    <row r="242" spans="1:8">
      <c r="A242" s="39">
        <v>6.03914324312599</v>
      </c>
      <c r="B242" s="40">
        <v>11</v>
      </c>
      <c r="D242" s="2"/>
      <c r="E242" s="31"/>
      <c r="G242" s="43"/>
      <c r="H242" s="2"/>
    </row>
    <row r="243" spans="1:8">
      <c r="A243" s="39">
        <v>6.03391635785411</v>
      </c>
      <c r="B243" s="40">
        <v>5.5</v>
      </c>
      <c r="D243" s="2"/>
      <c r="E243" s="31"/>
      <c r="G243" s="43"/>
      <c r="H243" s="2"/>
    </row>
    <row r="244" spans="1:8">
      <c r="A244" s="39">
        <v>6.03391635785411</v>
      </c>
      <c r="B244" s="40">
        <v>5.3</v>
      </c>
      <c r="D244" s="2"/>
      <c r="E244" s="31"/>
      <c r="G244" s="43"/>
      <c r="H244" s="2"/>
    </row>
    <row r="245" spans="1:8">
      <c r="A245" s="39">
        <v>6.02868947258224</v>
      </c>
      <c r="B245" s="40">
        <v>9</v>
      </c>
      <c r="D245" s="2"/>
      <c r="E245" s="31"/>
      <c r="G245" s="43"/>
      <c r="H245" s="2"/>
    </row>
    <row r="246" spans="1:8">
      <c r="A246" s="39">
        <v>6.02818584072249</v>
      </c>
      <c r="B246" s="40">
        <v>0</v>
      </c>
      <c r="D246" s="2"/>
      <c r="E246" s="31"/>
      <c r="G246" s="43"/>
      <c r="H246" s="2"/>
    </row>
    <row r="247" spans="1:8">
      <c r="A247" s="39">
        <v>6.02764409552786</v>
      </c>
      <c r="B247" s="40">
        <v>6.2</v>
      </c>
      <c r="D247" s="2"/>
      <c r="E247" s="31"/>
      <c r="G247" s="43"/>
      <c r="H247" s="2"/>
    </row>
    <row r="248" spans="1:8">
      <c r="A248" s="39">
        <v>6.02722486736991</v>
      </c>
      <c r="B248" s="40">
        <v>7.9</v>
      </c>
      <c r="D248" s="2"/>
      <c r="E248" s="31"/>
      <c r="G248" s="43"/>
      <c r="H248" s="2"/>
    </row>
    <row r="249" spans="1:8">
      <c r="A249" s="39">
        <v>6.01823570203848</v>
      </c>
      <c r="B249" s="40">
        <v>9</v>
      </c>
      <c r="D249" s="2"/>
      <c r="E249" s="31"/>
      <c r="G249" s="43"/>
      <c r="H249" s="2"/>
    </row>
    <row r="250" spans="1:8">
      <c r="A250" s="39">
        <v>6.01823570203848</v>
      </c>
      <c r="B250" s="40">
        <v>6</v>
      </c>
      <c r="D250" s="2"/>
      <c r="E250" s="31"/>
      <c r="G250" s="43"/>
      <c r="H250" s="2"/>
    </row>
    <row r="251" spans="1:8">
      <c r="A251" s="39">
        <v>6.01823570203848</v>
      </c>
      <c r="B251" s="40">
        <v>1.7</v>
      </c>
      <c r="D251" s="2"/>
      <c r="E251" s="31"/>
      <c r="G251" s="43"/>
      <c r="H251" s="2"/>
    </row>
    <row r="252" spans="1:8">
      <c r="A252" s="39">
        <v>6.01761513384413</v>
      </c>
      <c r="B252" s="40">
        <v>2.5</v>
      </c>
      <c r="D252" s="2"/>
      <c r="E252" s="31"/>
      <c r="G252" s="43"/>
      <c r="H252" s="2"/>
    </row>
    <row r="253" spans="1:8">
      <c r="A253" s="39">
        <v>6.01665416049155</v>
      </c>
      <c r="B253" s="40">
        <v>0</v>
      </c>
      <c r="D253" s="2"/>
      <c r="E253" s="31"/>
      <c r="G253" s="43"/>
      <c r="H253" s="2"/>
    </row>
    <row r="254" spans="1:8">
      <c r="A254" s="39">
        <v>6.01184929372866</v>
      </c>
      <c r="B254" s="40">
        <v>2.5</v>
      </c>
      <c r="D254" s="2"/>
      <c r="E254" s="31"/>
      <c r="G254" s="43"/>
      <c r="H254" s="2"/>
    </row>
    <row r="255" spans="1:8">
      <c r="A255" s="39">
        <v>6.0088273085491</v>
      </c>
      <c r="B255" s="40">
        <v>5.5</v>
      </c>
      <c r="D255" s="2"/>
      <c r="E255" s="31"/>
      <c r="G255" s="43"/>
      <c r="H255" s="2"/>
    </row>
    <row r="256" spans="1:8">
      <c r="A256" s="39">
        <v>6.00800540031835</v>
      </c>
      <c r="B256" s="40">
        <v>2.5</v>
      </c>
      <c r="D256" s="2"/>
      <c r="E256" s="31"/>
      <c r="G256" s="43"/>
      <c r="H256" s="2"/>
    </row>
    <row r="257" spans="1:8">
      <c r="A257" s="39">
        <v>6.00800540031835</v>
      </c>
      <c r="B257" s="40">
        <v>2</v>
      </c>
      <c r="D257" s="2"/>
      <c r="E257" s="31"/>
      <c r="G257" s="43"/>
      <c r="H257" s="2"/>
    </row>
    <row r="258" spans="1:8">
      <c r="A258" s="39">
        <v>6.00778193149473</v>
      </c>
      <c r="B258" s="40">
        <v>12</v>
      </c>
      <c r="D258" s="2"/>
      <c r="E258" s="31"/>
      <c r="G258" s="43"/>
      <c r="H258" s="2"/>
    </row>
    <row r="259" spans="1:8">
      <c r="A259" s="39">
        <v>6.00778193149473</v>
      </c>
      <c r="B259" s="40">
        <v>7.5</v>
      </c>
      <c r="D259" s="2"/>
      <c r="E259" s="31"/>
      <c r="G259" s="43"/>
      <c r="H259" s="2"/>
    </row>
    <row r="260" spans="1:8">
      <c r="A260" s="39">
        <v>6.00416150690804</v>
      </c>
      <c r="B260" s="40">
        <v>0</v>
      </c>
      <c r="D260" s="2"/>
      <c r="E260" s="31"/>
      <c r="G260" s="43"/>
      <c r="H260" s="2"/>
    </row>
    <row r="261" spans="1:8">
      <c r="A261" s="39">
        <v>6.00255504622285</v>
      </c>
      <c r="B261" s="40">
        <v>5.5</v>
      </c>
      <c r="D261" s="2"/>
      <c r="E261" s="31"/>
      <c r="G261" s="43"/>
      <c r="H261" s="2"/>
    </row>
    <row r="262" spans="1:8">
      <c r="A262" s="39">
        <v>6.00255504622285</v>
      </c>
      <c r="B262" s="40">
        <v>4.7</v>
      </c>
      <c r="D262" s="2"/>
      <c r="E262" s="31"/>
      <c r="G262" s="43"/>
      <c r="H262" s="2"/>
    </row>
    <row r="263" spans="1:8">
      <c r="A263" s="39">
        <v>5.99732816095098</v>
      </c>
      <c r="B263" s="40">
        <v>6</v>
      </c>
      <c r="D263" s="2"/>
      <c r="E263" s="31"/>
      <c r="G263" s="43"/>
      <c r="H263" s="2"/>
    </row>
    <row r="264" spans="1:8">
      <c r="A264" s="39">
        <v>5.99644863645615</v>
      </c>
      <c r="B264" s="40">
        <v>0</v>
      </c>
      <c r="D264" s="2"/>
      <c r="E264" s="31"/>
      <c r="G264" s="43"/>
      <c r="H264" s="2"/>
    </row>
    <row r="265" spans="1:8">
      <c r="A265" s="39">
        <v>5.99359080002968</v>
      </c>
      <c r="B265" s="40">
        <v>3.5</v>
      </c>
      <c r="D265" s="2"/>
      <c r="E265" s="31"/>
      <c r="G265" s="43"/>
      <c r="H265" s="2"/>
    </row>
    <row r="266" spans="1:8">
      <c r="A266" s="39">
        <v>5.99105589862473</v>
      </c>
      <c r="B266" s="40">
        <v>12</v>
      </c>
      <c r="D266" s="2"/>
      <c r="E266" s="31"/>
      <c r="G266" s="43"/>
      <c r="H266" s="2"/>
    </row>
    <row r="267" spans="1:8">
      <c r="A267" s="39">
        <v>5.99001052157035</v>
      </c>
      <c r="B267" s="40">
        <v>4.5</v>
      </c>
      <c r="D267" s="2"/>
      <c r="E267" s="31"/>
      <c r="G267" s="43"/>
      <c r="H267" s="2"/>
    </row>
    <row r="268" spans="1:8">
      <c r="A268" s="39">
        <v>5.98878593326679</v>
      </c>
      <c r="B268" s="40">
        <v>1</v>
      </c>
      <c r="D268" s="2"/>
      <c r="E268" s="31"/>
      <c r="G268" s="43"/>
      <c r="H268" s="2"/>
    </row>
    <row r="269" spans="1:8">
      <c r="A269" s="39">
        <v>5.9879197674616</v>
      </c>
      <c r="B269" s="40">
        <v>4.9</v>
      </c>
      <c r="D269" s="2"/>
      <c r="E269" s="31"/>
      <c r="G269" s="43"/>
      <c r="H269" s="2"/>
    </row>
    <row r="270" spans="1:8">
      <c r="A270" s="39">
        <v>5.98745441321262</v>
      </c>
      <c r="B270" s="40">
        <v>0</v>
      </c>
      <c r="D270" s="2"/>
      <c r="E270" s="31"/>
      <c r="G270" s="43"/>
      <c r="H270" s="2"/>
    </row>
    <row r="271" spans="1:8">
      <c r="A271" s="39">
        <v>5.98687439040723</v>
      </c>
      <c r="B271" s="40">
        <v>6.8</v>
      </c>
      <c r="D271" s="2"/>
      <c r="E271" s="31"/>
      <c r="G271" s="43"/>
      <c r="H271" s="2"/>
    </row>
    <row r="272" spans="1:8">
      <c r="A272" s="39">
        <v>5.98494203985647</v>
      </c>
      <c r="B272" s="40">
        <v>0</v>
      </c>
      <c r="D272" s="2"/>
      <c r="E272" s="31"/>
      <c r="G272" s="43"/>
      <c r="H272" s="2"/>
    </row>
    <row r="273" spans="1:8">
      <c r="A273" s="39">
        <v>5.9839810665039</v>
      </c>
      <c r="B273" s="40">
        <v>3.5</v>
      </c>
      <c r="D273" s="2"/>
      <c r="E273" s="31"/>
      <c r="G273" s="43"/>
      <c r="H273" s="2"/>
    </row>
    <row r="274" spans="1:8">
      <c r="A274" s="39">
        <v>5.98164750513535</v>
      </c>
      <c r="B274" s="40">
        <v>4</v>
      </c>
      <c r="D274" s="2"/>
      <c r="E274" s="31"/>
      <c r="G274" s="43"/>
      <c r="H274" s="2"/>
    </row>
    <row r="275" spans="1:8">
      <c r="A275" s="39">
        <v>5.98164750513535</v>
      </c>
      <c r="B275" s="40">
        <v>6</v>
      </c>
      <c r="D275" s="2"/>
      <c r="E275" s="31"/>
      <c r="G275" s="43"/>
      <c r="H275" s="2"/>
    </row>
    <row r="276" spans="1:8">
      <c r="A276" s="39">
        <v>5.97917619974101</v>
      </c>
      <c r="B276" s="40">
        <v>2.5</v>
      </c>
      <c r="D276" s="2"/>
      <c r="E276" s="31"/>
      <c r="G276" s="43"/>
      <c r="H276" s="2"/>
    </row>
    <row r="277" spans="1:8">
      <c r="A277" s="39">
        <v>5.97223911164597</v>
      </c>
      <c r="B277" s="40">
        <v>10.5</v>
      </c>
      <c r="D277" s="2"/>
      <c r="E277" s="31"/>
      <c r="G277" s="43"/>
      <c r="H277" s="2"/>
    </row>
    <row r="278" spans="1:8">
      <c r="A278" s="39">
        <v>5.97223911164597</v>
      </c>
      <c r="B278" s="40">
        <v>6.8</v>
      </c>
      <c r="D278" s="2"/>
      <c r="E278" s="31"/>
      <c r="G278" s="43"/>
      <c r="H278" s="2"/>
    </row>
    <row r="279" spans="1:8">
      <c r="A279" s="39">
        <v>5.96910298048284</v>
      </c>
      <c r="B279" s="40">
        <v>3.5</v>
      </c>
      <c r="D279" s="2"/>
      <c r="E279" s="31"/>
      <c r="G279" s="43"/>
      <c r="H279" s="2"/>
    </row>
    <row r="280" spans="1:8">
      <c r="A280" s="39">
        <v>5.96596684931972</v>
      </c>
      <c r="B280" s="40">
        <v>2</v>
      </c>
      <c r="D280" s="2"/>
      <c r="E280" s="31"/>
      <c r="G280" s="43"/>
      <c r="H280" s="2"/>
    </row>
    <row r="281" spans="1:8">
      <c r="A281" s="39">
        <v>5.96178534110222</v>
      </c>
      <c r="B281" s="40">
        <v>6.5</v>
      </c>
      <c r="D281" s="2"/>
      <c r="E281" s="31"/>
      <c r="G281" s="43"/>
      <c r="H281" s="2"/>
    </row>
    <row r="282" spans="1:8">
      <c r="A282" s="39">
        <v>5.96073996404784</v>
      </c>
      <c r="B282" s="40">
        <v>4.5</v>
      </c>
      <c r="D282" s="2"/>
      <c r="E282" s="31"/>
      <c r="G282" s="43"/>
      <c r="H282" s="2"/>
    </row>
    <row r="283" spans="1:8">
      <c r="A283" s="39">
        <v>5.95995673268944</v>
      </c>
      <c r="B283" s="40">
        <v>9.3</v>
      </c>
      <c r="D283" s="2"/>
      <c r="E283" s="31"/>
      <c r="G283" s="43"/>
      <c r="H283" s="2"/>
    </row>
    <row r="284" spans="1:8">
      <c r="A284" s="39">
        <v>5.95995673268944</v>
      </c>
      <c r="B284" s="40">
        <v>2</v>
      </c>
      <c r="D284" s="2"/>
      <c r="E284" s="31"/>
      <c r="G284" s="43"/>
      <c r="H284" s="2"/>
    </row>
    <row r="285" spans="1:8">
      <c r="A285" s="39">
        <v>5.95551307877597</v>
      </c>
      <c r="B285" s="40">
        <v>5</v>
      </c>
      <c r="D285" s="2"/>
      <c r="E285" s="31"/>
      <c r="G285" s="43"/>
      <c r="H285" s="2"/>
    </row>
    <row r="286" spans="1:8">
      <c r="A286" s="39">
        <v>5.95551307877597</v>
      </c>
      <c r="B286" s="40">
        <v>7</v>
      </c>
      <c r="D286" s="2"/>
      <c r="E286" s="31"/>
      <c r="G286" s="43"/>
      <c r="H286" s="2"/>
    </row>
    <row r="287" spans="1:8">
      <c r="A287" s="39">
        <v>5.95551307877597</v>
      </c>
      <c r="B287" s="40">
        <v>6</v>
      </c>
      <c r="D287" s="2"/>
      <c r="E287" s="31"/>
      <c r="G287" s="43"/>
      <c r="H287" s="2"/>
    </row>
    <row r="288" spans="1:8">
      <c r="A288" s="39">
        <v>5.95551307877597</v>
      </c>
      <c r="B288" s="40">
        <v>4</v>
      </c>
      <c r="D288" s="2"/>
      <c r="E288" s="31"/>
      <c r="G288" s="43"/>
      <c r="H288" s="2"/>
    </row>
    <row r="289" spans="1:8">
      <c r="A289" s="39">
        <v>5.95028619350409</v>
      </c>
      <c r="B289" s="40">
        <v>4.2</v>
      </c>
      <c r="D289" s="2"/>
      <c r="E289" s="31"/>
      <c r="G289" s="43"/>
      <c r="H289" s="2"/>
    </row>
    <row r="290" spans="1:8">
      <c r="A290" s="39">
        <v>5.94505930823221</v>
      </c>
      <c r="B290" s="40">
        <v>1.4</v>
      </c>
      <c r="D290" s="2"/>
      <c r="E290" s="31"/>
      <c r="G290" s="43"/>
      <c r="H290" s="2"/>
    </row>
    <row r="291" spans="1:8">
      <c r="A291" s="39">
        <v>5.94505930823221</v>
      </c>
      <c r="B291" s="40">
        <v>6.7</v>
      </c>
      <c r="D291" s="2"/>
      <c r="E291" s="31"/>
      <c r="G291" s="43"/>
      <c r="H291" s="2"/>
    </row>
    <row r="292" spans="1:8">
      <c r="A292" s="39">
        <v>5.94458115904819</v>
      </c>
      <c r="B292" s="40">
        <v>6</v>
      </c>
      <c r="D292" s="2"/>
      <c r="E292" s="31"/>
      <c r="G292" s="43"/>
      <c r="H292" s="2"/>
    </row>
    <row r="293" spans="1:8">
      <c r="A293" s="39">
        <v>5.94401393117784</v>
      </c>
      <c r="B293" s="40">
        <v>2.3</v>
      </c>
      <c r="D293" s="2"/>
      <c r="E293" s="31"/>
      <c r="G293" s="43"/>
      <c r="H293" s="2"/>
    </row>
    <row r="294" spans="1:8">
      <c r="A294" s="39">
        <v>5.9397762922853</v>
      </c>
      <c r="B294" s="40">
        <v>2.5</v>
      </c>
      <c r="D294" s="2"/>
      <c r="E294" s="31"/>
      <c r="G294" s="43"/>
      <c r="H294" s="2"/>
    </row>
    <row r="295" spans="1:8">
      <c r="A295" s="39">
        <v>5.93460553768846</v>
      </c>
      <c r="B295" s="40">
        <v>5.5</v>
      </c>
      <c r="D295" s="2"/>
      <c r="E295" s="31"/>
      <c r="G295" s="43"/>
      <c r="H295" s="2"/>
    </row>
    <row r="296" spans="1:8">
      <c r="A296" s="39">
        <v>5.93401045216983</v>
      </c>
      <c r="B296" s="40">
        <v>7</v>
      </c>
      <c r="D296" s="2"/>
      <c r="E296" s="31"/>
      <c r="G296" s="43"/>
      <c r="H296" s="2"/>
    </row>
    <row r="297" spans="1:8">
      <c r="A297" s="39">
        <v>5.93348907375149</v>
      </c>
      <c r="B297" s="40">
        <v>0</v>
      </c>
      <c r="D297" s="2"/>
      <c r="E297" s="31"/>
      <c r="G297" s="43"/>
      <c r="H297" s="2"/>
    </row>
    <row r="298" spans="1:8">
      <c r="A298" s="39">
        <v>5.93348907375149</v>
      </c>
      <c r="B298" s="40">
        <v>0</v>
      </c>
      <c r="D298" s="2"/>
      <c r="E298" s="31"/>
      <c r="G298" s="43"/>
      <c r="H298" s="2"/>
    </row>
    <row r="299" spans="1:8">
      <c r="A299" s="39">
        <v>5.93016655875952</v>
      </c>
      <c r="B299" s="40">
        <v>0</v>
      </c>
      <c r="D299" s="2"/>
      <c r="E299" s="31"/>
      <c r="G299" s="43"/>
      <c r="H299" s="2"/>
    </row>
    <row r="300" spans="1:8">
      <c r="A300" s="39">
        <v>5.9224787719389</v>
      </c>
      <c r="B300" s="40">
        <v>0</v>
      </c>
      <c r="D300" s="2"/>
      <c r="E300" s="31"/>
      <c r="G300" s="43"/>
      <c r="H300" s="2"/>
    </row>
    <row r="301" spans="1:8">
      <c r="A301" s="39">
        <v>5.92151779858632</v>
      </c>
      <c r="B301" s="40">
        <v>2.5</v>
      </c>
      <c r="D301" s="2"/>
      <c r="E301" s="31"/>
      <c r="G301" s="43"/>
      <c r="H301" s="2"/>
    </row>
    <row r="302" spans="1:8">
      <c r="A302" s="39">
        <v>5.91683412776408</v>
      </c>
      <c r="B302" s="40">
        <v>0</v>
      </c>
      <c r="D302" s="2"/>
      <c r="E302" s="31"/>
      <c r="G302" s="43"/>
      <c r="H302" s="2"/>
    </row>
    <row r="303" spans="1:8">
      <c r="A303" s="39">
        <v>5.91369799660095</v>
      </c>
      <c r="B303" s="40">
        <v>6</v>
      </c>
      <c r="D303" s="2"/>
      <c r="E303" s="31"/>
      <c r="G303" s="43"/>
      <c r="H303" s="2"/>
    </row>
    <row r="304" spans="1:8">
      <c r="A304" s="39">
        <v>5.91265261954658</v>
      </c>
      <c r="B304" s="40">
        <v>4</v>
      </c>
      <c r="D304" s="2"/>
      <c r="E304" s="31"/>
      <c r="G304" s="43"/>
      <c r="H304" s="2"/>
    </row>
    <row r="305" spans="1:8">
      <c r="A305" s="39">
        <v>5.90847111132908</v>
      </c>
      <c r="B305" s="40">
        <v>8.6</v>
      </c>
      <c r="D305" s="2"/>
      <c r="E305" s="31"/>
      <c r="G305" s="43"/>
      <c r="H305" s="2"/>
    </row>
    <row r="306" spans="1:8">
      <c r="A306" s="39">
        <v>5.9032442260572</v>
      </c>
      <c r="B306" s="40">
        <v>3.5</v>
      </c>
      <c r="D306" s="2"/>
      <c r="E306" s="31"/>
      <c r="G306" s="43"/>
      <c r="H306" s="2"/>
    </row>
    <row r="307" spans="1:8">
      <c r="A307" s="39">
        <v>5.90133735818218</v>
      </c>
      <c r="B307" s="40">
        <v>0</v>
      </c>
      <c r="D307" s="2"/>
      <c r="E307" s="31"/>
      <c r="G307" s="43"/>
      <c r="H307" s="2"/>
    </row>
    <row r="308" spans="1:8">
      <c r="A308" s="39">
        <v>5.9003763848296</v>
      </c>
      <c r="B308" s="40">
        <v>2.5</v>
      </c>
      <c r="D308" s="2"/>
      <c r="E308" s="31"/>
      <c r="G308" s="43"/>
      <c r="H308" s="2"/>
    </row>
    <row r="309" spans="1:8">
      <c r="A309" s="39">
        <v>5.8990627178397</v>
      </c>
      <c r="B309" s="40">
        <v>7.6</v>
      </c>
      <c r="D309" s="2"/>
      <c r="E309" s="31"/>
      <c r="G309" s="43"/>
      <c r="H309" s="2"/>
    </row>
    <row r="310" spans="1:8">
      <c r="A310" s="39">
        <v>5.89749346477187</v>
      </c>
      <c r="B310" s="40">
        <v>4</v>
      </c>
      <c r="D310" s="2"/>
      <c r="E310" s="31"/>
      <c r="G310" s="43"/>
      <c r="H310" s="2"/>
    </row>
    <row r="311" spans="1:8">
      <c r="A311" s="39">
        <v>5.89124713798011</v>
      </c>
      <c r="B311" s="40">
        <v>5.5</v>
      </c>
      <c r="D311" s="2"/>
      <c r="E311" s="31"/>
      <c r="G311" s="43"/>
      <c r="H311" s="2"/>
    </row>
    <row r="312" spans="1:8">
      <c r="A312" s="39">
        <v>5.88756357024157</v>
      </c>
      <c r="B312" s="40">
        <v>10.5</v>
      </c>
      <c r="D312" s="2"/>
      <c r="E312" s="31"/>
      <c r="G312" s="43"/>
      <c r="H312" s="2"/>
    </row>
    <row r="313" spans="1:8">
      <c r="A313" s="39">
        <v>5.88756357024157</v>
      </c>
      <c r="B313" s="40">
        <v>5.3</v>
      </c>
      <c r="D313" s="2"/>
      <c r="E313" s="31"/>
      <c r="G313" s="43"/>
      <c r="H313" s="2"/>
    </row>
    <row r="314" spans="1:8">
      <c r="A314" s="39">
        <v>5.8823366849697</v>
      </c>
      <c r="B314" s="40">
        <v>4</v>
      </c>
      <c r="D314" s="2"/>
      <c r="E314" s="31"/>
      <c r="G314" s="43"/>
      <c r="H314" s="2"/>
    </row>
    <row r="315" spans="1:8">
      <c r="A315" s="39">
        <v>5.8781551767522</v>
      </c>
      <c r="B315" s="40">
        <v>4.2</v>
      </c>
      <c r="D315" s="2"/>
      <c r="E315" s="31"/>
      <c r="G315" s="43"/>
      <c r="H315" s="2"/>
    </row>
    <row r="316" spans="1:8">
      <c r="A316" s="39">
        <v>5.87539107766257</v>
      </c>
      <c r="B316" s="40">
        <v>7.4</v>
      </c>
      <c r="D316" s="2"/>
      <c r="E316" s="31"/>
      <c r="G316" s="43"/>
      <c r="H316" s="2"/>
    </row>
    <row r="317" spans="1:8">
      <c r="A317" s="39">
        <v>5.87443010430999</v>
      </c>
      <c r="B317" s="40">
        <v>0</v>
      </c>
      <c r="D317" s="2"/>
      <c r="E317" s="31"/>
      <c r="G317" s="43"/>
      <c r="H317" s="2"/>
    </row>
    <row r="318" spans="1:8">
      <c r="A318" s="39">
        <v>5.86873066639814</v>
      </c>
      <c r="B318" s="40">
        <v>0</v>
      </c>
      <c r="D318" s="2"/>
      <c r="E318" s="31"/>
      <c r="G318" s="43"/>
      <c r="H318" s="2"/>
    </row>
    <row r="319" spans="1:8">
      <c r="A319" s="39">
        <v>5.86674231748937</v>
      </c>
      <c r="B319" s="40">
        <v>3.9</v>
      </c>
      <c r="D319" s="2"/>
      <c r="E319" s="31"/>
      <c r="G319" s="43"/>
      <c r="H319" s="2"/>
    </row>
    <row r="320" spans="1:8">
      <c r="A320" s="39">
        <v>5.86578134413679</v>
      </c>
      <c r="B320" s="40">
        <v>4.8</v>
      </c>
      <c r="D320" s="2"/>
      <c r="E320" s="31"/>
      <c r="G320" s="43"/>
      <c r="H320" s="2"/>
    </row>
    <row r="321" spans="1:8">
      <c r="A321" s="39">
        <v>5.86561065209969</v>
      </c>
      <c r="B321" s="40">
        <v>8</v>
      </c>
      <c r="D321" s="2"/>
      <c r="E321" s="31"/>
      <c r="G321" s="43"/>
      <c r="H321" s="2"/>
    </row>
    <row r="322" spans="1:8">
      <c r="A322" s="39">
        <v>5.85905453066874</v>
      </c>
      <c r="B322" s="40">
        <v>1.4</v>
      </c>
      <c r="D322" s="2"/>
      <c r="E322" s="31"/>
      <c r="G322" s="43"/>
      <c r="H322" s="2"/>
    </row>
    <row r="323" spans="1:8">
      <c r="A323" s="39">
        <v>5.85713258396359</v>
      </c>
      <c r="B323" s="40">
        <v>6.5</v>
      </c>
      <c r="D323" s="2"/>
      <c r="E323" s="31"/>
      <c r="G323" s="43"/>
      <c r="H323" s="2"/>
    </row>
    <row r="324" spans="1:8">
      <c r="A324" s="39">
        <v>5.85620225861031</v>
      </c>
      <c r="B324" s="40">
        <v>5</v>
      </c>
      <c r="D324" s="2"/>
      <c r="E324" s="31"/>
      <c r="G324" s="43"/>
      <c r="H324" s="2"/>
    </row>
    <row r="325" spans="1:8">
      <c r="A325" s="39">
        <v>5.85620225861031</v>
      </c>
      <c r="B325" s="40">
        <v>7.3</v>
      </c>
      <c r="D325" s="2"/>
      <c r="E325" s="31"/>
      <c r="G325" s="43"/>
      <c r="H325" s="2"/>
    </row>
    <row r="326" spans="1:8">
      <c r="A326" s="39">
        <v>5.85515688155594</v>
      </c>
      <c r="B326" s="40">
        <v>0</v>
      </c>
      <c r="D326" s="2"/>
      <c r="E326" s="31"/>
      <c r="G326" s="43"/>
      <c r="H326" s="2"/>
    </row>
    <row r="327" spans="1:8">
      <c r="A327" s="39">
        <v>5.85136674384812</v>
      </c>
      <c r="B327" s="40">
        <v>8.3</v>
      </c>
      <c r="D327" s="2"/>
      <c r="E327" s="31"/>
      <c r="G327" s="43"/>
      <c r="H327" s="2"/>
    </row>
    <row r="328" spans="1:8">
      <c r="A328" s="39">
        <v>5.84848382379038</v>
      </c>
      <c r="B328" s="40">
        <v>1.4</v>
      </c>
      <c r="D328" s="2"/>
      <c r="E328" s="31"/>
      <c r="G328" s="43"/>
      <c r="H328" s="2"/>
    </row>
    <row r="329" spans="1:8">
      <c r="A329" s="39">
        <v>5.84804395293803</v>
      </c>
      <c r="B329" s="40">
        <v>7.5</v>
      </c>
      <c r="D329" s="2"/>
      <c r="E329" s="31"/>
      <c r="G329" s="43"/>
      <c r="H329" s="2"/>
    </row>
    <row r="330" spans="1:8">
      <c r="A330" s="39">
        <v>5.84574848806656</v>
      </c>
      <c r="B330" s="40">
        <v>11.4</v>
      </c>
      <c r="D330" s="2"/>
      <c r="E330" s="31"/>
      <c r="G330" s="43"/>
      <c r="H330" s="2"/>
    </row>
    <row r="331" spans="1:8">
      <c r="A331" s="39">
        <v>5.84470311101219</v>
      </c>
      <c r="B331" s="40">
        <v>7.7</v>
      </c>
      <c r="D331" s="2"/>
      <c r="E331" s="31"/>
      <c r="G331" s="43"/>
      <c r="H331" s="2"/>
    </row>
    <row r="332" spans="1:8">
      <c r="A332" s="39">
        <v>5.84444626364062</v>
      </c>
      <c r="B332" s="40">
        <v>12.3</v>
      </c>
      <c r="D332" s="2"/>
      <c r="E332" s="31"/>
      <c r="G332" s="43"/>
      <c r="H332" s="2"/>
    </row>
    <row r="333" spans="1:8">
      <c r="A333" s="39">
        <v>5.84367895702749</v>
      </c>
      <c r="B333" s="40">
        <v>7</v>
      </c>
      <c r="D333" s="2"/>
      <c r="E333" s="31"/>
      <c r="G333" s="43"/>
      <c r="H333" s="2"/>
    </row>
    <row r="334" spans="1:8">
      <c r="A334" s="39">
        <v>5.84354684131627</v>
      </c>
      <c r="B334" s="40">
        <v>13</v>
      </c>
      <c r="D334" s="2"/>
      <c r="E334" s="31"/>
      <c r="G334" s="43"/>
      <c r="H334" s="2"/>
    </row>
    <row r="335" spans="1:8">
      <c r="A335" s="39">
        <v>5.83904972969451</v>
      </c>
      <c r="B335" s="40">
        <v>13.1</v>
      </c>
      <c r="D335" s="2"/>
      <c r="E335" s="31"/>
      <c r="G335" s="43"/>
      <c r="H335" s="2"/>
    </row>
    <row r="336" spans="1:8">
      <c r="A336" s="39">
        <v>5.8388740902646</v>
      </c>
      <c r="B336" s="40">
        <v>4</v>
      </c>
      <c r="D336" s="2"/>
      <c r="E336" s="31"/>
      <c r="G336" s="43"/>
      <c r="H336" s="2"/>
    </row>
    <row r="337" spans="1:8">
      <c r="A337" s="39">
        <v>5.83791311691202</v>
      </c>
      <c r="B337" s="40">
        <v>8</v>
      </c>
      <c r="D337" s="2"/>
      <c r="E337" s="31"/>
      <c r="G337" s="43"/>
      <c r="H337" s="2"/>
    </row>
    <row r="338" spans="1:8">
      <c r="A338" s="39">
        <v>5.83695214355945</v>
      </c>
      <c r="B338" s="40">
        <v>5.9</v>
      </c>
      <c r="D338" s="2"/>
      <c r="E338" s="31"/>
      <c r="G338" s="43"/>
      <c r="H338" s="2"/>
    </row>
    <row r="339" spans="1:8">
      <c r="A339" s="39">
        <v>5.83529471752281</v>
      </c>
      <c r="B339" s="40">
        <v>3.4</v>
      </c>
      <c r="D339" s="2"/>
      <c r="E339" s="31"/>
      <c r="G339" s="43"/>
      <c r="H339" s="2"/>
    </row>
    <row r="340" spans="1:8">
      <c r="A340" s="39">
        <v>5.83503019685429</v>
      </c>
      <c r="B340" s="40">
        <v>1</v>
      </c>
      <c r="D340" s="2"/>
      <c r="E340" s="31"/>
      <c r="G340" s="43"/>
      <c r="H340" s="2"/>
    </row>
    <row r="341" spans="1:8">
      <c r="A341" s="39">
        <v>5.83455261807275</v>
      </c>
      <c r="B341" s="40">
        <v>8.9</v>
      </c>
      <c r="D341" s="2"/>
      <c r="E341" s="31"/>
      <c r="G341" s="43"/>
      <c r="H341" s="2"/>
    </row>
    <row r="342" spans="1:8">
      <c r="A342" s="39">
        <v>5.83406922350171</v>
      </c>
      <c r="B342" s="40">
        <v>2.5</v>
      </c>
      <c r="D342" s="2"/>
      <c r="E342" s="31"/>
      <c r="G342" s="43"/>
      <c r="H342" s="2"/>
    </row>
    <row r="343" spans="1:8">
      <c r="A343" s="39">
        <v>5.83006783225093</v>
      </c>
      <c r="B343" s="40">
        <v>12.5</v>
      </c>
      <c r="D343" s="2"/>
      <c r="E343" s="31"/>
      <c r="G343" s="43"/>
      <c r="H343" s="2"/>
    </row>
    <row r="344" spans="1:8">
      <c r="A344" s="39">
        <v>5.83006783225093</v>
      </c>
      <c r="B344" s="40">
        <v>10</v>
      </c>
      <c r="D344" s="2"/>
      <c r="E344" s="31"/>
      <c r="G344" s="43"/>
      <c r="H344" s="2"/>
    </row>
    <row r="345" spans="1:8">
      <c r="A345" s="39">
        <v>5.82902245519656</v>
      </c>
      <c r="B345" s="40">
        <v>4</v>
      </c>
      <c r="D345" s="2"/>
      <c r="E345" s="31"/>
      <c r="G345" s="43"/>
      <c r="H345" s="2"/>
    </row>
    <row r="346" spans="1:8">
      <c r="A346" s="39">
        <v>5.82555839482923</v>
      </c>
      <c r="B346" s="40">
        <v>7</v>
      </c>
      <c r="D346" s="2"/>
      <c r="E346" s="31"/>
      <c r="G346" s="43"/>
      <c r="H346" s="2"/>
    </row>
    <row r="347" spans="1:8">
      <c r="A347" s="39">
        <v>5.82484094697906</v>
      </c>
      <c r="B347" s="40">
        <v>5.7</v>
      </c>
      <c r="D347" s="2"/>
      <c r="E347" s="31"/>
      <c r="G347" s="43"/>
      <c r="H347" s="2"/>
    </row>
    <row r="348" spans="1:8">
      <c r="A348" s="39">
        <v>5.82379556992468</v>
      </c>
      <c r="B348" s="40">
        <v>3.6</v>
      </c>
      <c r="D348" s="2"/>
      <c r="E348" s="31"/>
      <c r="G348" s="43"/>
      <c r="H348" s="2"/>
    </row>
    <row r="349" spans="1:8">
      <c r="A349" s="39">
        <v>5.82379556992468</v>
      </c>
      <c r="B349" s="40">
        <v>7.5</v>
      </c>
      <c r="D349" s="2"/>
      <c r="E349" s="31"/>
      <c r="G349" s="43"/>
      <c r="H349" s="2"/>
    </row>
    <row r="350" spans="1:8">
      <c r="A350" s="39">
        <v>5.82170481581593</v>
      </c>
      <c r="B350" s="40">
        <v>7.8</v>
      </c>
      <c r="D350" s="2"/>
      <c r="E350" s="31"/>
      <c r="G350" s="43"/>
      <c r="H350" s="2"/>
    </row>
    <row r="351" spans="1:8">
      <c r="A351" s="39">
        <v>5.8215765699182</v>
      </c>
      <c r="B351" s="40">
        <v>1.4</v>
      </c>
      <c r="D351" s="2"/>
      <c r="E351" s="31"/>
      <c r="G351" s="43"/>
      <c r="H351" s="2"/>
    </row>
    <row r="352" spans="1:8">
      <c r="A352" s="39">
        <v>5.81965462321304</v>
      </c>
      <c r="B352" s="40">
        <v>5.6</v>
      </c>
      <c r="D352" s="2"/>
      <c r="E352" s="31"/>
      <c r="G352" s="43"/>
      <c r="H352" s="2"/>
    </row>
    <row r="353" spans="1:8">
      <c r="A353" s="39">
        <v>5.81869364986046</v>
      </c>
      <c r="B353" s="40">
        <v>3.5</v>
      </c>
      <c r="D353" s="2"/>
      <c r="E353" s="31"/>
      <c r="G353" s="43"/>
      <c r="H353" s="2"/>
    </row>
    <row r="354" spans="1:8">
      <c r="A354" s="39">
        <v>5.81656417158571</v>
      </c>
      <c r="B354" s="40">
        <v>0</v>
      </c>
      <c r="D354" s="2"/>
      <c r="E354" s="31"/>
      <c r="G354" s="43"/>
      <c r="H354" s="2"/>
    </row>
    <row r="355" spans="1:8">
      <c r="A355" s="39">
        <v>5.81581072980273</v>
      </c>
      <c r="B355" s="40">
        <v>2.5</v>
      </c>
      <c r="D355" s="2"/>
      <c r="E355" s="31"/>
      <c r="G355" s="43"/>
      <c r="H355" s="2"/>
    </row>
    <row r="356" spans="1:8">
      <c r="A356" s="39">
        <v>5.81100586303984</v>
      </c>
      <c r="B356" s="40">
        <v>1</v>
      </c>
      <c r="D356" s="2"/>
      <c r="E356" s="31"/>
      <c r="G356" s="43"/>
      <c r="H356" s="2"/>
    </row>
    <row r="357" spans="1:8">
      <c r="A357" s="39">
        <v>5.8102056682178</v>
      </c>
      <c r="B357" s="40">
        <v>3.6</v>
      </c>
      <c r="D357" s="2"/>
      <c r="E357" s="31"/>
      <c r="G357" s="43"/>
      <c r="H357" s="2"/>
    </row>
    <row r="358" spans="1:8">
      <c r="A358" s="39">
        <v>5.80916029116343</v>
      </c>
      <c r="B358" s="40">
        <v>1.1</v>
      </c>
      <c r="D358" s="2"/>
      <c r="E358" s="31"/>
      <c r="G358" s="43"/>
      <c r="H358" s="2"/>
    </row>
    <row r="359" spans="1:8">
      <c r="A359" s="39">
        <v>5.80916029116343</v>
      </c>
      <c r="B359" s="40">
        <v>5.5</v>
      </c>
      <c r="D359" s="2"/>
      <c r="E359" s="31"/>
      <c r="G359" s="43"/>
      <c r="H359" s="2"/>
    </row>
    <row r="360" spans="1:8">
      <c r="A360" s="39">
        <v>5.80908391633468</v>
      </c>
      <c r="B360" s="40">
        <v>1</v>
      </c>
      <c r="D360" s="2"/>
      <c r="E360" s="31"/>
      <c r="G360" s="43"/>
      <c r="H360" s="2"/>
    </row>
    <row r="361" spans="1:8">
      <c r="A361" s="39">
        <v>5.8081229429821</v>
      </c>
      <c r="B361" s="40">
        <v>3</v>
      </c>
      <c r="D361" s="2"/>
      <c r="E361" s="31"/>
      <c r="G361" s="43"/>
      <c r="H361" s="2"/>
    </row>
    <row r="362" spans="1:8">
      <c r="A362" s="39">
        <v>5.80756994834218</v>
      </c>
      <c r="B362" s="40">
        <v>8.8</v>
      </c>
      <c r="D362" s="2"/>
      <c r="E362" s="31"/>
      <c r="G362" s="43"/>
      <c r="H362" s="2"/>
    </row>
    <row r="363" spans="1:8">
      <c r="A363" s="39">
        <v>5.80716196962952</v>
      </c>
      <c r="B363" s="40">
        <v>3.1</v>
      </c>
      <c r="D363" s="2"/>
      <c r="E363" s="31"/>
      <c r="G363" s="43"/>
      <c r="H363" s="2"/>
    </row>
    <row r="364" spans="1:8">
      <c r="A364" s="39">
        <v>5.80397225904477</v>
      </c>
      <c r="B364" s="40">
        <v>6.8</v>
      </c>
      <c r="D364" s="2"/>
      <c r="E364" s="31"/>
      <c r="G364" s="43"/>
      <c r="H364" s="2"/>
    </row>
    <row r="365" spans="1:8">
      <c r="A365" s="39">
        <v>5.80139612951406</v>
      </c>
      <c r="B365" s="40">
        <v>7.9</v>
      </c>
      <c r="D365" s="2"/>
      <c r="E365" s="31"/>
      <c r="G365" s="43"/>
      <c r="H365" s="2"/>
    </row>
    <row r="366" spans="1:8">
      <c r="A366" s="39">
        <v>5.7994741828089</v>
      </c>
      <c r="B366" s="40">
        <v>1</v>
      </c>
      <c r="D366" s="2"/>
      <c r="E366" s="31"/>
      <c r="G366" s="43"/>
      <c r="H366" s="2"/>
    </row>
    <row r="367" spans="1:8">
      <c r="A367" s="39">
        <v>5.79755223610374</v>
      </c>
      <c r="B367" s="40">
        <v>0</v>
      </c>
      <c r="D367" s="2"/>
      <c r="E367" s="31"/>
      <c r="G367" s="43"/>
      <c r="H367" s="2"/>
    </row>
    <row r="368" spans="1:8">
      <c r="A368" s="39">
        <v>5.79659126275117</v>
      </c>
      <c r="B368" s="40">
        <v>3.5</v>
      </c>
      <c r="D368" s="2"/>
      <c r="E368" s="31"/>
      <c r="G368" s="43"/>
      <c r="H368" s="2"/>
    </row>
    <row r="369" spans="1:8">
      <c r="A369" s="39">
        <v>5.79563028939859</v>
      </c>
      <c r="B369" s="40">
        <v>5</v>
      </c>
      <c r="D369" s="2"/>
      <c r="E369" s="31"/>
      <c r="G369" s="43"/>
      <c r="H369" s="2"/>
    </row>
    <row r="370" spans="1:8">
      <c r="A370" s="39">
        <v>5.79034350418467</v>
      </c>
      <c r="B370" s="40">
        <v>2.2</v>
      </c>
      <c r="D370" s="2"/>
      <c r="E370" s="31"/>
      <c r="G370" s="43"/>
      <c r="H370" s="2"/>
    </row>
    <row r="371" spans="1:8">
      <c r="A371" s="39">
        <v>5.78938396260683</v>
      </c>
      <c r="B371" s="40">
        <v>1.7</v>
      </c>
      <c r="D371" s="2"/>
      <c r="E371" s="31"/>
      <c r="G371" s="43"/>
      <c r="H371" s="2"/>
    </row>
    <row r="372" spans="1:8">
      <c r="A372" s="39">
        <v>5.78825275007592</v>
      </c>
      <c r="B372" s="40">
        <v>1.1</v>
      </c>
      <c r="D372" s="2"/>
      <c r="E372" s="31"/>
      <c r="G372" s="43"/>
      <c r="H372" s="2"/>
    </row>
    <row r="373" spans="1:8">
      <c r="A373" s="39">
        <v>5.78825275007592</v>
      </c>
      <c r="B373" s="40">
        <v>4.2</v>
      </c>
      <c r="D373" s="2"/>
      <c r="E373" s="31"/>
      <c r="G373" s="43"/>
      <c r="H373" s="2"/>
    </row>
    <row r="374" spans="1:8">
      <c r="A374" s="39">
        <v>5.78794250257796</v>
      </c>
      <c r="B374" s="40">
        <v>4.9</v>
      </c>
      <c r="D374" s="2"/>
      <c r="E374" s="31"/>
      <c r="G374" s="43"/>
      <c r="H374" s="2"/>
    </row>
    <row r="375" spans="1:8">
      <c r="A375" s="39">
        <v>5.78302586480405</v>
      </c>
      <c r="B375" s="40">
        <v>7.5</v>
      </c>
      <c r="D375" s="2"/>
      <c r="E375" s="31"/>
      <c r="G375" s="43"/>
      <c r="H375" s="2"/>
    </row>
    <row r="376" spans="1:8">
      <c r="A376" s="39">
        <v>5.78217666246249</v>
      </c>
      <c r="B376" s="40">
        <v>3</v>
      </c>
      <c r="D376" s="2"/>
      <c r="E376" s="31"/>
      <c r="G376" s="43"/>
      <c r="H376" s="2"/>
    </row>
    <row r="377" spans="1:8">
      <c r="A377" s="39">
        <v>5.78025471575734</v>
      </c>
      <c r="B377" s="40">
        <v>1</v>
      </c>
      <c r="D377" s="2"/>
      <c r="E377" s="31"/>
      <c r="G377" s="43"/>
      <c r="H377" s="2"/>
    </row>
    <row r="378" spans="1:8">
      <c r="A378" s="39">
        <v>5.77884435658654</v>
      </c>
      <c r="B378" s="40">
        <v>7.5</v>
      </c>
      <c r="D378" s="2"/>
      <c r="E378" s="31"/>
      <c r="G378" s="43"/>
      <c r="H378" s="2"/>
    </row>
    <row r="379" spans="1:8">
      <c r="A379" s="39">
        <v>5.77779897953217</v>
      </c>
      <c r="B379" s="40">
        <v>6</v>
      </c>
      <c r="D379" s="2"/>
      <c r="E379" s="31"/>
      <c r="G379" s="43"/>
      <c r="H379" s="2"/>
    </row>
    <row r="380" spans="1:8">
      <c r="A380" s="39">
        <v>5.77779897953217</v>
      </c>
      <c r="B380" s="40">
        <v>9.9</v>
      </c>
      <c r="D380" s="2"/>
      <c r="E380" s="31"/>
      <c r="G380" s="43"/>
      <c r="H380" s="2"/>
    </row>
    <row r="381" spans="1:8">
      <c r="A381" s="39">
        <v>5.77779897953217</v>
      </c>
      <c r="B381" s="40">
        <v>5.7</v>
      </c>
      <c r="D381" s="2"/>
      <c r="E381" s="31"/>
      <c r="G381" s="43"/>
      <c r="H381" s="2"/>
    </row>
    <row r="382" spans="1:8">
      <c r="A382" s="39">
        <v>5.7773717956996</v>
      </c>
      <c r="B382" s="40">
        <v>4</v>
      </c>
      <c r="D382" s="2"/>
      <c r="E382" s="31"/>
      <c r="G382" s="43"/>
      <c r="H382" s="2"/>
    </row>
    <row r="383" spans="1:8">
      <c r="A383" s="39">
        <v>5.77675360247779</v>
      </c>
      <c r="B383" s="40">
        <v>8.8</v>
      </c>
      <c r="D383" s="2"/>
      <c r="E383" s="31"/>
      <c r="G383" s="43"/>
      <c r="H383" s="2"/>
    </row>
    <row r="384" spans="1:8">
      <c r="A384" s="39">
        <v>5.77257209426029</v>
      </c>
      <c r="B384" s="40">
        <v>5.7</v>
      </c>
      <c r="D384" s="2"/>
      <c r="E384" s="31"/>
      <c r="G384" s="43"/>
      <c r="H384" s="2"/>
    </row>
    <row r="385" spans="1:8">
      <c r="A385" s="39">
        <v>5.77256692893671</v>
      </c>
      <c r="B385" s="40">
        <v>1</v>
      </c>
      <c r="D385" s="2"/>
      <c r="E385" s="31"/>
      <c r="G385" s="43"/>
      <c r="H385" s="2"/>
    </row>
    <row r="386" spans="1:8">
      <c r="A386" s="39">
        <v>5.77256692893671</v>
      </c>
      <c r="B386" s="40">
        <v>1</v>
      </c>
      <c r="D386" s="2"/>
      <c r="E386" s="31"/>
      <c r="G386" s="43"/>
      <c r="H386" s="2"/>
    </row>
    <row r="387" spans="1:8">
      <c r="A387" s="39">
        <v>5.7715930553681</v>
      </c>
      <c r="B387" s="40">
        <v>16.8</v>
      </c>
      <c r="D387" s="2"/>
      <c r="E387" s="31"/>
      <c r="G387" s="43"/>
      <c r="H387" s="2"/>
    </row>
    <row r="388" spans="1:8">
      <c r="A388" s="39">
        <v>5.77048134015154</v>
      </c>
      <c r="B388" s="40">
        <v>9.1</v>
      </c>
      <c r="D388" s="2"/>
      <c r="E388" s="31"/>
      <c r="G388" s="43"/>
      <c r="H388" s="2"/>
    </row>
    <row r="389" spans="1:8">
      <c r="A389" s="39">
        <v>5.76734520898842</v>
      </c>
      <c r="B389" s="40">
        <v>4.6</v>
      </c>
      <c r="D389" s="2"/>
      <c r="E389" s="31"/>
      <c r="G389" s="43"/>
      <c r="H389" s="2"/>
    </row>
    <row r="390" spans="1:8">
      <c r="A390" s="39">
        <v>5.76734520898842</v>
      </c>
      <c r="B390" s="40">
        <v>8</v>
      </c>
      <c r="D390" s="2"/>
      <c r="E390" s="31"/>
      <c r="G390" s="43"/>
      <c r="H390" s="2"/>
    </row>
    <row r="391" spans="1:8">
      <c r="A391" s="39">
        <v>5.76584011546867</v>
      </c>
      <c r="B391" s="40">
        <v>5.5</v>
      </c>
      <c r="D391" s="2"/>
      <c r="E391" s="31"/>
      <c r="G391" s="43"/>
      <c r="H391" s="2"/>
    </row>
    <row r="392" spans="1:8">
      <c r="A392" s="39">
        <v>5.76295719541093</v>
      </c>
      <c r="B392" s="40">
        <v>4</v>
      </c>
      <c r="D392" s="2"/>
      <c r="E392" s="31"/>
      <c r="G392" s="43"/>
      <c r="H392" s="2"/>
    </row>
    <row r="393" spans="1:8">
      <c r="A393" s="39">
        <v>5.76259883212457</v>
      </c>
      <c r="B393" s="40">
        <v>9.5</v>
      </c>
      <c r="D393" s="2"/>
      <c r="E393" s="31"/>
      <c r="G393" s="43"/>
      <c r="H393" s="2"/>
    </row>
    <row r="394" spans="1:8">
      <c r="A394" s="39">
        <v>5.76211832371654</v>
      </c>
      <c r="B394" s="40">
        <v>3.5</v>
      </c>
      <c r="D394" s="2"/>
      <c r="E394" s="31"/>
      <c r="G394" s="43"/>
      <c r="H394" s="2"/>
    </row>
    <row r="395" spans="1:8">
      <c r="A395" s="39">
        <v>5.76199622205835</v>
      </c>
      <c r="B395" s="40">
        <v>1.1</v>
      </c>
      <c r="D395" s="2"/>
      <c r="E395" s="31"/>
      <c r="G395" s="43"/>
      <c r="H395" s="44"/>
    </row>
    <row r="396" spans="1:8">
      <c r="A396" s="39">
        <v>5.76103524870577</v>
      </c>
      <c r="B396" s="40">
        <v>9.6</v>
      </c>
      <c r="D396" s="2"/>
      <c r="E396" s="31"/>
      <c r="G396" s="43"/>
      <c r="H396" s="44"/>
    </row>
    <row r="397" spans="1:8">
      <c r="A397" s="39">
        <v>5.76103524870577</v>
      </c>
      <c r="B397" s="40">
        <v>1</v>
      </c>
      <c r="D397" s="2"/>
      <c r="E397" s="31"/>
      <c r="G397" s="43"/>
      <c r="H397" s="2"/>
    </row>
    <row r="398" spans="1:8">
      <c r="A398" s="39">
        <v>5.76103524870577</v>
      </c>
      <c r="B398" s="40">
        <v>4.8</v>
      </c>
      <c r="D398" s="2"/>
      <c r="E398" s="31"/>
      <c r="G398" s="43"/>
      <c r="H398" s="2"/>
    </row>
    <row r="399" spans="1:8">
      <c r="A399" s="39">
        <v>5.76103524870577</v>
      </c>
      <c r="B399" s="40">
        <v>8</v>
      </c>
      <c r="D399" s="2"/>
      <c r="E399" s="31"/>
      <c r="G399" s="43"/>
      <c r="H399" s="2"/>
    </row>
    <row r="400" spans="1:8">
      <c r="A400" s="39">
        <v>5.75911330200062</v>
      </c>
      <c r="B400" s="40">
        <v>2.85</v>
      </c>
      <c r="D400" s="2"/>
      <c r="E400" s="31"/>
      <c r="G400" s="43"/>
      <c r="H400" s="2"/>
    </row>
    <row r="401" spans="1:8">
      <c r="A401" s="39">
        <v>5.75689143844466</v>
      </c>
      <c r="B401" s="40">
        <v>1.1</v>
      </c>
      <c r="D401" s="2"/>
      <c r="E401" s="31"/>
      <c r="G401" s="43"/>
      <c r="H401" s="2"/>
    </row>
    <row r="402" spans="1:8">
      <c r="A402" s="39">
        <v>5.75689143844466</v>
      </c>
      <c r="B402" s="40">
        <v>5.3</v>
      </c>
      <c r="D402" s="2"/>
      <c r="E402" s="31"/>
      <c r="G402" s="43"/>
      <c r="H402" s="2"/>
    </row>
    <row r="403" spans="1:8">
      <c r="A403" s="39">
        <v>5.7545040312054</v>
      </c>
      <c r="B403" s="40">
        <v>15</v>
      </c>
      <c r="D403" s="2"/>
      <c r="E403" s="31"/>
      <c r="G403" s="43"/>
      <c r="H403" s="2"/>
    </row>
    <row r="404" spans="1:8">
      <c r="A404" s="39">
        <v>5.75430843523773</v>
      </c>
      <c r="B404" s="40">
        <v>0</v>
      </c>
      <c r="D404" s="2"/>
      <c r="E404" s="31"/>
      <c r="G404" s="43"/>
      <c r="H404" s="2"/>
    </row>
    <row r="405" spans="1:8">
      <c r="A405" s="39">
        <v>5.75360460888105</v>
      </c>
      <c r="B405" s="40">
        <v>0</v>
      </c>
      <c r="D405" s="2"/>
      <c r="E405" s="31"/>
      <c r="G405" s="43"/>
      <c r="H405" s="2"/>
    </row>
    <row r="406" spans="1:8">
      <c r="A406" s="39">
        <v>5.75238648853257</v>
      </c>
      <c r="B406" s="40">
        <v>5.3</v>
      </c>
      <c r="D406" s="2"/>
      <c r="E406" s="31"/>
      <c r="G406" s="43"/>
      <c r="H406" s="2"/>
    </row>
    <row r="407" spans="1:8">
      <c r="A407" s="39">
        <v>5.74910749725929</v>
      </c>
      <c r="B407" s="40">
        <v>12.2</v>
      </c>
      <c r="D407" s="2"/>
      <c r="E407" s="31"/>
      <c r="G407" s="43"/>
      <c r="H407" s="2"/>
    </row>
    <row r="408" spans="1:8">
      <c r="A408" s="39">
        <v>5.74820807493494</v>
      </c>
      <c r="B408" s="40">
        <v>14.2</v>
      </c>
      <c r="D408" s="2"/>
      <c r="E408" s="31"/>
      <c r="G408" s="43"/>
      <c r="H408" s="2"/>
    </row>
    <row r="409" spans="1:8">
      <c r="A409" s="39">
        <v>5.74539229084654</v>
      </c>
      <c r="B409" s="40">
        <v>8</v>
      </c>
      <c r="D409" s="2"/>
      <c r="E409" s="31"/>
      <c r="G409" s="43"/>
      <c r="H409" s="2"/>
    </row>
    <row r="410" spans="1:8">
      <c r="A410" s="39">
        <v>5.74373772835937</v>
      </c>
      <c r="B410" s="40">
        <v>8.6</v>
      </c>
      <c r="D410" s="2"/>
      <c r="E410" s="31"/>
      <c r="G410" s="43"/>
      <c r="H410" s="2"/>
    </row>
    <row r="411" spans="1:8">
      <c r="A411" s="39">
        <v>5.74281154098882</v>
      </c>
      <c r="B411" s="40">
        <v>2</v>
      </c>
      <c r="D411" s="2"/>
      <c r="E411" s="31"/>
      <c r="G411" s="43"/>
      <c r="H411" s="2"/>
    </row>
    <row r="412" spans="1:8">
      <c r="A412" s="39">
        <v>5.74225615968341</v>
      </c>
      <c r="B412" s="40">
        <v>4.2</v>
      </c>
      <c r="D412" s="2"/>
      <c r="E412" s="31"/>
      <c r="G412" s="43"/>
      <c r="H412" s="2"/>
    </row>
    <row r="413" spans="1:8">
      <c r="A413" s="39">
        <v>5.74191211866447</v>
      </c>
      <c r="B413" s="40">
        <v>1</v>
      </c>
      <c r="D413" s="2"/>
      <c r="E413" s="31"/>
      <c r="G413" s="43"/>
      <c r="H413" s="2"/>
    </row>
    <row r="414" spans="1:8">
      <c r="A414" s="39">
        <v>5.74181578165421</v>
      </c>
      <c r="B414" s="40">
        <v>6.5</v>
      </c>
      <c r="D414" s="2"/>
      <c r="E414" s="31"/>
      <c r="G414" s="43"/>
      <c r="H414" s="2"/>
    </row>
    <row r="415" spans="1:8">
      <c r="A415" s="39">
        <v>5.74121078262903</v>
      </c>
      <c r="B415" s="40">
        <v>4</v>
      </c>
      <c r="D415" s="2"/>
      <c r="E415" s="31"/>
      <c r="G415" s="43"/>
      <c r="H415" s="2"/>
    </row>
    <row r="416" spans="1:8">
      <c r="A416" s="39">
        <v>5.74011327401577</v>
      </c>
      <c r="B416" s="40">
        <v>8.4</v>
      </c>
      <c r="D416" s="2"/>
      <c r="E416" s="31"/>
      <c r="G416" s="43"/>
      <c r="H416" s="2"/>
    </row>
    <row r="417" spans="1:8">
      <c r="A417" s="39">
        <v>5.73561616239401</v>
      </c>
      <c r="B417" s="40">
        <v>13.2</v>
      </c>
      <c r="D417" s="2"/>
      <c r="E417" s="31"/>
      <c r="G417" s="43"/>
      <c r="H417" s="2"/>
    </row>
    <row r="418" spans="1:8">
      <c r="A418" s="39">
        <v>5.73412799483359</v>
      </c>
      <c r="B418" s="40">
        <v>14.7</v>
      </c>
      <c r="D418" s="2"/>
      <c r="E418" s="31"/>
      <c r="G418" s="43"/>
      <c r="H418" s="2"/>
    </row>
    <row r="419" spans="1:8">
      <c r="A419" s="39">
        <v>5.7293231280707</v>
      </c>
      <c r="B419" s="40">
        <v>3.5</v>
      </c>
      <c r="D419" s="2"/>
      <c r="E419" s="31"/>
      <c r="G419" s="43"/>
      <c r="H419" s="2"/>
    </row>
    <row r="420" spans="1:8">
      <c r="A420" s="39">
        <v>5.72752136147484</v>
      </c>
      <c r="B420" s="40">
        <v>11.1</v>
      </c>
      <c r="D420" s="2"/>
      <c r="E420" s="31"/>
      <c r="G420" s="43"/>
      <c r="H420" s="2"/>
    </row>
    <row r="421" spans="1:8">
      <c r="A421" s="39">
        <v>5.72662193915049</v>
      </c>
      <c r="B421" s="40">
        <v>12.1</v>
      </c>
      <c r="D421" s="2"/>
      <c r="E421" s="31"/>
      <c r="G421" s="43"/>
      <c r="H421" s="2"/>
    </row>
    <row r="422" spans="1:8">
      <c r="A422" s="39">
        <v>5.72572251682613</v>
      </c>
      <c r="B422" s="40">
        <v>1</v>
      </c>
      <c r="D422" s="2"/>
      <c r="E422" s="31"/>
      <c r="G422" s="43"/>
      <c r="H422" s="2"/>
    </row>
    <row r="423" spans="1:8">
      <c r="A423" s="39">
        <v>5.72451826130781</v>
      </c>
      <c r="B423" s="40">
        <v>0</v>
      </c>
      <c r="D423" s="2"/>
      <c r="E423" s="31"/>
      <c r="G423" s="43"/>
      <c r="H423" s="2"/>
    </row>
    <row r="424" spans="1:8">
      <c r="A424" s="39">
        <v>5.72302424985308</v>
      </c>
      <c r="B424" s="40">
        <v>10.4</v>
      </c>
      <c r="D424" s="2"/>
      <c r="E424" s="31"/>
      <c r="G424" s="43"/>
      <c r="H424" s="2"/>
    </row>
    <row r="425" spans="1:8">
      <c r="A425" s="39">
        <v>5.7213486185959</v>
      </c>
      <c r="B425" s="40">
        <v>12</v>
      </c>
      <c r="D425" s="2"/>
      <c r="E425" s="31"/>
      <c r="G425" s="43"/>
      <c r="H425" s="2"/>
    </row>
    <row r="426" spans="1:8">
      <c r="A426" s="39">
        <v>5.7213486185959</v>
      </c>
      <c r="B426" s="40">
        <v>6</v>
      </c>
      <c r="D426" s="2"/>
      <c r="E426" s="31"/>
      <c r="G426" s="43"/>
      <c r="H426" s="2"/>
    </row>
    <row r="427" spans="1:8">
      <c r="A427" s="39">
        <v>5.71971339454492</v>
      </c>
      <c r="B427" s="40">
        <v>2.5</v>
      </c>
      <c r="D427" s="2"/>
      <c r="E427" s="31"/>
      <c r="G427" s="43"/>
      <c r="H427" s="2"/>
    </row>
    <row r="428" spans="1:8">
      <c r="A428" s="39">
        <v>5.71971339454492</v>
      </c>
      <c r="B428" s="40">
        <v>6.8</v>
      </c>
      <c r="D428" s="2"/>
      <c r="E428" s="31"/>
      <c r="G428" s="43"/>
      <c r="H428" s="2"/>
    </row>
    <row r="429" spans="1:8">
      <c r="A429" s="39">
        <v>5.71821248743278</v>
      </c>
      <c r="B429" s="40">
        <v>6.7</v>
      </c>
      <c r="D429" s="2"/>
      <c r="E429" s="31"/>
      <c r="G429" s="43"/>
      <c r="H429" s="2"/>
    </row>
    <row r="430" spans="1:8">
      <c r="A430" s="39">
        <v>5.71612173332403</v>
      </c>
      <c r="B430" s="40">
        <v>4.2</v>
      </c>
      <c r="D430" s="2"/>
      <c r="E430" s="31"/>
      <c r="G430" s="43"/>
      <c r="H430" s="2"/>
    </row>
    <row r="431" spans="1:8">
      <c r="A431" s="39">
        <v>5.7158695011346</v>
      </c>
      <c r="B431" s="40">
        <v>5.5</v>
      </c>
      <c r="D431" s="44"/>
      <c r="E431" s="31"/>
      <c r="G431" s="43"/>
      <c r="H431" s="2"/>
    </row>
    <row r="432" spans="1:8">
      <c r="A432" s="39">
        <v>5.71582887125826</v>
      </c>
      <c r="B432" s="40">
        <v>14.2</v>
      </c>
      <c r="D432" s="2"/>
      <c r="E432" s="31"/>
      <c r="G432" s="43"/>
      <c r="H432" s="2"/>
    </row>
    <row r="433" spans="1:8">
      <c r="A433" s="39">
        <v>5.71298658107687</v>
      </c>
      <c r="B433" s="40">
        <v>1</v>
      </c>
      <c r="D433" s="2"/>
      <c r="E433" s="31"/>
      <c r="G433" s="43"/>
      <c r="H433" s="2"/>
    </row>
    <row r="434" spans="1:8">
      <c r="A434" s="39">
        <v>5.7129856021609</v>
      </c>
      <c r="B434" s="40">
        <v>4.6</v>
      </c>
      <c r="D434" s="2"/>
      <c r="E434" s="31"/>
      <c r="G434" s="43"/>
      <c r="H434" s="2"/>
    </row>
    <row r="435" spans="1:8">
      <c r="A435" s="39">
        <v>5.71223118196085</v>
      </c>
      <c r="B435" s="40">
        <v>13.2</v>
      </c>
      <c r="D435" s="2"/>
      <c r="E435" s="31"/>
      <c r="G435" s="43"/>
      <c r="H435" s="2"/>
    </row>
    <row r="436" spans="1:8">
      <c r="A436" s="39">
        <v>5.70984947099778</v>
      </c>
      <c r="B436" s="40">
        <v>6</v>
      </c>
      <c r="D436" s="2"/>
      <c r="E436" s="31"/>
      <c r="G436" s="43"/>
      <c r="H436" s="2"/>
    </row>
    <row r="437" spans="1:8">
      <c r="A437" s="39">
        <v>5.7088040939434</v>
      </c>
      <c r="B437" s="40">
        <v>0</v>
      </c>
      <c r="D437" s="2"/>
      <c r="E437" s="31"/>
      <c r="G437" s="43"/>
      <c r="H437" s="2"/>
    </row>
    <row r="438" spans="1:8">
      <c r="A438" s="39">
        <v>5.70683464801474</v>
      </c>
      <c r="B438" s="40">
        <v>6.6</v>
      </c>
      <c r="D438" s="2"/>
      <c r="E438" s="31"/>
      <c r="G438" s="43"/>
      <c r="H438" s="2"/>
    </row>
    <row r="439" spans="1:8">
      <c r="A439" s="39">
        <v>5.70593522569038</v>
      </c>
      <c r="B439" s="40">
        <v>1</v>
      </c>
      <c r="D439" s="2"/>
      <c r="E439" s="31"/>
      <c r="G439" s="43"/>
      <c r="H439" s="2"/>
    </row>
    <row r="440" spans="1:8">
      <c r="A440" s="39">
        <v>5.70503580336603</v>
      </c>
      <c r="B440" s="40">
        <v>11.8</v>
      </c>
      <c r="D440" s="2"/>
      <c r="E440" s="31"/>
      <c r="G440" s="43"/>
      <c r="H440" s="2"/>
    </row>
    <row r="441" spans="1:8">
      <c r="A441" s="39">
        <v>5.7046225857259</v>
      </c>
      <c r="B441" s="40">
        <v>4.35</v>
      </c>
      <c r="D441" s="2"/>
      <c r="E441" s="31"/>
      <c r="G441" s="43"/>
      <c r="H441" s="2"/>
    </row>
    <row r="442" spans="1:8">
      <c r="A442" s="39">
        <v>5.70097441416964</v>
      </c>
      <c r="B442" s="40">
        <v>6</v>
      </c>
      <c r="D442" s="2"/>
      <c r="E442" s="31"/>
      <c r="G442" s="43"/>
      <c r="H442" s="2"/>
    </row>
    <row r="443" spans="1:8">
      <c r="A443" s="39">
        <v>5.7004410775084</v>
      </c>
      <c r="B443" s="40">
        <v>6</v>
      </c>
      <c r="D443" s="2"/>
      <c r="E443" s="31"/>
      <c r="G443" s="43"/>
      <c r="H443" s="2"/>
    </row>
    <row r="444" spans="1:8">
      <c r="A444" s="39">
        <v>5.69939570045402</v>
      </c>
      <c r="B444" s="40">
        <v>5.5</v>
      </c>
      <c r="D444" s="2"/>
      <c r="E444" s="31"/>
      <c r="G444" s="43"/>
      <c r="H444" s="2"/>
    </row>
    <row r="445" spans="1:8">
      <c r="A445" s="39">
        <v>5.69939570045402</v>
      </c>
      <c r="B445" s="40">
        <v>5.6</v>
      </c>
      <c r="D445" s="2"/>
      <c r="E445" s="31"/>
      <c r="G445" s="43"/>
      <c r="H445" s="2"/>
    </row>
    <row r="446" spans="1:8">
      <c r="A446" s="39">
        <v>5.69514215779816</v>
      </c>
      <c r="B446" s="40">
        <v>12.6</v>
      </c>
      <c r="D446" s="2"/>
      <c r="E446" s="31"/>
      <c r="G446" s="43"/>
      <c r="H446" s="2"/>
    </row>
    <row r="447" spans="1:8">
      <c r="A447" s="39">
        <v>5.69416881518215</v>
      </c>
      <c r="B447" s="40">
        <v>5.5</v>
      </c>
      <c r="D447" s="2"/>
      <c r="E447" s="31"/>
      <c r="G447" s="43"/>
      <c r="H447" s="2"/>
    </row>
    <row r="448" spans="1:8">
      <c r="A448" s="39">
        <v>5.69154446850075</v>
      </c>
      <c r="B448" s="40">
        <v>6</v>
      </c>
      <c r="D448" s="2"/>
      <c r="E448" s="31"/>
      <c r="G448" s="43"/>
      <c r="H448" s="2"/>
    </row>
    <row r="449" spans="1:8">
      <c r="A449" s="39">
        <v>5.69154446850075</v>
      </c>
      <c r="B449" s="40">
        <v>16.8</v>
      </c>
      <c r="D449" s="2"/>
      <c r="E449" s="31"/>
      <c r="G449" s="43"/>
      <c r="H449" s="2"/>
    </row>
    <row r="450" spans="1:8">
      <c r="A450" s="39">
        <v>5.68607932720468</v>
      </c>
      <c r="B450" s="40">
        <v>6</v>
      </c>
      <c r="D450" s="44"/>
      <c r="E450" s="31"/>
      <c r="G450" s="43"/>
      <c r="H450" s="2"/>
    </row>
    <row r="451" spans="1:8">
      <c r="A451" s="39">
        <v>5.68371504463839</v>
      </c>
      <c r="B451" s="40">
        <v>10.7</v>
      </c>
      <c r="D451" s="2"/>
      <c r="E451" s="31"/>
      <c r="G451" s="43"/>
      <c r="H451" s="2"/>
    </row>
    <row r="452" spans="1:8">
      <c r="A452" s="39">
        <v>5.67953353642089</v>
      </c>
      <c r="B452" s="40">
        <v>14</v>
      </c>
      <c r="D452" s="2"/>
      <c r="E452" s="31"/>
      <c r="G452" s="43"/>
      <c r="H452" s="2"/>
    </row>
    <row r="453" spans="1:8">
      <c r="A453" s="39">
        <v>5.67848815936652</v>
      </c>
      <c r="B453" s="40">
        <v>6</v>
      </c>
      <c r="D453" s="2"/>
      <c r="E453" s="31"/>
      <c r="G453" s="43"/>
      <c r="H453" s="2"/>
    </row>
    <row r="454" spans="1:8">
      <c r="A454" s="39">
        <v>5.67743056703148</v>
      </c>
      <c r="B454" s="40">
        <v>2.4</v>
      </c>
      <c r="D454" s="2"/>
      <c r="E454" s="31"/>
      <c r="G454" s="43"/>
      <c r="H454" s="2"/>
    </row>
    <row r="455" spans="1:8">
      <c r="A455" s="39">
        <v>5.6764695936789</v>
      </c>
      <c r="B455" s="40">
        <v>2.5</v>
      </c>
      <c r="D455" s="2"/>
      <c r="E455" s="31"/>
      <c r="G455" s="43"/>
      <c r="H455" s="2"/>
    </row>
    <row r="456" spans="1:8">
      <c r="A456" s="39">
        <v>5.67639740525777</v>
      </c>
      <c r="B456" s="40">
        <v>7</v>
      </c>
      <c r="D456" s="2"/>
      <c r="E456" s="31"/>
      <c r="G456" s="43"/>
      <c r="H456" s="2"/>
    </row>
    <row r="457" spans="1:8">
      <c r="A457" s="39">
        <v>5.67262570026859</v>
      </c>
      <c r="B457" s="40">
        <v>0</v>
      </c>
      <c r="D457" s="2"/>
      <c r="E457" s="31"/>
      <c r="G457" s="43"/>
      <c r="H457" s="2"/>
    </row>
    <row r="458" spans="1:8">
      <c r="A458" s="39">
        <v>5.67117051998589</v>
      </c>
      <c r="B458" s="40">
        <v>5.4</v>
      </c>
      <c r="D458" s="2"/>
      <c r="E458" s="31"/>
      <c r="G458" s="43"/>
      <c r="H458" s="2"/>
    </row>
    <row r="459" spans="1:8">
      <c r="A459" s="39">
        <v>5.6699583327163</v>
      </c>
      <c r="B459" s="40">
        <v>1</v>
      </c>
      <c r="D459" s="2"/>
      <c r="E459" s="31"/>
      <c r="G459" s="43"/>
      <c r="H459" s="2"/>
    </row>
    <row r="460" spans="1:8">
      <c r="A460" s="39">
        <v>5.66907976587714</v>
      </c>
      <c r="B460" s="40">
        <v>7.6</v>
      </c>
      <c r="D460" s="2"/>
      <c r="E460" s="31"/>
      <c r="G460" s="43"/>
      <c r="H460" s="2"/>
    </row>
    <row r="461" spans="1:8">
      <c r="A461" s="39">
        <v>5.66698901176839</v>
      </c>
      <c r="B461" s="40">
        <v>5.4</v>
      </c>
      <c r="D461" s="2"/>
      <c r="E461" s="31"/>
      <c r="G461" s="43"/>
      <c r="H461" s="2"/>
    </row>
    <row r="462" spans="1:8">
      <c r="A462" s="39">
        <v>5.66685986015312</v>
      </c>
      <c r="B462" s="40">
        <v>3.8</v>
      </c>
      <c r="D462" s="2"/>
      <c r="E462" s="31"/>
      <c r="G462" s="43"/>
      <c r="H462" s="2"/>
    </row>
    <row r="463" spans="1:8">
      <c r="A463" s="39">
        <v>5.66685986015312</v>
      </c>
      <c r="B463" s="40">
        <v>5.5</v>
      </c>
      <c r="D463" s="2"/>
      <c r="E463" s="31"/>
      <c r="G463" s="43"/>
      <c r="H463" s="2"/>
    </row>
    <row r="464" spans="1:8">
      <c r="A464" s="39">
        <v>5.66456179877018</v>
      </c>
      <c r="B464" s="40">
        <v>6.4</v>
      </c>
      <c r="D464" s="2"/>
      <c r="E464" s="31"/>
      <c r="G464" s="43"/>
      <c r="H464" s="2"/>
    </row>
    <row r="465" spans="1:8">
      <c r="A465" s="39">
        <v>5.66366237644583</v>
      </c>
      <c r="B465" s="40">
        <v>11.5</v>
      </c>
      <c r="D465" s="2"/>
      <c r="E465" s="31"/>
      <c r="G465" s="43"/>
      <c r="H465" s="2"/>
    </row>
    <row r="466" spans="1:8">
      <c r="A466" s="39">
        <v>5.66366237644583</v>
      </c>
      <c r="B466" s="40">
        <v>11.4</v>
      </c>
      <c r="D466" s="2"/>
      <c r="E466" s="31"/>
      <c r="G466" s="43"/>
      <c r="H466" s="2"/>
    </row>
    <row r="467" spans="1:8">
      <c r="A467" s="39">
        <v>5.66280750355089</v>
      </c>
      <c r="B467" s="40">
        <v>6.1</v>
      </c>
      <c r="D467" s="2"/>
      <c r="E467" s="31"/>
      <c r="G467" s="43"/>
      <c r="H467" s="2"/>
    </row>
    <row r="468" spans="1:8">
      <c r="A468" s="39">
        <v>5.66280750355089</v>
      </c>
      <c r="B468" s="40">
        <v>7</v>
      </c>
      <c r="D468" s="2"/>
      <c r="E468" s="31"/>
      <c r="G468" s="43"/>
      <c r="H468" s="2"/>
    </row>
    <row r="469" spans="1:8">
      <c r="A469" s="39">
        <v>5.66205499339023</v>
      </c>
      <c r="B469" s="40">
        <v>1</v>
      </c>
      <c r="D469" s="2"/>
      <c r="E469" s="31"/>
      <c r="G469" s="43"/>
      <c r="H469" s="2"/>
    </row>
    <row r="470" spans="1:8">
      <c r="A470" s="39">
        <v>5.66205499339023</v>
      </c>
      <c r="B470" s="40">
        <v>10.6</v>
      </c>
      <c r="D470" s="2"/>
      <c r="E470" s="31"/>
      <c r="G470" s="43"/>
      <c r="H470" s="2"/>
    </row>
    <row r="471" spans="1:8">
      <c r="A471" s="39">
        <v>5.65916526482407</v>
      </c>
      <c r="B471" s="40">
        <v>7.9</v>
      </c>
      <c r="D471" s="2"/>
      <c r="E471" s="31"/>
      <c r="G471" s="43"/>
      <c r="H471" s="2"/>
    </row>
    <row r="472" spans="1:8">
      <c r="A472" s="39">
        <v>5.65758061827901</v>
      </c>
      <c r="B472" s="40">
        <v>6</v>
      </c>
      <c r="D472" s="2"/>
      <c r="E472" s="31"/>
      <c r="G472" s="43"/>
      <c r="H472" s="2"/>
    </row>
    <row r="473" spans="1:8">
      <c r="A473" s="39">
        <v>5.65758061827901</v>
      </c>
      <c r="B473" s="40">
        <v>4.4</v>
      </c>
      <c r="D473" s="2"/>
      <c r="E473" s="31"/>
      <c r="G473" s="43"/>
      <c r="H473" s="2"/>
    </row>
    <row r="474" spans="1:8">
      <c r="A474" s="39">
        <v>5.65628915327476</v>
      </c>
      <c r="B474" s="40">
        <v>7.2</v>
      </c>
      <c r="D474" s="2"/>
      <c r="E474" s="31"/>
      <c r="G474" s="43"/>
      <c r="H474" s="2"/>
    </row>
    <row r="475" spans="1:8">
      <c r="A475" s="39">
        <v>5.65628915327476</v>
      </c>
      <c r="B475" s="40">
        <v>0</v>
      </c>
      <c r="D475" s="2"/>
      <c r="E475" s="31"/>
      <c r="G475" s="43"/>
      <c r="H475" s="2"/>
    </row>
    <row r="476" spans="1:8">
      <c r="A476" s="39">
        <v>5.65556757552666</v>
      </c>
      <c r="B476" s="40">
        <v>14</v>
      </c>
      <c r="D476" s="2"/>
      <c r="E476" s="31"/>
      <c r="G476" s="43"/>
      <c r="H476" s="2"/>
    </row>
    <row r="477" spans="1:8">
      <c r="A477" s="39">
        <v>5.65548986417026</v>
      </c>
      <c r="B477" s="40">
        <v>3</v>
      </c>
      <c r="D477" s="2"/>
      <c r="E477" s="31"/>
      <c r="G477" s="43"/>
      <c r="H477" s="2"/>
    </row>
    <row r="478" spans="1:8">
      <c r="A478" s="39">
        <v>5.65548986417026</v>
      </c>
      <c r="B478" s="40">
        <v>1.5</v>
      </c>
      <c r="D478" s="2"/>
      <c r="E478" s="31"/>
      <c r="G478" s="43"/>
      <c r="H478" s="2"/>
    </row>
    <row r="479" spans="1:8">
      <c r="A479" s="39">
        <v>5.65244525986445</v>
      </c>
      <c r="B479" s="40">
        <v>1</v>
      </c>
      <c r="D479" s="2"/>
      <c r="E479" s="31"/>
      <c r="G479" s="43"/>
      <c r="H479" s="2"/>
    </row>
    <row r="480" spans="1:8">
      <c r="A480" s="39">
        <v>5.65244525986445</v>
      </c>
      <c r="B480" s="40">
        <v>10.5</v>
      </c>
      <c r="D480" s="2"/>
      <c r="E480" s="31"/>
      <c r="G480" s="43"/>
      <c r="H480" s="2"/>
    </row>
    <row r="481" spans="1:8">
      <c r="A481" s="39">
        <v>5.64764039310156</v>
      </c>
      <c r="B481" s="40">
        <v>3.2</v>
      </c>
      <c r="D481" s="2"/>
      <c r="E481" s="31"/>
      <c r="G481" s="43"/>
      <c r="H481" s="2"/>
    </row>
    <row r="482" spans="1:8">
      <c r="A482" s="39">
        <v>5.64712684773526</v>
      </c>
      <c r="B482" s="40">
        <v>6.6</v>
      </c>
      <c r="D482" s="2"/>
      <c r="E482" s="31"/>
      <c r="G482" s="43"/>
      <c r="H482" s="2"/>
    </row>
    <row r="483" spans="1:8">
      <c r="A483" s="39">
        <v>5.64567392995879</v>
      </c>
      <c r="B483" s="40">
        <v>1</v>
      </c>
      <c r="D483" s="2"/>
      <c r="E483" s="31"/>
      <c r="G483" s="43"/>
      <c r="H483" s="2"/>
    </row>
    <row r="484" spans="1:8">
      <c r="A484" s="39">
        <v>5.64567392995879</v>
      </c>
      <c r="B484" s="40">
        <v>11</v>
      </c>
      <c r="D484" s="2"/>
      <c r="E484" s="31"/>
      <c r="G484" s="43"/>
      <c r="H484" s="2"/>
    </row>
    <row r="485" spans="1:8">
      <c r="A485" s="39">
        <v>5.64379649969124</v>
      </c>
      <c r="B485" s="40">
        <v>1.8</v>
      </c>
      <c r="D485" s="2"/>
      <c r="E485" s="31"/>
      <c r="G485" s="43"/>
      <c r="H485" s="2"/>
    </row>
    <row r="486" spans="1:8">
      <c r="A486" s="39">
        <v>5.6370696862232</v>
      </c>
      <c r="B486" s="40">
        <v>4</v>
      </c>
      <c r="D486" s="2"/>
      <c r="E486" s="31"/>
      <c r="G486" s="43"/>
      <c r="H486" s="2"/>
    </row>
    <row r="487" spans="1:8">
      <c r="A487" s="39">
        <v>5.63667307719151</v>
      </c>
      <c r="B487" s="40">
        <v>4.3</v>
      </c>
      <c r="D487" s="2"/>
      <c r="E487" s="31"/>
      <c r="G487" s="43"/>
      <c r="H487" s="2"/>
    </row>
    <row r="488" spans="1:8">
      <c r="A488" s="39">
        <v>5.63418676616546</v>
      </c>
      <c r="B488" s="40">
        <v>0.5</v>
      </c>
      <c r="D488" s="2"/>
      <c r="E488" s="31"/>
      <c r="G488" s="43"/>
      <c r="H488" s="2"/>
    </row>
    <row r="489" spans="1:8">
      <c r="A489" s="39">
        <v>5.63322579281289</v>
      </c>
      <c r="B489" s="40">
        <v>1</v>
      </c>
      <c r="D489" s="2"/>
      <c r="E489" s="31"/>
      <c r="G489" s="43"/>
      <c r="H489" s="2"/>
    </row>
    <row r="490" spans="1:8">
      <c r="A490" s="39">
        <v>5.63308201741786</v>
      </c>
      <c r="B490" s="40">
        <v>9.8</v>
      </c>
      <c r="D490" s="2"/>
      <c r="E490" s="31"/>
      <c r="G490" s="43"/>
      <c r="H490" s="2"/>
    </row>
    <row r="491" spans="1:8">
      <c r="A491" s="39">
        <v>5.62649897934484</v>
      </c>
      <c r="B491" s="40">
        <v>1</v>
      </c>
      <c r="D491" s="2"/>
      <c r="E491" s="31"/>
      <c r="G491" s="43"/>
      <c r="H491" s="2"/>
    </row>
    <row r="492" spans="1:8">
      <c r="A492" s="39">
        <v>5.624128552539</v>
      </c>
      <c r="B492" s="40">
        <v>3.8</v>
      </c>
      <c r="D492" s="2"/>
      <c r="E492" s="31"/>
      <c r="G492" s="43"/>
      <c r="H492" s="2"/>
    </row>
    <row r="493" spans="1:8">
      <c r="A493" s="39">
        <v>5.61869126022822</v>
      </c>
      <c r="B493" s="40">
        <v>7</v>
      </c>
      <c r="D493" s="2"/>
      <c r="E493" s="31"/>
      <c r="G493" s="43"/>
      <c r="H493" s="2"/>
    </row>
    <row r="494" spans="1:8">
      <c r="A494" s="39">
        <v>5.61869126022822</v>
      </c>
      <c r="B494" s="40">
        <v>13.2</v>
      </c>
      <c r="D494" s="2"/>
      <c r="E494" s="31"/>
      <c r="G494" s="43"/>
      <c r="H494" s="2"/>
    </row>
    <row r="495" spans="1:8">
      <c r="A495" s="39">
        <v>5.61785021917164</v>
      </c>
      <c r="B495" s="40">
        <v>4</v>
      </c>
      <c r="D495" s="2"/>
      <c r="E495" s="31"/>
      <c r="G495" s="43"/>
      <c r="H495" s="2"/>
    </row>
    <row r="496" spans="1:8">
      <c r="A496" s="39">
        <v>5.61681091315837</v>
      </c>
      <c r="B496" s="40">
        <v>10.5</v>
      </c>
      <c r="D496" s="2"/>
      <c r="E496" s="31"/>
      <c r="G496" s="43"/>
      <c r="H496" s="2"/>
    </row>
    <row r="497" spans="1:8">
      <c r="A497" s="39">
        <v>5.615765536104</v>
      </c>
      <c r="B497" s="40">
        <v>9.7</v>
      </c>
      <c r="D497" s="2"/>
      <c r="E497" s="31"/>
      <c r="G497" s="43"/>
      <c r="H497" s="2"/>
    </row>
    <row r="498" spans="1:8">
      <c r="A498" s="39">
        <v>5.61472015904963</v>
      </c>
      <c r="B498" s="40">
        <v>3.8</v>
      </c>
      <c r="D498" s="2"/>
      <c r="E498" s="31"/>
      <c r="G498" s="43"/>
      <c r="H498" s="2"/>
    </row>
    <row r="499" spans="1:8">
      <c r="A499" s="39">
        <v>5.61419414860646</v>
      </c>
      <c r="B499" s="40">
        <v>12.3</v>
      </c>
      <c r="D499" s="2"/>
      <c r="E499" s="31"/>
      <c r="G499" s="43"/>
      <c r="H499" s="2"/>
    </row>
    <row r="500" spans="1:8">
      <c r="A500" s="39">
        <v>5.61400632576133</v>
      </c>
      <c r="B500" s="40">
        <v>5</v>
      </c>
      <c r="D500" s="2"/>
      <c r="E500" s="31"/>
      <c r="G500" s="43"/>
      <c r="H500" s="2"/>
    </row>
    <row r="501" spans="1:8">
      <c r="A501" s="39">
        <v>5.61400632576133</v>
      </c>
      <c r="B501" s="40">
        <v>0.5</v>
      </c>
      <c r="D501" s="2"/>
      <c r="E501" s="31"/>
      <c r="G501" s="43"/>
      <c r="H501" s="2"/>
    </row>
    <row r="502" spans="1:8">
      <c r="A502" s="39">
        <v>5.61208437905617</v>
      </c>
      <c r="B502" s="40">
        <v>1</v>
      </c>
      <c r="D502" s="2"/>
      <c r="E502" s="31"/>
      <c r="G502" s="43"/>
      <c r="H502" s="2"/>
    </row>
    <row r="503" spans="1:8">
      <c r="A503" s="39">
        <v>5.60949327377775</v>
      </c>
      <c r="B503" s="40">
        <v>4</v>
      </c>
      <c r="D503" s="2"/>
      <c r="E503" s="31"/>
      <c r="G503" s="43"/>
      <c r="H503" s="2"/>
    </row>
    <row r="504" spans="1:8">
      <c r="A504" s="39">
        <v>5.60920145899843</v>
      </c>
      <c r="B504" s="40">
        <v>8.2</v>
      </c>
      <c r="D504" s="2"/>
      <c r="E504" s="31"/>
      <c r="G504" s="43"/>
      <c r="H504" s="2"/>
    </row>
    <row r="505" spans="1:8">
      <c r="A505" s="39">
        <v>5.60920145899843</v>
      </c>
      <c r="B505" s="40">
        <v>8.7</v>
      </c>
      <c r="D505" s="2"/>
      <c r="E505" s="31"/>
      <c r="G505" s="43"/>
      <c r="H505" s="2"/>
    </row>
    <row r="506" spans="1:8">
      <c r="A506" s="39">
        <v>5.60531176556025</v>
      </c>
      <c r="B506" s="40">
        <v>7</v>
      </c>
      <c r="D506" s="2"/>
      <c r="E506" s="31"/>
      <c r="G506" s="43"/>
      <c r="H506" s="2"/>
    </row>
    <row r="507" spans="1:8">
      <c r="A507" s="39">
        <v>5.60247464553039</v>
      </c>
      <c r="B507" s="40">
        <v>4.5</v>
      </c>
      <c r="D507" s="2"/>
      <c r="E507" s="31"/>
      <c r="G507" s="43"/>
      <c r="H507" s="2"/>
    </row>
    <row r="508" spans="1:8">
      <c r="A508" s="39">
        <v>5.60113025734275</v>
      </c>
      <c r="B508" s="40">
        <v>3.4</v>
      </c>
      <c r="D508" s="2"/>
      <c r="E508" s="31"/>
      <c r="G508" s="43"/>
      <c r="H508" s="2"/>
    </row>
    <row r="509" spans="1:8">
      <c r="A509" s="39">
        <v>5.60070281374118</v>
      </c>
      <c r="B509" s="40">
        <v>10.8</v>
      </c>
      <c r="D509" s="2"/>
      <c r="E509" s="31"/>
      <c r="G509" s="43"/>
      <c r="H509" s="2"/>
    </row>
    <row r="510" spans="1:8">
      <c r="A510" s="39">
        <v>5.60008488028837</v>
      </c>
      <c r="B510" s="40">
        <v>9.2</v>
      </c>
      <c r="D510" s="2"/>
      <c r="E510" s="31"/>
      <c r="G510" s="43"/>
      <c r="H510" s="2"/>
    </row>
    <row r="511" spans="1:8">
      <c r="A511" s="39">
        <v>5.59799412617962</v>
      </c>
      <c r="B511" s="40">
        <v>4.7</v>
      </c>
      <c r="D511" s="2"/>
      <c r="E511" s="31"/>
      <c r="G511" s="43"/>
      <c r="H511" s="2"/>
    </row>
    <row r="512" spans="1:8">
      <c r="A512" s="39">
        <v>5.59710512444377</v>
      </c>
      <c r="B512" s="40">
        <v>6.4</v>
      </c>
      <c r="D512" s="2"/>
      <c r="E512" s="31"/>
      <c r="G512" s="43"/>
      <c r="H512" s="2"/>
    </row>
    <row r="513" spans="1:8">
      <c r="A513" s="39">
        <v>5.59574783206234</v>
      </c>
      <c r="B513" s="40">
        <v>3.4</v>
      </c>
      <c r="D513" s="2"/>
      <c r="E513" s="31"/>
      <c r="G513" s="43"/>
      <c r="H513" s="2"/>
    </row>
    <row r="514" spans="1:8">
      <c r="A514" s="39">
        <v>5.59478685870976</v>
      </c>
      <c r="B514" s="40">
        <v>1</v>
      </c>
      <c r="D514" s="2"/>
      <c r="E514" s="31"/>
      <c r="G514" s="43"/>
      <c r="H514" s="2"/>
    </row>
    <row r="515" spans="1:8">
      <c r="A515" s="39">
        <v>5.59478685870976</v>
      </c>
      <c r="B515" s="40">
        <v>8.5</v>
      </c>
      <c r="D515" s="2"/>
      <c r="E515" s="31"/>
      <c r="G515" s="43"/>
      <c r="H515" s="2"/>
    </row>
    <row r="516" spans="1:8">
      <c r="A516" s="39">
        <v>5.58963110974462</v>
      </c>
      <c r="B516" s="40">
        <v>3.2</v>
      </c>
      <c r="D516" s="2"/>
      <c r="E516" s="31"/>
      <c r="G516" s="43"/>
      <c r="H516" s="2"/>
    </row>
    <row r="517" spans="1:8">
      <c r="A517" s="39">
        <v>5.58858573269024</v>
      </c>
      <c r="B517" s="40">
        <v>8</v>
      </c>
      <c r="D517" s="2"/>
      <c r="E517" s="31"/>
      <c r="G517" s="43"/>
      <c r="H517" s="2"/>
    </row>
    <row r="518" spans="1:8">
      <c r="A518" s="39">
        <v>5.58541263422719</v>
      </c>
      <c r="B518" s="40">
        <v>8.8</v>
      </c>
      <c r="D518" s="2"/>
      <c r="E518" s="31"/>
      <c r="G518" s="43"/>
      <c r="H518" s="2"/>
    </row>
    <row r="519" spans="1:8">
      <c r="A519" s="39">
        <v>5.58517712518398</v>
      </c>
      <c r="B519" s="40">
        <v>1</v>
      </c>
      <c r="D519" s="2"/>
      <c r="E519" s="31"/>
      <c r="G519" s="43"/>
      <c r="H519" s="2"/>
    </row>
    <row r="520" spans="1:8">
      <c r="A520" s="39">
        <v>5.58517712518398</v>
      </c>
      <c r="B520" s="40">
        <v>1</v>
      </c>
      <c r="D520" s="2"/>
      <c r="E520" s="31"/>
      <c r="G520" s="43"/>
      <c r="H520" s="2"/>
    </row>
    <row r="521" spans="1:8">
      <c r="A521" s="39">
        <v>5.5842161518314</v>
      </c>
      <c r="B521" s="40">
        <v>19.9</v>
      </c>
      <c r="D521" s="2"/>
      <c r="E521" s="31"/>
      <c r="G521" s="43"/>
      <c r="H521" s="2"/>
    </row>
    <row r="522" spans="1:8">
      <c r="A522" s="39">
        <v>5.58335884741837</v>
      </c>
      <c r="B522" s="40">
        <v>8</v>
      </c>
      <c r="D522" s="2"/>
      <c r="E522" s="31"/>
      <c r="G522" s="43"/>
      <c r="H522" s="2"/>
    </row>
    <row r="523" spans="1:8">
      <c r="A523" s="39">
        <v>5.58037225842109</v>
      </c>
      <c r="B523" s="40">
        <v>2.8</v>
      </c>
      <c r="D523" s="2"/>
      <c r="E523" s="31"/>
      <c r="G523" s="43"/>
      <c r="H523" s="2"/>
    </row>
    <row r="524" spans="1:8">
      <c r="A524" s="39">
        <v>5.58001610028108</v>
      </c>
      <c r="B524" s="40">
        <v>1</v>
      </c>
      <c r="D524" s="2"/>
      <c r="E524" s="31"/>
      <c r="G524" s="43"/>
      <c r="H524" s="2"/>
    </row>
    <row r="525" spans="1:8">
      <c r="A525" s="39">
        <v>5.57917733920087</v>
      </c>
      <c r="B525" s="40">
        <v>4.5</v>
      </c>
      <c r="D525" s="2"/>
      <c r="E525" s="31"/>
      <c r="G525" s="43"/>
      <c r="H525" s="2"/>
    </row>
    <row r="526" spans="1:8">
      <c r="A526" s="39">
        <v>5.57911667795672</v>
      </c>
      <c r="B526" s="40">
        <v>11</v>
      </c>
      <c r="D526" s="2"/>
      <c r="E526" s="31"/>
      <c r="G526" s="43"/>
      <c r="H526" s="2"/>
    </row>
    <row r="527" spans="1:8">
      <c r="A527" s="39">
        <v>5.57845031171593</v>
      </c>
      <c r="B527" s="40">
        <v>1</v>
      </c>
      <c r="D527" s="2"/>
      <c r="E527" s="31"/>
      <c r="G527" s="43"/>
      <c r="H527" s="2"/>
    </row>
    <row r="528" spans="1:8">
      <c r="A528" s="39">
        <v>5.57748933836336</v>
      </c>
      <c r="B528" s="40">
        <v>6.5</v>
      </c>
      <c r="D528" s="2"/>
      <c r="E528" s="31"/>
      <c r="G528" s="43"/>
      <c r="H528" s="2"/>
    </row>
    <row r="529" spans="1:8">
      <c r="A529" s="39">
        <v>5.57551898865932</v>
      </c>
      <c r="B529" s="40">
        <v>1</v>
      </c>
      <c r="D529" s="2"/>
      <c r="E529" s="31"/>
      <c r="G529" s="43"/>
      <c r="H529" s="2"/>
    </row>
    <row r="530" spans="1:8">
      <c r="A530" s="39">
        <v>5.57551898865932</v>
      </c>
      <c r="B530" s="40">
        <v>12.5</v>
      </c>
      <c r="D530" s="2"/>
      <c r="E530" s="31"/>
      <c r="G530" s="43"/>
      <c r="H530" s="2"/>
    </row>
    <row r="531" spans="1:8">
      <c r="A531" s="39">
        <v>5.56884057819015</v>
      </c>
      <c r="B531" s="40">
        <v>0</v>
      </c>
      <c r="D531" s="44"/>
      <c r="E531" s="31"/>
      <c r="G531" s="43"/>
      <c r="H531" s="2"/>
    </row>
    <row r="532" spans="1:8">
      <c r="A532" s="39">
        <v>5.56872356865711</v>
      </c>
      <c r="B532" s="40">
        <v>5.5</v>
      </c>
      <c r="D532" s="2"/>
      <c r="E532" s="31"/>
      <c r="G532" s="43"/>
      <c r="H532" s="2"/>
    </row>
    <row r="533" spans="1:8">
      <c r="A533" s="39">
        <v>5.56787960483757</v>
      </c>
      <c r="B533" s="40">
        <v>2</v>
      </c>
      <c r="D533" s="2"/>
      <c r="E533" s="31"/>
      <c r="G533" s="43"/>
      <c r="H533" s="2"/>
    </row>
    <row r="534" spans="1:8">
      <c r="A534" s="39">
        <v>5.56787960483757</v>
      </c>
      <c r="B534" s="40">
        <v>5.9</v>
      </c>
      <c r="D534" s="2"/>
      <c r="E534" s="31"/>
      <c r="G534" s="43"/>
      <c r="H534" s="2"/>
    </row>
    <row r="535" spans="1:8">
      <c r="A535" s="39">
        <v>5.56652476541579</v>
      </c>
      <c r="B535" s="40">
        <v>1</v>
      </c>
      <c r="D535" s="2"/>
      <c r="E535" s="31"/>
      <c r="G535" s="43"/>
      <c r="H535" s="2"/>
    </row>
    <row r="536" spans="1:8">
      <c r="A536" s="39">
        <v>5.56652476541579</v>
      </c>
      <c r="B536" s="40">
        <v>7.9</v>
      </c>
      <c r="D536" s="2"/>
      <c r="E536" s="31"/>
      <c r="G536" s="43"/>
      <c r="H536" s="2"/>
    </row>
    <row r="537" spans="1:8">
      <c r="A537" s="39">
        <v>5.56472592076709</v>
      </c>
      <c r="B537" s="40">
        <v>2</v>
      </c>
      <c r="D537" s="2"/>
      <c r="E537" s="31"/>
      <c r="G537" s="43"/>
      <c r="H537" s="2"/>
    </row>
    <row r="538" spans="1:8">
      <c r="A538" s="39">
        <v>5.56115279136953</v>
      </c>
      <c r="B538" s="40">
        <v>9.7</v>
      </c>
      <c r="D538" s="2"/>
      <c r="E538" s="31"/>
      <c r="G538" s="43"/>
      <c r="H538" s="2"/>
    </row>
    <row r="539" spans="1:8">
      <c r="A539" s="39">
        <v>5.56022880914533</v>
      </c>
      <c r="B539" s="40">
        <v>12</v>
      </c>
      <c r="D539" s="2"/>
      <c r="E539" s="31"/>
      <c r="G539" s="43"/>
      <c r="H539" s="2"/>
    </row>
    <row r="540" spans="1:8">
      <c r="A540" s="39">
        <v>5.55931517516774</v>
      </c>
      <c r="B540" s="40">
        <v>4.5</v>
      </c>
      <c r="D540" s="2"/>
      <c r="E540" s="31"/>
      <c r="G540" s="43"/>
      <c r="H540" s="2"/>
    </row>
    <row r="541" spans="1:8">
      <c r="A541" s="39">
        <v>5.55730889795921</v>
      </c>
      <c r="B541" s="40">
        <v>3.9</v>
      </c>
      <c r="D541" s="2"/>
      <c r="E541" s="31"/>
      <c r="G541" s="43"/>
      <c r="H541" s="2"/>
    </row>
    <row r="542" spans="1:8">
      <c r="A542" s="39">
        <v>5.55634792460664</v>
      </c>
      <c r="B542" s="40">
        <v>1</v>
      </c>
      <c r="D542" s="2"/>
      <c r="E542" s="31"/>
      <c r="G542" s="43"/>
      <c r="H542" s="2"/>
    </row>
    <row r="543" spans="1:8">
      <c r="A543" s="39">
        <v>5.55634792460664</v>
      </c>
      <c r="B543" s="40">
        <v>16.2</v>
      </c>
      <c r="D543" s="2"/>
      <c r="E543" s="31"/>
      <c r="G543" s="43"/>
      <c r="H543" s="2"/>
    </row>
    <row r="544" spans="1:8">
      <c r="A544" s="39">
        <v>5.55442597790148</v>
      </c>
      <c r="B544" s="40">
        <v>1</v>
      </c>
      <c r="D544" s="2"/>
      <c r="E544" s="31"/>
      <c r="G544" s="43"/>
      <c r="H544" s="2"/>
    </row>
    <row r="545" spans="1:8">
      <c r="A545" s="39">
        <v>5.55213400822616</v>
      </c>
      <c r="B545" s="40">
        <v>10.7</v>
      </c>
      <c r="D545" s="2"/>
      <c r="E545" s="31"/>
      <c r="G545" s="43"/>
      <c r="H545" s="2"/>
    </row>
    <row r="546" spans="1:8">
      <c r="A546" s="39">
        <v>5.55123458590181</v>
      </c>
      <c r="B546" s="40">
        <v>12.2</v>
      </c>
      <c r="D546" s="2"/>
      <c r="E546" s="31"/>
      <c r="G546" s="43"/>
      <c r="H546" s="2"/>
    </row>
    <row r="547" spans="1:8">
      <c r="A547" s="39">
        <v>5.55095215873273</v>
      </c>
      <c r="B547" s="40">
        <v>4</v>
      </c>
      <c r="D547" s="2"/>
      <c r="E547" s="31"/>
      <c r="G547" s="43"/>
      <c r="H547" s="2"/>
    </row>
    <row r="548" spans="1:8">
      <c r="A548" s="39">
        <v>5.54962111113859</v>
      </c>
      <c r="B548" s="40">
        <v>2</v>
      </c>
      <c r="D548" s="2"/>
      <c r="E548" s="31"/>
      <c r="G548" s="43"/>
      <c r="H548" s="2"/>
    </row>
    <row r="549" spans="1:8">
      <c r="A549" s="39">
        <v>5.54853631892875</v>
      </c>
      <c r="B549" s="40">
        <v>10</v>
      </c>
      <c r="D549" s="2"/>
      <c r="E549" s="31"/>
      <c r="G549" s="43"/>
      <c r="H549" s="2"/>
    </row>
    <row r="550" spans="1:8">
      <c r="A550" s="39">
        <v>5.54781602756961</v>
      </c>
      <c r="B550" s="40">
        <v>6</v>
      </c>
      <c r="D550" s="2"/>
      <c r="E550" s="31"/>
      <c r="G550" s="43"/>
      <c r="H550" s="2"/>
    </row>
    <row r="551" spans="1:8">
      <c r="A551" s="39">
        <v>5.54769916443343</v>
      </c>
      <c r="B551" s="40">
        <v>3</v>
      </c>
      <c r="D551" s="2"/>
      <c r="E551" s="31"/>
      <c r="G551" s="43"/>
      <c r="H551" s="2"/>
    </row>
    <row r="552" spans="1:8">
      <c r="A552" s="39">
        <v>5.54313978498264</v>
      </c>
      <c r="B552" s="40">
        <v>10.8</v>
      </c>
      <c r="D552" s="2"/>
      <c r="E552" s="31"/>
      <c r="G552" s="43"/>
      <c r="H552" s="2"/>
    </row>
    <row r="553" spans="1:8">
      <c r="A553" s="39">
        <v>5.54258914229773</v>
      </c>
      <c r="B553" s="40">
        <v>11</v>
      </c>
      <c r="D553" s="2"/>
      <c r="E553" s="31"/>
      <c r="G553" s="43"/>
      <c r="H553" s="2"/>
    </row>
    <row r="554" spans="1:8">
      <c r="A554" s="39">
        <v>5.54134094033393</v>
      </c>
      <c r="B554" s="40">
        <v>8.4</v>
      </c>
      <c r="D554" s="2"/>
      <c r="E554" s="31"/>
      <c r="G554" s="43"/>
      <c r="H554" s="2"/>
    </row>
    <row r="555" spans="1:8">
      <c r="A555" s="39">
        <v>5.53954209568523</v>
      </c>
      <c r="B555" s="40">
        <v>5</v>
      </c>
      <c r="D555" s="2"/>
      <c r="E555" s="31"/>
      <c r="G555" s="43"/>
      <c r="H555" s="2"/>
    </row>
    <row r="556" spans="1:8">
      <c r="A556" s="39">
        <v>5.53864267336087</v>
      </c>
      <c r="B556" s="40">
        <v>12.1</v>
      </c>
      <c r="D556" s="2"/>
      <c r="E556" s="31"/>
      <c r="G556" s="43"/>
      <c r="H556" s="2"/>
    </row>
    <row r="557" spans="1:8">
      <c r="A557" s="39">
        <v>5.53774325103652</v>
      </c>
      <c r="B557" s="40">
        <v>7</v>
      </c>
      <c r="D557" s="2"/>
      <c r="E557" s="31"/>
      <c r="G557" s="43"/>
      <c r="H557" s="2"/>
    </row>
    <row r="558" spans="1:8">
      <c r="A558" s="39">
        <v>5.53414556173911</v>
      </c>
      <c r="B558" s="40">
        <v>9</v>
      </c>
      <c r="D558" s="2"/>
      <c r="E558" s="31"/>
      <c r="G558" s="43"/>
      <c r="H558" s="2"/>
    </row>
    <row r="559" spans="1:8">
      <c r="A559" s="39">
        <v>5.53324613941476</v>
      </c>
      <c r="B559" s="40">
        <v>13.1</v>
      </c>
      <c r="D559" s="2"/>
      <c r="E559" s="31"/>
      <c r="G559" s="43"/>
      <c r="H559" s="2"/>
    </row>
    <row r="560" spans="1:8">
      <c r="A560" s="39">
        <v>5.53318074880835</v>
      </c>
      <c r="B560" s="40">
        <v>6.6</v>
      </c>
      <c r="D560" s="2"/>
      <c r="E560" s="31"/>
      <c r="G560" s="43"/>
      <c r="H560" s="2"/>
    </row>
    <row r="561" spans="1:8">
      <c r="A561" s="39">
        <v>5.52964845011735</v>
      </c>
      <c r="B561" s="40">
        <v>11</v>
      </c>
      <c r="D561" s="2"/>
      <c r="E561" s="31"/>
      <c r="G561" s="43"/>
      <c r="H561" s="2"/>
    </row>
    <row r="562" spans="1:8">
      <c r="A562" s="39">
        <v>5.52964845011735</v>
      </c>
      <c r="B562" s="40">
        <v>13</v>
      </c>
      <c r="D562" s="2"/>
      <c r="E562" s="31"/>
      <c r="G562" s="43"/>
      <c r="H562" s="2"/>
    </row>
    <row r="563" spans="1:8">
      <c r="A563" s="39">
        <v>5.52481773237335</v>
      </c>
      <c r="B563" s="40">
        <v>9</v>
      </c>
      <c r="D563" s="2"/>
      <c r="E563" s="31"/>
      <c r="G563" s="43"/>
      <c r="H563" s="2"/>
    </row>
    <row r="564" spans="1:8">
      <c r="A564" s="39">
        <v>5.5227138572664</v>
      </c>
      <c r="B564" s="40">
        <v>4.6</v>
      </c>
      <c r="D564" s="2"/>
      <c r="E564" s="31"/>
      <c r="G564" s="43"/>
      <c r="H564" s="2"/>
    </row>
    <row r="565" spans="1:8">
      <c r="A565" s="39">
        <v>5.51983093720867</v>
      </c>
      <c r="B565" s="40">
        <v>1.7</v>
      </c>
      <c r="D565" s="2"/>
      <c r="E565" s="31"/>
      <c r="G565" s="43"/>
      <c r="H565" s="2"/>
    </row>
    <row r="566" spans="1:8">
      <c r="A566" s="39">
        <v>5.51886996385609</v>
      </c>
      <c r="B566" s="40">
        <v>3</v>
      </c>
      <c r="D566" s="2"/>
      <c r="E566" s="31"/>
      <c r="G566" s="43"/>
      <c r="H566" s="2"/>
    </row>
    <row r="567" spans="1:8">
      <c r="A567" s="39">
        <v>5.51076058130596</v>
      </c>
      <c r="B567" s="40">
        <v>8.6</v>
      </c>
      <c r="D567" s="2"/>
      <c r="E567" s="31"/>
      <c r="G567" s="43"/>
      <c r="H567" s="2"/>
    </row>
    <row r="568" spans="1:8">
      <c r="A568" s="39">
        <v>5.51076058130596</v>
      </c>
      <c r="B568" s="40">
        <v>8</v>
      </c>
      <c r="D568" s="2"/>
      <c r="E568" s="31"/>
      <c r="G568" s="43"/>
      <c r="H568" s="2"/>
    </row>
    <row r="569" spans="1:8">
      <c r="A569" s="39">
        <v>5.50913707655772</v>
      </c>
      <c r="B569" s="40">
        <v>3</v>
      </c>
      <c r="D569" s="2"/>
      <c r="E569" s="31"/>
      <c r="G569" s="43"/>
      <c r="H569" s="2"/>
    </row>
    <row r="570" spans="1:8">
      <c r="A570" s="39">
        <v>5.50896173665725</v>
      </c>
      <c r="B570" s="40">
        <v>8.5</v>
      </c>
      <c r="D570" s="2"/>
      <c r="E570" s="31"/>
      <c r="G570" s="43"/>
      <c r="H570" s="2"/>
    </row>
    <row r="571" spans="1:8">
      <c r="A571" s="39">
        <v>5.50176635806243</v>
      </c>
      <c r="B571" s="40">
        <v>1</v>
      </c>
      <c r="D571" s="2"/>
      <c r="E571" s="31"/>
      <c r="G571" s="43"/>
      <c r="H571" s="2"/>
    </row>
    <row r="572" spans="1:8">
      <c r="A572" s="39">
        <v>5.50176635806243</v>
      </c>
      <c r="B572" s="40">
        <v>13.2</v>
      </c>
      <c r="D572" s="2"/>
      <c r="E572" s="31"/>
      <c r="G572" s="43"/>
      <c r="H572" s="2"/>
    </row>
    <row r="573" spans="1:8">
      <c r="A573" s="39">
        <v>5.50157244350968</v>
      </c>
      <c r="B573" s="40">
        <v>2.5</v>
      </c>
      <c r="D573" s="2"/>
      <c r="E573" s="31"/>
      <c r="G573" s="43"/>
      <c r="H573" s="2"/>
    </row>
    <row r="574" spans="1:8">
      <c r="A574" s="39">
        <v>5.49868952345195</v>
      </c>
      <c r="B574" s="40">
        <v>1</v>
      </c>
      <c r="D574" s="2"/>
      <c r="E574" s="31"/>
      <c r="G574" s="43"/>
      <c r="H574" s="2"/>
    </row>
    <row r="575" spans="1:8">
      <c r="A575" s="39">
        <v>5.49868952345195</v>
      </c>
      <c r="B575" s="40">
        <v>1</v>
      </c>
      <c r="D575" s="2"/>
      <c r="E575" s="31"/>
      <c r="G575" s="43"/>
      <c r="H575" s="2"/>
    </row>
    <row r="576" spans="1:8">
      <c r="A576" s="39">
        <v>5.49636982411632</v>
      </c>
      <c r="B576" s="40">
        <v>12.9</v>
      </c>
      <c r="D576" s="2"/>
      <c r="E576" s="31"/>
      <c r="G576" s="43"/>
      <c r="H576" s="2"/>
    </row>
    <row r="577" spans="1:8">
      <c r="A577" s="39">
        <v>5.49554717485084</v>
      </c>
      <c r="B577" s="40">
        <v>3</v>
      </c>
      <c r="D577" s="2"/>
      <c r="E577" s="31"/>
      <c r="G577" s="43"/>
      <c r="H577" s="2"/>
    </row>
    <row r="578" spans="1:8">
      <c r="A578" s="39">
        <v>5.49457097946762</v>
      </c>
      <c r="B578" s="40">
        <v>11.6</v>
      </c>
      <c r="D578" s="2"/>
      <c r="E578" s="31"/>
      <c r="G578" s="43"/>
      <c r="H578" s="2"/>
    </row>
    <row r="579" spans="1:8">
      <c r="A579" s="39">
        <v>5.49450179779647</v>
      </c>
      <c r="B579" s="40">
        <v>9</v>
      </c>
      <c r="D579" s="2"/>
      <c r="E579" s="31"/>
      <c r="G579" s="43"/>
      <c r="H579" s="2"/>
    </row>
    <row r="580" spans="1:8">
      <c r="A580" s="39">
        <v>5.49367155714326</v>
      </c>
      <c r="B580" s="40">
        <v>9.7</v>
      </c>
      <c r="D580" s="2"/>
      <c r="E580" s="31"/>
      <c r="G580" s="43"/>
      <c r="H580" s="2"/>
    </row>
    <row r="581" spans="1:8">
      <c r="A581" s="39">
        <v>5.49292368333648</v>
      </c>
      <c r="B581" s="40">
        <v>2</v>
      </c>
      <c r="D581" s="44"/>
      <c r="E581" s="31"/>
      <c r="G581" s="43"/>
      <c r="H581" s="2"/>
    </row>
    <row r="582" spans="1:8">
      <c r="A582" s="39">
        <v>5.49292368333648</v>
      </c>
      <c r="B582" s="40">
        <v>0</v>
      </c>
      <c r="D582" s="2"/>
      <c r="E582" s="31"/>
      <c r="G582" s="43"/>
      <c r="H582" s="2"/>
    </row>
    <row r="583" spans="1:8">
      <c r="A583" s="39">
        <v>5.49277213481891</v>
      </c>
      <c r="B583" s="40">
        <v>1</v>
      </c>
      <c r="D583" s="2"/>
      <c r="E583" s="31"/>
      <c r="G583" s="43"/>
      <c r="H583" s="2"/>
    </row>
    <row r="584" spans="1:8">
      <c r="A584" s="39">
        <v>5.49277213481891</v>
      </c>
      <c r="B584" s="40">
        <v>1</v>
      </c>
      <c r="D584" s="2"/>
      <c r="E584" s="31"/>
      <c r="G584" s="43"/>
      <c r="H584" s="2"/>
    </row>
    <row r="585" spans="1:8">
      <c r="A585" s="39">
        <v>5.49004076327875</v>
      </c>
      <c r="B585" s="40">
        <v>5.5</v>
      </c>
      <c r="D585" s="2"/>
      <c r="E585" s="31"/>
      <c r="G585" s="43"/>
      <c r="H585" s="2"/>
    </row>
    <row r="586" spans="1:8">
      <c r="A586" s="39">
        <v>5.48715784322101</v>
      </c>
      <c r="B586" s="40">
        <v>5.8</v>
      </c>
      <c r="D586" s="2"/>
      <c r="E586" s="31"/>
      <c r="G586" s="43"/>
      <c r="H586" s="2"/>
    </row>
    <row r="587" spans="1:8">
      <c r="A587" s="39">
        <v>5.48613878136146</v>
      </c>
      <c r="B587" s="40">
        <v>2.7</v>
      </c>
      <c r="D587" s="2"/>
      <c r="E587" s="31"/>
      <c r="G587" s="43"/>
      <c r="H587" s="2"/>
    </row>
    <row r="588" spans="1:8">
      <c r="A588" s="39">
        <v>5.48300265019834</v>
      </c>
      <c r="B588" s="40">
        <v>10.7</v>
      </c>
      <c r="D588" s="2"/>
      <c r="E588" s="31"/>
      <c r="G588" s="43"/>
      <c r="H588" s="2"/>
    </row>
    <row r="589" spans="1:8">
      <c r="A589" s="39">
        <v>5.48300265019834</v>
      </c>
      <c r="B589" s="40">
        <v>3.9</v>
      </c>
      <c r="D589" s="2"/>
      <c r="E589" s="31"/>
      <c r="G589" s="43"/>
      <c r="H589" s="2"/>
    </row>
    <row r="590" spans="1:8">
      <c r="A590" s="39">
        <v>5.48197906692669</v>
      </c>
      <c r="B590" s="40">
        <v>0</v>
      </c>
      <c r="D590" s="2"/>
      <c r="E590" s="31"/>
      <c r="G590" s="43"/>
      <c r="H590" s="2"/>
    </row>
    <row r="591" spans="1:8">
      <c r="A591" s="39">
        <v>5.48197906692669</v>
      </c>
      <c r="B591" s="40">
        <v>0</v>
      </c>
      <c r="D591" s="2"/>
      <c r="E591" s="31"/>
      <c r="G591" s="43"/>
      <c r="H591" s="2"/>
    </row>
    <row r="592" spans="1:8">
      <c r="A592" s="39">
        <v>5.47947005640039</v>
      </c>
      <c r="B592" s="40">
        <v>3</v>
      </c>
      <c r="D592" s="2"/>
      <c r="E592" s="31"/>
      <c r="G592" s="43"/>
      <c r="H592" s="2"/>
    </row>
    <row r="593" spans="1:8">
      <c r="A593" s="39">
        <v>5.47947005640039</v>
      </c>
      <c r="B593" s="40">
        <v>1</v>
      </c>
      <c r="D593" s="2"/>
      <c r="E593" s="31"/>
      <c r="G593" s="43"/>
      <c r="H593" s="2"/>
    </row>
    <row r="594" spans="1:8">
      <c r="A594" s="39">
        <v>5.47947005640039</v>
      </c>
      <c r="B594" s="40">
        <v>1</v>
      </c>
      <c r="D594" s="2"/>
      <c r="E594" s="31"/>
      <c r="G594" s="43"/>
      <c r="H594" s="2"/>
    </row>
    <row r="595" spans="1:8">
      <c r="A595" s="39">
        <v>5.47947005640039</v>
      </c>
      <c r="B595" s="40">
        <v>3</v>
      </c>
      <c r="D595" s="2"/>
      <c r="E595" s="31"/>
      <c r="G595" s="43"/>
      <c r="H595" s="2"/>
    </row>
    <row r="596" spans="1:8">
      <c r="A596" s="39">
        <v>5.47928079995363</v>
      </c>
      <c r="B596" s="40">
        <v>9.7</v>
      </c>
      <c r="D596" s="2"/>
      <c r="E596" s="31"/>
      <c r="G596" s="43"/>
      <c r="H596" s="2"/>
    </row>
    <row r="597" spans="1:8">
      <c r="A597" s="39">
        <v>5.47748195530492</v>
      </c>
      <c r="B597" s="40">
        <v>7.1</v>
      </c>
      <c r="D597" s="2"/>
      <c r="E597" s="31"/>
      <c r="G597" s="43"/>
      <c r="H597" s="2"/>
    </row>
    <row r="598" spans="1:8">
      <c r="A598" s="39">
        <v>5.47568311065622</v>
      </c>
      <c r="B598" s="40">
        <v>9.2</v>
      </c>
      <c r="D598" s="2"/>
      <c r="E598" s="31"/>
      <c r="G598" s="43"/>
      <c r="H598" s="2"/>
    </row>
    <row r="599" spans="1:8">
      <c r="A599" s="39">
        <v>5.47254887965459</v>
      </c>
      <c r="B599" s="40">
        <v>1.4</v>
      </c>
      <c r="D599" s="2"/>
      <c r="E599" s="31"/>
      <c r="G599" s="43"/>
      <c r="H599" s="2"/>
    </row>
    <row r="600" spans="1:8">
      <c r="A600" s="39">
        <v>5.47226275625605</v>
      </c>
      <c r="B600" s="40">
        <v>2.5</v>
      </c>
      <c r="D600" s="2"/>
      <c r="E600" s="31"/>
      <c r="G600" s="43"/>
      <c r="H600" s="2"/>
    </row>
    <row r="601" spans="1:8">
      <c r="A601" s="39">
        <v>5.47082129622719</v>
      </c>
      <c r="B601" s="40">
        <v>5</v>
      </c>
      <c r="D601" s="2"/>
      <c r="E601" s="31"/>
      <c r="G601" s="43"/>
      <c r="H601" s="2"/>
    </row>
    <row r="602" spans="1:8">
      <c r="A602" s="39">
        <v>5.46986032287461</v>
      </c>
      <c r="B602" s="40">
        <v>3.3</v>
      </c>
      <c r="D602" s="2"/>
      <c r="E602" s="31"/>
      <c r="G602" s="43"/>
      <c r="H602" s="2"/>
    </row>
    <row r="603" spans="1:8">
      <c r="A603" s="39">
        <v>5.46986032287461</v>
      </c>
      <c r="B603" s="40">
        <v>7.2</v>
      </c>
      <c r="D603" s="2"/>
      <c r="E603" s="31"/>
      <c r="G603" s="43"/>
      <c r="H603" s="2"/>
    </row>
    <row r="604" spans="1:8">
      <c r="A604" s="39">
        <v>5.46758830973705</v>
      </c>
      <c r="B604" s="40">
        <v>1</v>
      </c>
      <c r="D604" s="2"/>
      <c r="E604" s="31"/>
      <c r="G604" s="43"/>
      <c r="H604" s="2"/>
    </row>
    <row r="605" spans="1:8">
      <c r="A605" s="39">
        <v>5.46578946508835</v>
      </c>
      <c r="B605" s="40">
        <v>13.2</v>
      </c>
      <c r="D605" s="2"/>
      <c r="E605" s="31"/>
      <c r="G605" s="43"/>
      <c r="H605" s="2"/>
    </row>
    <row r="606" spans="1:8">
      <c r="A606" s="39">
        <v>5.46523124027396</v>
      </c>
      <c r="B606" s="40">
        <v>6.5</v>
      </c>
      <c r="D606" s="2"/>
      <c r="E606" s="31"/>
      <c r="G606" s="43"/>
      <c r="H606" s="2"/>
    </row>
    <row r="607" spans="1:8">
      <c r="A607" s="39">
        <v>5.46217253605398</v>
      </c>
      <c r="B607" s="40">
        <v>5.7</v>
      </c>
      <c r="D607" s="2"/>
      <c r="E607" s="31"/>
      <c r="G607" s="43"/>
      <c r="H607" s="2"/>
    </row>
    <row r="608" spans="1:8">
      <c r="A608" s="39">
        <v>5.45769466416918</v>
      </c>
      <c r="B608" s="40">
        <v>9.8</v>
      </c>
      <c r="D608" s="2"/>
      <c r="E608" s="31"/>
      <c r="G608" s="43"/>
      <c r="H608" s="2"/>
    </row>
    <row r="609" spans="1:8">
      <c r="A609" s="39">
        <v>5.45229813022306</v>
      </c>
      <c r="B609" s="40">
        <v>12.4</v>
      </c>
      <c r="D609" s="2"/>
      <c r="E609" s="31"/>
      <c r="G609" s="43"/>
      <c r="H609" s="2"/>
    </row>
    <row r="610" spans="1:8">
      <c r="A610" s="39">
        <v>5.44967988247047</v>
      </c>
      <c r="B610" s="40">
        <v>0</v>
      </c>
      <c r="D610" s="2"/>
      <c r="E610" s="31"/>
      <c r="G610" s="43"/>
      <c r="H610" s="2"/>
    </row>
    <row r="611" spans="1:8">
      <c r="A611" s="39">
        <v>5.4478010186013</v>
      </c>
      <c r="B611" s="40">
        <v>8</v>
      </c>
      <c r="D611" s="2"/>
      <c r="E611" s="31"/>
      <c r="G611" s="43"/>
      <c r="H611" s="2"/>
    </row>
    <row r="612" spans="1:8">
      <c r="A612" s="39">
        <v>5.4460021739526</v>
      </c>
      <c r="B612" s="40">
        <v>2</v>
      </c>
      <c r="D612" s="2"/>
      <c r="E612" s="31"/>
      <c r="G612" s="43"/>
      <c r="H612" s="2"/>
    </row>
    <row r="613" spans="1:8">
      <c r="A613" s="39">
        <v>5.4460021739526</v>
      </c>
      <c r="B613" s="40">
        <v>13.5</v>
      </c>
      <c r="D613" s="2"/>
      <c r="E613" s="31"/>
      <c r="G613" s="43"/>
      <c r="H613" s="2"/>
    </row>
    <row r="614" spans="1:8">
      <c r="A614" s="39">
        <v>5.44420332930389</v>
      </c>
      <c r="B614" s="40">
        <v>12.8</v>
      </c>
      <c r="D614" s="2"/>
      <c r="E614" s="31"/>
      <c r="G614" s="43"/>
      <c r="H614" s="2"/>
    </row>
    <row r="615" spans="1:8">
      <c r="A615" s="39">
        <v>5.44240448465519</v>
      </c>
      <c r="B615" s="40">
        <v>13.1</v>
      </c>
      <c r="D615" s="2"/>
      <c r="E615" s="31"/>
      <c r="G615" s="43"/>
      <c r="H615" s="2"/>
    </row>
    <row r="616" spans="1:8">
      <c r="A616" s="39">
        <v>5.44199209564984</v>
      </c>
      <c r="B616" s="40">
        <v>2.6</v>
      </c>
      <c r="D616" s="2"/>
      <c r="E616" s="31"/>
      <c r="G616" s="43"/>
      <c r="H616" s="2"/>
    </row>
    <row r="617" spans="1:8">
      <c r="A617" s="39">
        <v>5.43880679535778</v>
      </c>
      <c r="B617" s="40">
        <v>6.8</v>
      </c>
      <c r="D617" s="2"/>
      <c r="E617" s="31"/>
      <c r="G617" s="43"/>
      <c r="H617" s="2"/>
    </row>
    <row r="618" spans="1:8">
      <c r="A618" s="39">
        <v>5.43880679535778</v>
      </c>
      <c r="B618" s="40">
        <v>1</v>
      </c>
      <c r="D618" s="2"/>
      <c r="E618" s="31"/>
      <c r="G618" s="43"/>
      <c r="H618" s="2"/>
    </row>
    <row r="619" spans="1:8">
      <c r="A619" s="39">
        <v>5.43880679535778</v>
      </c>
      <c r="B619" s="40">
        <v>0</v>
      </c>
      <c r="D619" s="2"/>
      <c r="E619" s="31"/>
      <c r="G619" s="43"/>
      <c r="H619" s="2"/>
    </row>
    <row r="620" spans="1:8">
      <c r="A620" s="39">
        <v>5.43814820223953</v>
      </c>
      <c r="B620" s="40">
        <v>5.7</v>
      </c>
      <c r="D620" s="2"/>
      <c r="E620" s="31"/>
      <c r="G620" s="43"/>
      <c r="H620" s="2"/>
    </row>
    <row r="621" spans="1:8">
      <c r="A621" s="39">
        <v>5.43718722888695</v>
      </c>
      <c r="B621" s="40">
        <v>1</v>
      </c>
      <c r="D621" s="2"/>
      <c r="E621" s="31"/>
      <c r="G621" s="43"/>
      <c r="H621" s="2"/>
    </row>
    <row r="622" spans="1:8">
      <c r="A622" s="39">
        <v>5.43700605980583</v>
      </c>
      <c r="B622" s="40">
        <v>6</v>
      </c>
      <c r="D622" s="2"/>
      <c r="E622" s="31"/>
      <c r="G622" s="43"/>
      <c r="H622" s="2"/>
    </row>
    <row r="623" spans="1:8">
      <c r="A623" s="39">
        <v>5.4352652821818</v>
      </c>
      <c r="B623" s="40">
        <v>1</v>
      </c>
      <c r="D623" s="2"/>
      <c r="E623" s="31"/>
      <c r="G623" s="43"/>
      <c r="H623" s="2"/>
    </row>
    <row r="624" spans="1:8">
      <c r="A624" s="39">
        <v>5.43142138877148</v>
      </c>
      <c r="B624" s="40">
        <v>1</v>
      </c>
      <c r="D624" s="2"/>
      <c r="E624" s="31"/>
      <c r="G624" s="43"/>
      <c r="H624" s="2"/>
    </row>
    <row r="625" spans="1:8">
      <c r="A625" s="39">
        <v>5.42901895539004</v>
      </c>
      <c r="B625" s="40">
        <v>2.9</v>
      </c>
      <c r="D625" s="2"/>
      <c r="E625" s="31"/>
      <c r="G625" s="43"/>
      <c r="H625" s="2"/>
    </row>
    <row r="626" spans="1:8">
      <c r="A626" s="39">
        <v>5.42801372746555</v>
      </c>
      <c r="B626" s="40">
        <v>0</v>
      </c>
      <c r="D626" s="2"/>
      <c r="E626" s="31"/>
      <c r="G626" s="43"/>
      <c r="H626" s="2"/>
    </row>
    <row r="627" spans="1:8">
      <c r="A627" s="39">
        <v>5.42759766631645</v>
      </c>
      <c r="B627" s="40">
        <v>8.2</v>
      </c>
      <c r="D627" s="2"/>
      <c r="E627" s="31"/>
      <c r="G627" s="43"/>
      <c r="H627" s="2"/>
    </row>
    <row r="628" spans="1:8">
      <c r="A628" s="39">
        <v>5.42661652200859</v>
      </c>
      <c r="B628" s="40">
        <v>0.5</v>
      </c>
      <c r="D628" s="2"/>
      <c r="E628" s="31"/>
      <c r="G628" s="43"/>
      <c r="H628" s="2"/>
    </row>
    <row r="629" spans="1:8">
      <c r="A629" s="39">
        <v>5.42341615809895</v>
      </c>
      <c r="B629" s="40">
        <v>5.7</v>
      </c>
      <c r="D629" s="2"/>
      <c r="E629" s="31"/>
      <c r="G629" s="43"/>
      <c r="H629" s="2"/>
    </row>
    <row r="630" spans="1:8">
      <c r="A630" s="39">
        <v>5.42277262859828</v>
      </c>
      <c r="B630" s="40">
        <v>7</v>
      </c>
      <c r="D630" s="2"/>
      <c r="E630" s="31"/>
      <c r="G630" s="43"/>
      <c r="H630" s="2"/>
    </row>
    <row r="631" spans="1:8">
      <c r="A631" s="39">
        <v>5.42237078104457</v>
      </c>
      <c r="B631" s="40">
        <v>3.9</v>
      </c>
      <c r="D631" s="2"/>
      <c r="E631" s="31"/>
      <c r="G631" s="43"/>
      <c r="H631" s="2"/>
    </row>
    <row r="632" spans="1:8">
      <c r="A632" s="39">
        <v>5.42237078104457</v>
      </c>
      <c r="B632" s="40">
        <v>6.8</v>
      </c>
      <c r="D632" s="2"/>
      <c r="E632" s="31"/>
      <c r="G632" s="43"/>
      <c r="H632" s="2"/>
    </row>
    <row r="633" spans="1:8">
      <c r="A633" s="39">
        <v>5.4218116552457</v>
      </c>
      <c r="B633" s="40">
        <v>1.75</v>
      </c>
      <c r="D633" s="2"/>
      <c r="E633" s="31"/>
      <c r="G633" s="43"/>
      <c r="H633" s="2"/>
    </row>
    <row r="634" spans="1:8">
      <c r="A634" s="39">
        <v>5.42171777119509</v>
      </c>
      <c r="B634" s="40">
        <v>14</v>
      </c>
      <c r="D634" s="2"/>
      <c r="E634" s="31"/>
      <c r="G634" s="43"/>
      <c r="H634" s="2"/>
    </row>
    <row r="635" spans="1:8">
      <c r="A635" s="39">
        <v>5.42081834887074</v>
      </c>
      <c r="B635" s="40">
        <v>1</v>
      </c>
      <c r="D635" s="2"/>
      <c r="E635" s="31"/>
      <c r="G635" s="43"/>
      <c r="H635" s="2"/>
    </row>
    <row r="636" spans="1:8">
      <c r="A636" s="39">
        <v>5.42081834887074</v>
      </c>
      <c r="B636" s="40">
        <v>9</v>
      </c>
      <c r="D636" s="2"/>
      <c r="E636" s="31"/>
      <c r="G636" s="43"/>
      <c r="H636" s="2"/>
    </row>
    <row r="637" spans="1:8">
      <c r="A637" s="39">
        <v>5.41991892654638</v>
      </c>
      <c r="B637" s="40">
        <v>1</v>
      </c>
      <c r="D637" s="2"/>
      <c r="E637" s="31"/>
      <c r="G637" s="43"/>
      <c r="H637" s="2"/>
    </row>
    <row r="638" spans="1:8">
      <c r="A638" s="39">
        <v>5.41796776183539</v>
      </c>
      <c r="B638" s="40">
        <v>5.3</v>
      </c>
      <c r="D638" s="2"/>
      <c r="E638" s="31"/>
      <c r="G638" s="43"/>
      <c r="H638" s="2"/>
    </row>
    <row r="639" spans="1:8">
      <c r="A639" s="39">
        <v>5.41722065957333</v>
      </c>
      <c r="B639" s="40">
        <v>10.8</v>
      </c>
      <c r="D639" s="2"/>
      <c r="E639" s="31"/>
      <c r="G639" s="43"/>
      <c r="H639" s="2"/>
    </row>
    <row r="640" spans="1:8">
      <c r="A640" s="39">
        <v>5.41505314166395</v>
      </c>
      <c r="B640" s="40">
        <v>5</v>
      </c>
      <c r="D640" s="2"/>
      <c r="E640" s="31"/>
      <c r="G640" s="43"/>
      <c r="H640" s="2"/>
    </row>
    <row r="641" spans="1:8">
      <c r="A641" s="39">
        <v>5.4131628950725</v>
      </c>
      <c r="B641" s="40">
        <v>6.5</v>
      </c>
      <c r="D641" s="2"/>
      <c r="E641" s="31"/>
      <c r="G641" s="43"/>
      <c r="H641" s="2"/>
    </row>
    <row r="642" spans="1:8">
      <c r="A642" s="39">
        <v>5.41191701050082</v>
      </c>
      <c r="B642" s="40">
        <v>7</v>
      </c>
      <c r="D642" s="2"/>
      <c r="E642" s="31"/>
      <c r="G642" s="43"/>
      <c r="H642" s="2"/>
    </row>
    <row r="643" spans="1:8">
      <c r="A643" s="39">
        <v>5.41182412562721</v>
      </c>
      <c r="B643" s="40">
        <v>8</v>
      </c>
      <c r="D643" s="2"/>
      <c r="E643" s="31"/>
      <c r="G643" s="43"/>
      <c r="H643" s="2"/>
    </row>
    <row r="644" spans="1:8">
      <c r="A644" s="39">
        <v>5.41002528097851</v>
      </c>
      <c r="B644" s="40">
        <v>10</v>
      </c>
      <c r="D644" s="2"/>
      <c r="E644" s="31"/>
      <c r="G644" s="43"/>
      <c r="H644" s="2"/>
    </row>
    <row r="645" spans="1:8">
      <c r="A645" s="39">
        <v>5.40982625639207</v>
      </c>
      <c r="B645" s="40">
        <v>3.9</v>
      </c>
      <c r="D645" s="2"/>
      <c r="E645" s="31"/>
      <c r="G645" s="43"/>
      <c r="H645" s="2"/>
    </row>
    <row r="646" spans="1:8">
      <c r="A646" s="39">
        <v>5.40732701400545</v>
      </c>
      <c r="B646" s="40">
        <v>13</v>
      </c>
      <c r="D646" s="2"/>
      <c r="E646" s="31"/>
      <c r="G646" s="43"/>
      <c r="H646" s="2"/>
    </row>
    <row r="647" spans="1:8">
      <c r="A647" s="39">
        <v>5.40669012522894</v>
      </c>
      <c r="B647" s="40">
        <v>2.8</v>
      </c>
      <c r="D647" s="2"/>
      <c r="E647" s="31"/>
      <c r="G647" s="43"/>
      <c r="H647" s="2"/>
    </row>
    <row r="648" spans="1:8">
      <c r="A648" s="39">
        <v>5.40552816935675</v>
      </c>
      <c r="B648" s="40">
        <v>0</v>
      </c>
      <c r="D648" s="2"/>
      <c r="E648" s="31"/>
      <c r="G648" s="43"/>
      <c r="H648" s="2"/>
    </row>
    <row r="649" spans="1:8">
      <c r="A649" s="39">
        <v>5.40282990238369</v>
      </c>
      <c r="B649" s="40">
        <v>7.7</v>
      </c>
      <c r="D649" s="2"/>
      <c r="E649" s="31"/>
      <c r="G649" s="43"/>
      <c r="H649" s="2"/>
    </row>
    <row r="650" spans="1:8">
      <c r="A650" s="39">
        <v>5.40067024148898</v>
      </c>
      <c r="B650" s="40">
        <v>8.5</v>
      </c>
      <c r="D650" s="2"/>
      <c r="E650" s="31"/>
      <c r="G650" s="43"/>
      <c r="H650" s="2"/>
    </row>
    <row r="651" spans="1:8">
      <c r="A651" s="39">
        <v>5.39937248584832</v>
      </c>
      <c r="B651" s="40">
        <v>9.6</v>
      </c>
      <c r="D651" s="2"/>
      <c r="E651" s="31"/>
      <c r="G651" s="43"/>
      <c r="H651" s="2"/>
    </row>
    <row r="652" spans="1:8">
      <c r="A652" s="39">
        <v>5.39833279076193</v>
      </c>
      <c r="B652" s="40">
        <v>7.7</v>
      </c>
      <c r="D652" s="2"/>
      <c r="E652" s="31"/>
      <c r="G652" s="43"/>
      <c r="H652" s="2"/>
    </row>
    <row r="653" spans="1:8">
      <c r="A653" s="39">
        <v>5.39833279076193</v>
      </c>
      <c r="B653" s="40">
        <v>13.1</v>
      </c>
      <c r="D653" s="2"/>
      <c r="E653" s="31"/>
      <c r="G653" s="43"/>
      <c r="H653" s="2"/>
    </row>
    <row r="654" spans="1:8">
      <c r="A654" s="39">
        <v>5.39778732143125</v>
      </c>
      <c r="B654" s="40">
        <v>7</v>
      </c>
      <c r="D654" s="2"/>
      <c r="E654" s="31"/>
      <c r="G654" s="43"/>
      <c r="H654" s="2"/>
    </row>
    <row r="655" spans="1:8">
      <c r="A655" s="39">
        <v>5.39728173173957</v>
      </c>
      <c r="B655" s="40">
        <v>6.2</v>
      </c>
      <c r="D655" s="2"/>
      <c r="E655" s="31"/>
      <c r="G655" s="43"/>
      <c r="H655" s="2"/>
    </row>
    <row r="656" spans="1:8">
      <c r="A656" s="39">
        <v>5.39490440137352</v>
      </c>
      <c r="B656" s="40">
        <v>1</v>
      </c>
      <c r="D656" s="2"/>
      <c r="E656" s="31"/>
      <c r="G656" s="43"/>
      <c r="H656" s="2"/>
    </row>
    <row r="657" spans="1:8">
      <c r="A657" s="39">
        <v>5.39473510146452</v>
      </c>
      <c r="B657" s="40">
        <v>14</v>
      </c>
      <c r="D657" s="2"/>
      <c r="E657" s="31"/>
      <c r="G657" s="43"/>
      <c r="H657" s="2"/>
    </row>
    <row r="658" spans="1:8">
      <c r="A658" s="39">
        <v>5.39383567914017</v>
      </c>
      <c r="B658" s="40">
        <v>10</v>
      </c>
      <c r="D658" s="2"/>
      <c r="E658" s="31"/>
      <c r="G658" s="43"/>
      <c r="H658" s="2"/>
    </row>
    <row r="659" spans="1:8">
      <c r="A659" s="39">
        <v>5.39298245466836</v>
      </c>
      <c r="B659" s="40">
        <v>17.5</v>
      </c>
      <c r="D659" s="2"/>
      <c r="E659" s="31"/>
      <c r="G659" s="43"/>
      <c r="H659" s="2"/>
    </row>
    <row r="660" spans="1:8">
      <c r="A660" s="39">
        <v>5.3910605079632</v>
      </c>
      <c r="B660" s="40">
        <v>5.6</v>
      </c>
      <c r="D660" s="2"/>
      <c r="E660" s="31"/>
      <c r="G660" s="43"/>
      <c r="H660" s="2"/>
    </row>
    <row r="661" spans="1:8">
      <c r="A661" s="39">
        <v>5.38933856751841</v>
      </c>
      <c r="B661" s="40">
        <v>11</v>
      </c>
      <c r="D661" s="2"/>
      <c r="E661" s="31"/>
      <c r="G661" s="43"/>
      <c r="H661" s="2"/>
    </row>
    <row r="662" spans="1:8">
      <c r="A662" s="39">
        <v>5.38664030054535</v>
      </c>
      <c r="B662" s="40">
        <v>13</v>
      </c>
      <c r="D662" s="2"/>
      <c r="E662" s="31"/>
      <c r="G662" s="43"/>
      <c r="H662" s="2"/>
    </row>
    <row r="663" spans="1:8">
      <c r="A663" s="39">
        <v>5.385740878221</v>
      </c>
      <c r="B663" s="40">
        <v>4.7</v>
      </c>
      <c r="D663" s="2"/>
      <c r="E663" s="31"/>
      <c r="G663" s="43"/>
      <c r="H663" s="2"/>
    </row>
    <row r="664" spans="1:8">
      <c r="A664" s="39">
        <v>5.38433369449515</v>
      </c>
      <c r="B664" s="40">
        <v>3.5</v>
      </c>
      <c r="D664" s="2"/>
      <c r="E664" s="31"/>
      <c r="G664" s="43"/>
      <c r="H664" s="2"/>
    </row>
    <row r="665" spans="1:8">
      <c r="A665" s="39">
        <v>5.38337272114258</v>
      </c>
      <c r="B665" s="40">
        <v>1</v>
      </c>
      <c r="D665" s="2"/>
      <c r="E665" s="31"/>
      <c r="G665" s="43"/>
      <c r="H665" s="2"/>
    </row>
    <row r="666" spans="1:8">
      <c r="A666" s="39">
        <v>5.38034434427489</v>
      </c>
      <c r="B666" s="40">
        <v>13</v>
      </c>
      <c r="D666" s="2"/>
      <c r="E666" s="31"/>
      <c r="G666" s="43"/>
      <c r="H666" s="2"/>
    </row>
    <row r="667" spans="1:8">
      <c r="A667" s="39">
        <v>5.37856785437969</v>
      </c>
      <c r="B667" s="40">
        <v>5.9</v>
      </c>
      <c r="D667" s="2"/>
      <c r="E667" s="31"/>
      <c r="G667" s="43"/>
      <c r="H667" s="2"/>
    </row>
    <row r="668" spans="1:8">
      <c r="A668" s="39">
        <v>5.37764607730183</v>
      </c>
      <c r="B668" s="40">
        <v>12</v>
      </c>
      <c r="D668" s="2"/>
      <c r="E668" s="31"/>
      <c r="G668" s="43"/>
      <c r="H668" s="2"/>
    </row>
    <row r="669" spans="1:8">
      <c r="A669" s="39">
        <v>5.37764607730183</v>
      </c>
      <c r="B669" s="40">
        <v>7</v>
      </c>
      <c r="D669" s="2"/>
      <c r="E669" s="31"/>
      <c r="G669" s="43"/>
      <c r="H669" s="2"/>
    </row>
    <row r="670" spans="1:8">
      <c r="A670" s="39">
        <v>5.37760688102711</v>
      </c>
      <c r="B670" s="40">
        <v>5.4</v>
      </c>
      <c r="D670" s="2"/>
      <c r="E670" s="31"/>
      <c r="G670" s="43"/>
      <c r="H670" s="2"/>
    </row>
    <row r="671" spans="1:8">
      <c r="A671" s="39">
        <v>5.37584723265313</v>
      </c>
      <c r="B671" s="40">
        <v>6.8</v>
      </c>
      <c r="D671" s="2"/>
      <c r="E671" s="31"/>
      <c r="G671" s="43"/>
      <c r="H671" s="2"/>
    </row>
    <row r="672" spans="1:8">
      <c r="A672" s="39">
        <v>5.37584723265313</v>
      </c>
      <c r="B672" s="40">
        <v>9.4</v>
      </c>
      <c r="D672" s="2"/>
      <c r="E672" s="31"/>
      <c r="G672" s="43"/>
      <c r="H672" s="2"/>
    </row>
    <row r="673" spans="1:8">
      <c r="A673" s="39">
        <v>5.3737629876168</v>
      </c>
      <c r="B673" s="40">
        <v>3</v>
      </c>
      <c r="D673" s="2"/>
      <c r="E673" s="31"/>
      <c r="G673" s="43"/>
      <c r="H673" s="2"/>
    </row>
    <row r="674" spans="1:8">
      <c r="A674" s="39">
        <v>5.37184104091164</v>
      </c>
      <c r="B674" s="40">
        <v>1</v>
      </c>
      <c r="D674" s="2"/>
      <c r="E674" s="31"/>
      <c r="G674" s="43"/>
      <c r="H674" s="2"/>
    </row>
    <row r="675" spans="1:8">
      <c r="A675" s="39">
        <v>5.37136055423535</v>
      </c>
      <c r="B675" s="40">
        <v>2.9</v>
      </c>
      <c r="D675" s="2"/>
      <c r="E675" s="31"/>
      <c r="G675" s="43"/>
      <c r="H675" s="2"/>
    </row>
    <row r="676" spans="1:8">
      <c r="A676" s="39">
        <v>5.37088006755906</v>
      </c>
      <c r="B676" s="40">
        <v>2.6</v>
      </c>
      <c r="D676" s="2"/>
      <c r="E676" s="31"/>
      <c r="G676" s="43"/>
      <c r="H676" s="2"/>
    </row>
    <row r="677" spans="1:8">
      <c r="A677" s="39">
        <v>5.36865185405831</v>
      </c>
      <c r="B677" s="40">
        <v>7</v>
      </c>
      <c r="D677" s="2"/>
      <c r="E677" s="31"/>
      <c r="G677" s="43"/>
      <c r="H677" s="2"/>
    </row>
    <row r="678" spans="1:8">
      <c r="A678" s="39">
        <v>5.36415325409101</v>
      </c>
      <c r="B678" s="40">
        <v>7.4</v>
      </c>
      <c r="D678" s="2"/>
      <c r="E678" s="31"/>
      <c r="G678" s="43"/>
      <c r="H678" s="2"/>
    </row>
    <row r="679" spans="1:8">
      <c r="A679" s="39">
        <v>5.36278428894518</v>
      </c>
      <c r="B679" s="40">
        <v>6.7</v>
      </c>
      <c r="D679" s="2"/>
      <c r="E679" s="31"/>
      <c r="G679" s="43"/>
      <c r="H679" s="2"/>
    </row>
    <row r="680" spans="1:8">
      <c r="A680" s="39">
        <v>5.36223130738586</v>
      </c>
      <c r="B680" s="40">
        <v>5.5</v>
      </c>
      <c r="D680" s="2"/>
      <c r="E680" s="31"/>
      <c r="G680" s="43"/>
      <c r="H680" s="2"/>
    </row>
    <row r="681" spans="1:8">
      <c r="A681" s="39">
        <v>5.3603093606807</v>
      </c>
      <c r="B681" s="40">
        <v>0</v>
      </c>
      <c r="D681" s="2"/>
      <c r="E681" s="31"/>
      <c r="G681" s="43"/>
      <c r="H681" s="2"/>
    </row>
    <row r="682" spans="1:8">
      <c r="A682" s="39">
        <v>5.35785878616608</v>
      </c>
      <c r="B682" s="40">
        <v>0</v>
      </c>
      <c r="D682" s="2"/>
      <c r="E682" s="31"/>
      <c r="G682" s="43"/>
      <c r="H682" s="2"/>
    </row>
    <row r="683" spans="1:8">
      <c r="A683" s="39">
        <v>5.35454352056523</v>
      </c>
      <c r="B683" s="40">
        <v>7.3</v>
      </c>
      <c r="D683" s="2"/>
      <c r="E683" s="31"/>
      <c r="G683" s="43"/>
      <c r="H683" s="2"/>
    </row>
    <row r="684" spans="1:8">
      <c r="A684" s="39">
        <v>5.35454352056523</v>
      </c>
      <c r="B684" s="40">
        <v>7.8</v>
      </c>
      <c r="D684" s="2"/>
      <c r="E684" s="31"/>
      <c r="G684" s="43"/>
      <c r="H684" s="2"/>
    </row>
    <row r="685" spans="1:8">
      <c r="A685" s="39">
        <v>5.35426109686867</v>
      </c>
      <c r="B685" s="40">
        <v>8.7</v>
      </c>
      <c r="D685" s="2"/>
      <c r="E685" s="31"/>
      <c r="G685" s="43"/>
      <c r="H685" s="2"/>
    </row>
    <row r="686" spans="1:8">
      <c r="A686" s="39">
        <v>5.35233051840143</v>
      </c>
      <c r="B686" s="40">
        <v>4.5</v>
      </c>
      <c r="D686" s="2"/>
      <c r="E686" s="31"/>
      <c r="G686" s="43"/>
      <c r="H686" s="2"/>
    </row>
    <row r="687" spans="1:8">
      <c r="A687" s="39">
        <v>5.34877768044977</v>
      </c>
      <c r="B687" s="40">
        <v>3.5</v>
      </c>
      <c r="D687" s="2"/>
      <c r="E687" s="31"/>
      <c r="G687" s="43"/>
      <c r="H687" s="2"/>
    </row>
    <row r="688" spans="1:8">
      <c r="A688" s="39">
        <v>5.34710363312955</v>
      </c>
      <c r="B688" s="40">
        <v>1.4</v>
      </c>
      <c r="D688" s="2"/>
      <c r="E688" s="31"/>
      <c r="G688" s="43"/>
      <c r="H688" s="2"/>
    </row>
    <row r="689" spans="1:8">
      <c r="A689" s="39">
        <v>5.34493378703945</v>
      </c>
      <c r="B689" s="40">
        <v>2</v>
      </c>
      <c r="D689" s="2"/>
      <c r="E689" s="31"/>
      <c r="G689" s="43"/>
      <c r="H689" s="2"/>
    </row>
    <row r="690" spans="1:8">
      <c r="A690" s="39">
        <v>5.34396750196643</v>
      </c>
      <c r="B690" s="40">
        <v>6.7</v>
      </c>
      <c r="D690" s="2"/>
      <c r="E690" s="31"/>
      <c r="G690" s="43"/>
      <c r="H690" s="2"/>
    </row>
    <row r="691" spans="1:8">
      <c r="A691" s="39">
        <v>5.34292212491205</v>
      </c>
      <c r="B691" s="40">
        <v>8</v>
      </c>
      <c r="D691" s="2"/>
      <c r="E691" s="31"/>
      <c r="G691" s="43"/>
      <c r="H691" s="2"/>
    </row>
    <row r="692" spans="1:8">
      <c r="A692" s="39">
        <v>5.34292212491205</v>
      </c>
      <c r="B692" s="40">
        <v>6.2</v>
      </c>
      <c r="D692" s="2"/>
      <c r="E692" s="31"/>
      <c r="G692" s="43"/>
      <c r="H692" s="2"/>
    </row>
    <row r="693" spans="1:8">
      <c r="A693" s="39">
        <v>5.34256860665209</v>
      </c>
      <c r="B693" s="40">
        <v>9.3</v>
      </c>
      <c r="D693" s="2"/>
      <c r="E693" s="31"/>
      <c r="G693" s="43"/>
      <c r="H693" s="2"/>
    </row>
    <row r="694" spans="1:8">
      <c r="A694" s="39">
        <v>5.34187674785768</v>
      </c>
      <c r="B694" s="40">
        <v>8.1</v>
      </c>
      <c r="D694" s="2"/>
      <c r="E694" s="31"/>
      <c r="G694" s="43"/>
      <c r="H694" s="2"/>
    </row>
    <row r="695" spans="1:8">
      <c r="A695" s="39">
        <v>5.33987033967904</v>
      </c>
      <c r="B695" s="40">
        <v>9</v>
      </c>
      <c r="D695" s="2"/>
      <c r="E695" s="31"/>
      <c r="G695" s="43"/>
      <c r="H695" s="2"/>
    </row>
    <row r="696" spans="1:8">
      <c r="A696" s="39">
        <v>5.33628502686625</v>
      </c>
      <c r="B696" s="40">
        <v>10.3</v>
      </c>
      <c r="D696" s="2"/>
      <c r="E696" s="31"/>
      <c r="G696" s="43"/>
      <c r="H696" s="2"/>
    </row>
    <row r="697" spans="1:8">
      <c r="A697" s="39">
        <v>5.33532405351367</v>
      </c>
      <c r="B697" s="40">
        <v>11.4</v>
      </c>
      <c r="D697" s="2"/>
      <c r="E697" s="31"/>
      <c r="G697" s="43"/>
      <c r="H697" s="2"/>
    </row>
    <row r="698" spans="1:8">
      <c r="A698" s="39">
        <v>5.33148016010336</v>
      </c>
      <c r="B698" s="40">
        <v>0</v>
      </c>
      <c r="D698" s="2"/>
      <c r="E698" s="31"/>
      <c r="G698" s="43"/>
      <c r="H698" s="2"/>
    </row>
    <row r="699" spans="1:8">
      <c r="A699" s="39">
        <v>5.33142297731392</v>
      </c>
      <c r="B699" s="40">
        <v>0</v>
      </c>
      <c r="D699" s="2"/>
      <c r="E699" s="31"/>
      <c r="G699" s="43"/>
      <c r="H699" s="2"/>
    </row>
    <row r="700" spans="1:8">
      <c r="A700" s="39">
        <v>5.33087611643552</v>
      </c>
      <c r="B700" s="40">
        <v>6.8</v>
      </c>
      <c r="D700" s="2"/>
      <c r="E700" s="31"/>
      <c r="G700" s="43"/>
      <c r="H700" s="2"/>
    </row>
    <row r="701" spans="1:8">
      <c r="A701" s="39">
        <v>5.3295582133982</v>
      </c>
      <c r="B701" s="40">
        <v>6.9</v>
      </c>
      <c r="D701" s="2"/>
      <c r="E701" s="31"/>
      <c r="G701" s="43"/>
      <c r="H701" s="2"/>
    </row>
    <row r="702" spans="1:8">
      <c r="A702" s="39">
        <v>5.32933222320517</v>
      </c>
      <c r="B702" s="40">
        <v>10</v>
      </c>
      <c r="D702" s="2"/>
      <c r="E702" s="31"/>
      <c r="G702" s="43"/>
      <c r="H702" s="2"/>
    </row>
    <row r="703" spans="1:8">
      <c r="A703" s="39">
        <v>5.32859724004562</v>
      </c>
      <c r="B703" s="40">
        <v>2</v>
      </c>
      <c r="D703" s="2"/>
      <c r="E703" s="31"/>
      <c r="G703" s="43"/>
      <c r="H703" s="2"/>
    </row>
    <row r="704" spans="1:8">
      <c r="A704" s="39">
        <v>5.32859724004562</v>
      </c>
      <c r="B704" s="40">
        <v>5.6</v>
      </c>
      <c r="D704" s="2"/>
      <c r="E704" s="31"/>
      <c r="G704" s="43"/>
      <c r="H704" s="2"/>
    </row>
    <row r="705" spans="1:8">
      <c r="A705" s="39">
        <v>5.3282868461508</v>
      </c>
      <c r="B705" s="40">
        <v>3.5</v>
      </c>
      <c r="D705" s="2"/>
      <c r="E705" s="31"/>
      <c r="G705" s="43"/>
      <c r="H705" s="2"/>
    </row>
    <row r="706" spans="1:8">
      <c r="A706" s="39">
        <v>5.32763626669305</v>
      </c>
      <c r="B706" s="40">
        <v>1.5</v>
      </c>
      <c r="D706" s="2"/>
      <c r="E706" s="31"/>
      <c r="G706" s="43"/>
      <c r="H706" s="2"/>
    </row>
    <row r="707" spans="1:8">
      <c r="A707" s="39">
        <v>5.32637900481375</v>
      </c>
      <c r="B707" s="40">
        <v>11</v>
      </c>
      <c r="D707" s="2"/>
      <c r="E707" s="31"/>
      <c r="G707" s="43"/>
      <c r="H707" s="2"/>
    </row>
    <row r="708" spans="1:8">
      <c r="A708" s="39">
        <v>5.32619609204205</v>
      </c>
      <c r="B708" s="40">
        <v>11.4</v>
      </c>
      <c r="D708" s="2"/>
      <c r="E708" s="31"/>
      <c r="G708" s="43"/>
      <c r="H708" s="2"/>
    </row>
    <row r="709" spans="1:8">
      <c r="A709" s="39">
        <v>5.32188189319199</v>
      </c>
      <c r="B709" s="40">
        <v>9.8</v>
      </c>
      <c r="D709" s="2"/>
      <c r="E709" s="31"/>
      <c r="G709" s="43"/>
      <c r="H709" s="2"/>
    </row>
    <row r="710" spans="1:8">
      <c r="A710" s="39">
        <v>5.32187042657758</v>
      </c>
      <c r="B710" s="40">
        <v>4</v>
      </c>
      <c r="D710" s="2"/>
      <c r="E710" s="31"/>
      <c r="G710" s="43"/>
      <c r="H710" s="2"/>
    </row>
    <row r="711" spans="1:8">
      <c r="A711" s="39">
        <v>5.31610458646211</v>
      </c>
      <c r="B711" s="40">
        <v>3.2</v>
      </c>
      <c r="D711" s="2"/>
      <c r="E711" s="31"/>
      <c r="G711" s="43"/>
      <c r="H711" s="2"/>
    </row>
    <row r="712" spans="1:8">
      <c r="A712" s="39">
        <v>5.3157423214983</v>
      </c>
      <c r="B712" s="40">
        <v>7</v>
      </c>
      <c r="D712" s="2"/>
      <c r="E712" s="31"/>
      <c r="G712" s="43"/>
      <c r="H712" s="2"/>
    </row>
    <row r="713" spans="1:8">
      <c r="A713" s="39">
        <v>5.31514361310953</v>
      </c>
      <c r="B713" s="40">
        <v>5.9</v>
      </c>
      <c r="D713" s="2"/>
      <c r="E713" s="31"/>
      <c r="G713" s="43"/>
      <c r="H713" s="2"/>
    </row>
    <row r="714" spans="1:8">
      <c r="A714" s="39">
        <v>5.31468651459718</v>
      </c>
      <c r="B714" s="40">
        <v>8</v>
      </c>
      <c r="D714" s="2"/>
      <c r="E714" s="31"/>
      <c r="G714" s="43"/>
      <c r="H714" s="2"/>
    </row>
    <row r="715" spans="1:8">
      <c r="A715" s="39">
        <v>5.31288766994847</v>
      </c>
      <c r="B715" s="40">
        <v>10</v>
      </c>
      <c r="D715" s="2"/>
      <c r="E715" s="31"/>
      <c r="G715" s="43"/>
      <c r="H715" s="2"/>
    </row>
    <row r="716" spans="1:8">
      <c r="A716" s="39">
        <v>5.31129971969922</v>
      </c>
      <c r="B716" s="40">
        <v>4.5</v>
      </c>
      <c r="D716" s="2"/>
      <c r="E716" s="31"/>
      <c r="G716" s="43"/>
      <c r="H716" s="2"/>
    </row>
    <row r="717" spans="1:8">
      <c r="A717" s="39">
        <v>5.30745582628891</v>
      </c>
      <c r="B717" s="40">
        <v>2.4</v>
      </c>
      <c r="D717" s="2"/>
      <c r="E717" s="31"/>
      <c r="G717" s="43"/>
      <c r="H717" s="2"/>
    </row>
    <row r="718" spans="1:8">
      <c r="A718" s="39">
        <v>5.30737930506329</v>
      </c>
      <c r="B718" s="40">
        <v>7</v>
      </c>
      <c r="D718" s="2"/>
      <c r="E718" s="31"/>
      <c r="G718" s="43"/>
      <c r="H718" s="2"/>
    </row>
    <row r="719" spans="1:8">
      <c r="A719" s="39">
        <v>5.30389344670495</v>
      </c>
      <c r="B719" s="40">
        <v>1</v>
      </c>
      <c r="D719" s="2"/>
      <c r="E719" s="31"/>
      <c r="G719" s="43"/>
      <c r="H719" s="2"/>
    </row>
    <row r="720" spans="1:8">
      <c r="A720" s="39">
        <v>5.30110704273704</v>
      </c>
      <c r="B720" s="40">
        <v>3</v>
      </c>
      <c r="D720" s="2"/>
      <c r="E720" s="31"/>
      <c r="G720" s="43"/>
      <c r="H720" s="2"/>
    </row>
    <row r="721" spans="1:8">
      <c r="A721" s="39">
        <v>5.30029575740754</v>
      </c>
      <c r="B721" s="40">
        <v>3.6</v>
      </c>
      <c r="D721" s="2"/>
      <c r="E721" s="31"/>
      <c r="G721" s="43"/>
      <c r="H721" s="2"/>
    </row>
    <row r="722" spans="1:8">
      <c r="A722" s="39">
        <v>5.29483478041079</v>
      </c>
      <c r="B722" s="40">
        <v>0.1</v>
      </c>
      <c r="D722" s="2"/>
      <c r="E722" s="31"/>
      <c r="G722" s="43"/>
      <c r="H722" s="2"/>
    </row>
    <row r="723" spans="1:8">
      <c r="A723" s="39">
        <v>5.29208025264766</v>
      </c>
      <c r="B723" s="40">
        <v>0.5</v>
      </c>
      <c r="D723" s="2"/>
      <c r="E723" s="31"/>
      <c r="G723" s="43"/>
      <c r="H723" s="2"/>
    </row>
    <row r="724" spans="1:8">
      <c r="A724" s="39">
        <v>5.29208025264766</v>
      </c>
      <c r="B724" s="40">
        <v>0</v>
      </c>
      <c r="D724" s="2"/>
      <c r="E724" s="31"/>
      <c r="G724" s="43"/>
      <c r="H724" s="2"/>
    </row>
    <row r="725" spans="1:8">
      <c r="A725" s="39">
        <v>5.29065327219329</v>
      </c>
      <c r="B725" s="40">
        <v>6</v>
      </c>
      <c r="D725" s="2"/>
      <c r="E725" s="31"/>
      <c r="G725" s="43"/>
      <c r="H725" s="2"/>
    </row>
    <row r="726" spans="1:8">
      <c r="A726" s="39">
        <v>5.29040211183967</v>
      </c>
      <c r="B726" s="40">
        <v>12.8</v>
      </c>
      <c r="D726" s="2"/>
      <c r="E726" s="31"/>
      <c r="G726" s="43"/>
      <c r="H726" s="2"/>
    </row>
    <row r="727" spans="1:8">
      <c r="A727" s="39">
        <v>5.28960789513891</v>
      </c>
      <c r="B727" s="40">
        <v>0</v>
      </c>
      <c r="D727" s="2"/>
      <c r="E727" s="31"/>
      <c r="G727" s="43"/>
      <c r="H727" s="2"/>
    </row>
    <row r="728" spans="1:8">
      <c r="A728" s="39">
        <v>5.28960789513891</v>
      </c>
      <c r="B728" s="40">
        <v>3.7</v>
      </c>
      <c r="D728" s="2"/>
      <c r="E728" s="31"/>
      <c r="G728" s="43"/>
      <c r="H728" s="2"/>
    </row>
    <row r="729" spans="1:8">
      <c r="A729" s="39">
        <v>5.28860326719096</v>
      </c>
      <c r="B729" s="40">
        <v>6.4</v>
      </c>
      <c r="D729" s="2"/>
      <c r="E729" s="31"/>
      <c r="G729" s="43"/>
      <c r="H729" s="2"/>
    </row>
    <row r="730" spans="1:8">
      <c r="A730" s="39">
        <v>5.28770384486661</v>
      </c>
      <c r="B730" s="40">
        <v>1</v>
      </c>
      <c r="D730" s="2"/>
      <c r="E730" s="31"/>
      <c r="G730" s="43"/>
      <c r="H730" s="2"/>
    </row>
    <row r="731" spans="1:8">
      <c r="A731" s="39">
        <v>5.2859050002179</v>
      </c>
      <c r="B731" s="40">
        <v>1</v>
      </c>
      <c r="D731" s="2"/>
      <c r="E731" s="31"/>
      <c r="G731" s="43"/>
      <c r="H731" s="2"/>
    </row>
    <row r="732" spans="1:8">
      <c r="A732" s="39">
        <v>5.2859050002179</v>
      </c>
      <c r="B732" s="40">
        <v>6</v>
      </c>
      <c r="D732" s="2"/>
      <c r="E732" s="31"/>
      <c r="G732" s="43"/>
      <c r="H732" s="2"/>
    </row>
    <row r="733" spans="1:8">
      <c r="A733" s="39">
        <v>5.2823073109205</v>
      </c>
      <c r="B733" s="40">
        <v>8.9</v>
      </c>
      <c r="D733" s="2"/>
      <c r="E733" s="31"/>
      <c r="G733" s="43"/>
      <c r="H733" s="2"/>
    </row>
    <row r="734" spans="1:8">
      <c r="A734" s="39">
        <v>5.28019950164954</v>
      </c>
      <c r="B734" s="40">
        <v>2</v>
      </c>
      <c r="D734" s="2"/>
      <c r="E734" s="31"/>
      <c r="G734" s="43"/>
      <c r="H734" s="2"/>
    </row>
    <row r="735" spans="1:8">
      <c r="A735" s="39">
        <v>5.27870962162309</v>
      </c>
      <c r="B735" s="40">
        <v>8</v>
      </c>
      <c r="D735" s="2"/>
      <c r="E735" s="31"/>
      <c r="G735" s="43"/>
      <c r="H735" s="2"/>
    </row>
    <row r="736" spans="1:8">
      <c r="A736" s="39">
        <v>5.27766565235899</v>
      </c>
      <c r="B736" s="40">
        <v>0</v>
      </c>
      <c r="D736" s="2"/>
      <c r="E736" s="31"/>
      <c r="G736" s="43"/>
      <c r="H736" s="2"/>
    </row>
    <row r="737" spans="1:8">
      <c r="A737" s="39">
        <v>5.27766565235899</v>
      </c>
      <c r="B737" s="40">
        <v>4.5</v>
      </c>
      <c r="D737" s="2"/>
      <c r="E737" s="31"/>
      <c r="G737" s="43"/>
      <c r="H737" s="2"/>
    </row>
    <row r="738" spans="1:8">
      <c r="A738" s="39">
        <v>5.27601799343203</v>
      </c>
      <c r="B738" s="40">
        <v>7</v>
      </c>
      <c r="D738" s="2"/>
      <c r="E738" s="31"/>
      <c r="G738" s="43"/>
      <c r="H738" s="2"/>
    </row>
    <row r="739" spans="1:8">
      <c r="A739" s="39">
        <v>5.27497261637766</v>
      </c>
      <c r="B739" s="40">
        <v>8</v>
      </c>
      <c r="D739" s="2"/>
      <c r="E739" s="31"/>
      <c r="G739" s="43"/>
      <c r="H739" s="2"/>
    </row>
    <row r="740" spans="1:8">
      <c r="A740" s="39">
        <v>5.27189981224352</v>
      </c>
      <c r="B740" s="40">
        <v>2</v>
      </c>
      <c r="D740" s="2"/>
      <c r="E740" s="31"/>
      <c r="G740" s="43"/>
      <c r="H740" s="2"/>
    </row>
    <row r="741" spans="1:8">
      <c r="A741" s="39">
        <v>5.26974573110578</v>
      </c>
      <c r="B741" s="40">
        <v>5.5</v>
      </c>
      <c r="D741" s="2"/>
      <c r="E741" s="31"/>
      <c r="G741" s="43"/>
      <c r="H741" s="2"/>
    </row>
    <row r="742" spans="1:8">
      <c r="A742" s="39">
        <v>5.26347346877953</v>
      </c>
      <c r="B742" s="40">
        <v>7</v>
      </c>
      <c r="D742" s="2"/>
      <c r="E742" s="31"/>
      <c r="G742" s="43"/>
      <c r="H742" s="2"/>
    </row>
    <row r="743" spans="1:8">
      <c r="A743" s="39">
        <v>5.2634194421091</v>
      </c>
      <c r="B743" s="40">
        <v>7</v>
      </c>
      <c r="D743" s="2"/>
      <c r="E743" s="31"/>
      <c r="G743" s="43"/>
      <c r="H743" s="2"/>
    </row>
    <row r="744" spans="1:8">
      <c r="A744" s="39">
        <v>5.2603373376164</v>
      </c>
      <c r="B744" s="40">
        <v>7.6</v>
      </c>
      <c r="D744" s="2"/>
      <c r="E744" s="31"/>
      <c r="G744" s="43"/>
      <c r="H744" s="2"/>
    </row>
    <row r="745" spans="1:8">
      <c r="A745" s="39">
        <v>5.25982175281169</v>
      </c>
      <c r="B745" s="40">
        <v>17.6</v>
      </c>
      <c r="D745" s="2"/>
      <c r="E745" s="31"/>
      <c r="G745" s="43"/>
      <c r="H745" s="2"/>
    </row>
    <row r="746" spans="1:8">
      <c r="A746" s="39">
        <v>5.25940715866</v>
      </c>
      <c r="B746" s="40">
        <v>1.3</v>
      </c>
      <c r="D746" s="2"/>
      <c r="E746" s="31"/>
      <c r="G746" s="43"/>
      <c r="H746" s="2"/>
    </row>
    <row r="747" spans="1:8">
      <c r="A747" s="39">
        <v>5.25929196056203</v>
      </c>
      <c r="B747" s="40">
        <v>3</v>
      </c>
      <c r="D747" s="2"/>
      <c r="E747" s="31"/>
      <c r="G747" s="43"/>
      <c r="H747" s="2"/>
    </row>
    <row r="748" spans="1:8">
      <c r="A748" s="39">
        <v>5.25929196056203</v>
      </c>
      <c r="B748" s="40">
        <v>8.5</v>
      </c>
      <c r="D748" s="2"/>
      <c r="E748" s="31"/>
      <c r="G748" s="43"/>
      <c r="H748" s="2"/>
    </row>
    <row r="749" spans="1:8">
      <c r="A749" s="39">
        <v>5.25892233048734</v>
      </c>
      <c r="B749" s="40">
        <v>9.2</v>
      </c>
      <c r="D749" s="2"/>
      <c r="E749" s="31"/>
      <c r="G749" s="43"/>
      <c r="H749" s="2"/>
    </row>
    <row r="750" spans="1:8">
      <c r="A750" s="39">
        <v>5.25892233048734</v>
      </c>
      <c r="B750" s="40">
        <v>6</v>
      </c>
      <c r="D750" s="2"/>
      <c r="E750" s="31"/>
      <c r="G750" s="43"/>
      <c r="H750" s="2"/>
    </row>
    <row r="751" spans="1:8">
      <c r="A751" s="39">
        <v>5.25844618530742</v>
      </c>
      <c r="B751" s="40">
        <v>1</v>
      </c>
      <c r="D751" s="2"/>
      <c r="E751" s="31"/>
      <c r="G751" s="43"/>
      <c r="H751" s="2"/>
    </row>
    <row r="752" spans="1:8">
      <c r="A752" s="39">
        <v>5.25824658350766</v>
      </c>
      <c r="B752" s="40">
        <v>5</v>
      </c>
      <c r="D752" s="2"/>
      <c r="E752" s="31"/>
      <c r="G752" s="43"/>
      <c r="H752" s="2"/>
    </row>
    <row r="753" spans="1:8">
      <c r="A753" s="39">
        <v>5.25652423860227</v>
      </c>
      <c r="B753" s="40">
        <v>0</v>
      </c>
      <c r="D753" s="2"/>
      <c r="E753" s="31"/>
      <c r="G753" s="43"/>
      <c r="H753" s="2"/>
    </row>
    <row r="754" spans="1:8">
      <c r="A754" s="39">
        <v>5.25604375192598</v>
      </c>
      <c r="B754" s="40">
        <v>3</v>
      </c>
      <c r="D754" s="2"/>
      <c r="E754" s="31"/>
      <c r="G754" s="43"/>
      <c r="H754" s="2"/>
    </row>
    <row r="755" spans="1:8">
      <c r="A755" s="39">
        <v>5.25460229189711</v>
      </c>
      <c r="B755" s="40">
        <v>2.2</v>
      </c>
      <c r="D755" s="2"/>
      <c r="E755" s="31"/>
      <c r="G755" s="43"/>
      <c r="H755" s="2"/>
    </row>
    <row r="756" spans="1:8">
      <c r="A756" s="39">
        <v>5.25364131854453</v>
      </c>
      <c r="B756" s="40">
        <v>5</v>
      </c>
      <c r="D756" s="2"/>
      <c r="E756" s="31"/>
      <c r="G756" s="43"/>
      <c r="H756" s="2"/>
    </row>
    <row r="757" spans="1:8">
      <c r="A757" s="39">
        <v>5.25352579654123</v>
      </c>
      <c r="B757" s="40">
        <v>13</v>
      </c>
      <c r="D757" s="44"/>
      <c r="E757" s="31"/>
      <c r="G757" s="43"/>
      <c r="H757" s="2"/>
    </row>
    <row r="758" spans="1:8">
      <c r="A758" s="39">
        <v>5.25268034519195</v>
      </c>
      <c r="B758" s="40">
        <v>7.2</v>
      </c>
      <c r="D758" s="2"/>
      <c r="E758" s="31"/>
      <c r="G758" s="43"/>
      <c r="H758" s="2"/>
    </row>
    <row r="759" spans="1:8">
      <c r="A759" s="39">
        <v>5.25172695189252</v>
      </c>
      <c r="B759" s="40">
        <v>12</v>
      </c>
      <c r="D759" s="2"/>
      <c r="E759" s="31"/>
      <c r="G759" s="43"/>
      <c r="H759" s="2"/>
    </row>
    <row r="760" spans="1:8">
      <c r="A760" s="39">
        <v>5.25172695189252</v>
      </c>
      <c r="B760" s="40">
        <v>7</v>
      </c>
      <c r="D760" s="2"/>
      <c r="E760" s="31"/>
      <c r="G760" s="43"/>
      <c r="H760" s="2"/>
    </row>
    <row r="761" spans="1:8">
      <c r="A761" s="39">
        <v>5.24902868491947</v>
      </c>
      <c r="B761" s="40">
        <v>6.3</v>
      </c>
      <c r="D761" s="2"/>
      <c r="E761" s="31"/>
      <c r="G761" s="43"/>
      <c r="H761" s="2"/>
    </row>
    <row r="762" spans="1:8">
      <c r="A762" s="39">
        <v>5.24883819001828</v>
      </c>
      <c r="B762" s="40">
        <v>6</v>
      </c>
      <c r="D762" s="2"/>
      <c r="E762" s="31"/>
      <c r="G762" s="43"/>
      <c r="H762" s="2"/>
    </row>
    <row r="763" spans="1:8">
      <c r="A763" s="39">
        <v>5.2477928129639</v>
      </c>
      <c r="B763" s="40">
        <v>3.5</v>
      </c>
      <c r="D763" s="2"/>
      <c r="E763" s="31"/>
      <c r="G763" s="43"/>
      <c r="H763" s="2"/>
    </row>
    <row r="764" spans="1:8">
      <c r="A764" s="39">
        <v>5.24595353172391</v>
      </c>
      <c r="B764" s="40">
        <v>4.7</v>
      </c>
      <c r="D764" s="2"/>
      <c r="E764" s="31"/>
      <c r="G764" s="43"/>
      <c r="H764" s="2"/>
    </row>
    <row r="765" spans="1:8">
      <c r="A765" s="39">
        <v>5.24497325965747</v>
      </c>
      <c r="B765" s="40">
        <v>6.5</v>
      </c>
      <c r="D765" s="2"/>
      <c r="E765" s="31"/>
      <c r="G765" s="43"/>
      <c r="H765" s="2"/>
    </row>
    <row r="766" spans="1:8">
      <c r="A766" s="39">
        <v>5.24363215097335</v>
      </c>
      <c r="B766" s="40">
        <v>0</v>
      </c>
      <c r="D766" s="2"/>
      <c r="E766" s="31"/>
      <c r="G766" s="43"/>
      <c r="H766" s="2"/>
    </row>
    <row r="767" spans="1:8">
      <c r="A767" s="39">
        <v>5.24363215097335</v>
      </c>
      <c r="B767" s="40">
        <v>0</v>
      </c>
      <c r="D767" s="2"/>
      <c r="E767" s="31"/>
      <c r="G767" s="43"/>
      <c r="H767" s="2"/>
    </row>
    <row r="768" spans="1:8">
      <c r="A768" s="39">
        <v>5.24307061166617</v>
      </c>
      <c r="B768" s="40">
        <v>6.5</v>
      </c>
      <c r="D768" s="2"/>
      <c r="E768" s="31"/>
      <c r="G768" s="43"/>
      <c r="H768" s="2"/>
    </row>
    <row r="769" spans="1:8">
      <c r="A769" s="39">
        <v>5.24307061166617</v>
      </c>
      <c r="B769" s="40">
        <v>4.9</v>
      </c>
      <c r="D769" s="2"/>
      <c r="E769" s="31"/>
      <c r="G769" s="43"/>
      <c r="H769" s="2"/>
    </row>
    <row r="770" spans="1:8">
      <c r="A770" s="39">
        <v>5.24210963831359</v>
      </c>
      <c r="B770" s="40">
        <v>4.2</v>
      </c>
      <c r="D770" s="2"/>
      <c r="E770" s="31"/>
      <c r="G770" s="43"/>
      <c r="H770" s="2"/>
    </row>
    <row r="771" spans="1:8">
      <c r="A771" s="39">
        <v>5.2409338840003</v>
      </c>
      <c r="B771" s="40">
        <v>0</v>
      </c>
      <c r="D771" s="2"/>
      <c r="E771" s="31"/>
      <c r="G771" s="43"/>
      <c r="H771" s="2"/>
    </row>
    <row r="772" spans="1:8">
      <c r="A772" s="39">
        <v>5.2409338840003</v>
      </c>
      <c r="B772" s="40">
        <v>0</v>
      </c>
      <c r="D772" s="2"/>
      <c r="E772" s="31"/>
      <c r="G772" s="43"/>
      <c r="H772" s="2"/>
    </row>
    <row r="773" spans="1:8">
      <c r="A773" s="39">
        <v>5.24003446167594</v>
      </c>
      <c r="B773" s="40">
        <v>6</v>
      </c>
      <c r="D773" s="2"/>
      <c r="E773" s="31"/>
      <c r="G773" s="43"/>
      <c r="H773" s="2"/>
    </row>
    <row r="774" spans="1:8">
      <c r="A774" s="39">
        <v>5.2394297965289</v>
      </c>
      <c r="B774" s="40">
        <v>8.2</v>
      </c>
      <c r="D774" s="2"/>
      <c r="E774" s="31"/>
      <c r="G774" s="43"/>
      <c r="H774" s="2"/>
    </row>
    <row r="775" spans="1:8">
      <c r="A775" s="39">
        <v>5.23874623157957</v>
      </c>
      <c r="B775" s="40">
        <v>7.8</v>
      </c>
      <c r="D775" s="2"/>
      <c r="E775" s="31"/>
      <c r="G775" s="43"/>
      <c r="H775" s="2"/>
    </row>
    <row r="776" spans="1:8">
      <c r="A776" s="39">
        <v>5.23553735005418</v>
      </c>
      <c r="B776" s="40">
        <v>12.4</v>
      </c>
      <c r="D776" s="2"/>
      <c r="E776" s="31"/>
      <c r="G776" s="43"/>
      <c r="H776" s="2"/>
    </row>
    <row r="777" spans="1:8">
      <c r="A777" s="39">
        <v>5.23442185149297</v>
      </c>
      <c r="B777" s="40">
        <v>4.3</v>
      </c>
      <c r="D777" s="2"/>
      <c r="E777" s="31"/>
      <c r="G777" s="43"/>
      <c r="H777" s="2"/>
    </row>
    <row r="778" spans="1:8">
      <c r="A778" s="39">
        <v>5.23373850540548</v>
      </c>
      <c r="B778" s="40">
        <v>1</v>
      </c>
      <c r="D778" s="2"/>
      <c r="E778" s="31"/>
      <c r="G778" s="43"/>
      <c r="H778" s="2"/>
    </row>
    <row r="779" spans="1:8">
      <c r="A779" s="39">
        <v>5.22474428216196</v>
      </c>
      <c r="B779" s="40">
        <v>7</v>
      </c>
      <c r="D779" s="2"/>
      <c r="E779" s="31"/>
      <c r="G779" s="43"/>
      <c r="H779" s="2"/>
    </row>
    <row r="780" spans="1:8">
      <c r="A780" s="39">
        <v>5.22474428216196</v>
      </c>
      <c r="B780" s="40">
        <v>2</v>
      </c>
      <c r="D780" s="2"/>
      <c r="E780" s="31"/>
      <c r="G780" s="43"/>
      <c r="H780" s="2"/>
    </row>
    <row r="781" spans="1:8">
      <c r="A781" s="39">
        <v>5.2238448598376</v>
      </c>
      <c r="B781" s="40">
        <v>15.6</v>
      </c>
      <c r="D781" s="2"/>
      <c r="E781" s="31"/>
      <c r="G781" s="43"/>
      <c r="H781" s="2"/>
    </row>
    <row r="782" spans="1:8">
      <c r="A782" s="39">
        <v>5.22165838660452</v>
      </c>
      <c r="B782" s="40">
        <v>7</v>
      </c>
      <c r="D782" s="2"/>
      <c r="E782" s="31"/>
      <c r="G782" s="43"/>
      <c r="H782" s="2"/>
    </row>
    <row r="783" spans="1:8">
      <c r="A783" s="39">
        <v>5.22114659286455</v>
      </c>
      <c r="B783" s="40">
        <v>0</v>
      </c>
      <c r="D783" s="2"/>
      <c r="E783" s="31"/>
      <c r="G783" s="43"/>
      <c r="H783" s="2"/>
    </row>
    <row r="784" spans="1:8">
      <c r="A784" s="39">
        <v>5.21643150133264</v>
      </c>
      <c r="B784" s="40">
        <v>4.5</v>
      </c>
      <c r="D784" s="2"/>
      <c r="E784" s="31"/>
      <c r="G784" s="43"/>
      <c r="H784" s="2"/>
    </row>
    <row r="785" spans="1:8">
      <c r="A785" s="39">
        <v>5.21328043773625</v>
      </c>
      <c r="B785" s="40">
        <v>5.8</v>
      </c>
      <c r="D785" s="2"/>
      <c r="E785" s="31"/>
      <c r="G785" s="43"/>
      <c r="H785" s="2"/>
    </row>
    <row r="786" spans="1:8">
      <c r="A786" s="39">
        <v>5.21305179194538</v>
      </c>
      <c r="B786" s="40">
        <v>10</v>
      </c>
      <c r="D786" s="2"/>
      <c r="E786" s="31"/>
      <c r="G786" s="43"/>
      <c r="H786" s="2"/>
    </row>
    <row r="787" spans="1:8">
      <c r="A787" s="39">
        <v>5.21231946438367</v>
      </c>
      <c r="B787" s="40">
        <v>1</v>
      </c>
      <c r="D787" s="2"/>
      <c r="E787" s="31"/>
      <c r="G787" s="43"/>
      <c r="H787" s="2"/>
    </row>
    <row r="788" spans="1:8">
      <c r="A788" s="39">
        <v>5.2113584910311</v>
      </c>
      <c r="B788" s="40">
        <v>5.7</v>
      </c>
      <c r="D788" s="2"/>
      <c r="E788" s="31"/>
      <c r="G788" s="43"/>
      <c r="H788" s="2"/>
    </row>
    <row r="789" spans="1:8">
      <c r="A789" s="39">
        <v>5.21120461606077</v>
      </c>
      <c r="B789" s="40">
        <v>11.2</v>
      </c>
      <c r="D789" s="2"/>
      <c r="E789" s="31"/>
      <c r="G789" s="43"/>
      <c r="H789" s="2"/>
    </row>
    <row r="790" spans="1:8">
      <c r="A790" s="39">
        <v>5.21039751767852</v>
      </c>
      <c r="B790" s="40">
        <v>20.2</v>
      </c>
      <c r="D790" s="2"/>
      <c r="E790" s="31"/>
      <c r="G790" s="43"/>
      <c r="H790" s="2"/>
    </row>
    <row r="791" spans="1:8">
      <c r="A791" s="39">
        <v>5.20675583567491</v>
      </c>
      <c r="B791" s="40">
        <v>1</v>
      </c>
      <c r="D791" s="2"/>
      <c r="E791" s="31"/>
      <c r="G791" s="43"/>
      <c r="H791" s="2"/>
    </row>
    <row r="792" spans="1:8">
      <c r="A792" s="39">
        <v>5.20495699102621</v>
      </c>
      <c r="B792" s="40">
        <v>0</v>
      </c>
      <c r="D792" s="2"/>
      <c r="E792" s="31"/>
      <c r="G792" s="43"/>
      <c r="H792" s="2"/>
    </row>
    <row r="793" spans="1:8">
      <c r="A793" s="39">
        <v>5.20495699102621</v>
      </c>
      <c r="B793" s="40">
        <v>8</v>
      </c>
      <c r="D793" s="2"/>
      <c r="E793" s="31"/>
      <c r="G793" s="43"/>
      <c r="H793" s="2"/>
    </row>
    <row r="794" spans="1:8">
      <c r="A794" s="39">
        <v>5.20495699102621</v>
      </c>
      <c r="B794" s="40">
        <v>9</v>
      </c>
      <c r="D794" s="2"/>
      <c r="E794" s="31"/>
      <c r="G794" s="43"/>
      <c r="H794" s="2"/>
    </row>
    <row r="795" spans="1:8">
      <c r="A795" s="39">
        <v>5.20270973085789</v>
      </c>
      <c r="B795" s="40">
        <v>6.5</v>
      </c>
      <c r="D795" s="2"/>
      <c r="E795" s="31"/>
      <c r="G795" s="43"/>
      <c r="H795" s="2"/>
    </row>
    <row r="796" spans="1:8">
      <c r="A796" s="39">
        <v>5.20179622257139</v>
      </c>
      <c r="B796" s="40">
        <v>3</v>
      </c>
      <c r="D796" s="2"/>
      <c r="E796" s="31"/>
      <c r="G796" s="43"/>
      <c r="H796" s="2"/>
    </row>
    <row r="797" spans="1:8">
      <c r="A797" s="39">
        <v>5.20174875750531</v>
      </c>
      <c r="B797" s="40">
        <v>0</v>
      </c>
      <c r="D797" s="2"/>
      <c r="E797" s="31"/>
      <c r="G797" s="43"/>
      <c r="H797" s="2"/>
    </row>
    <row r="798" spans="1:8">
      <c r="A798" s="39">
        <v>5.20078778415274</v>
      </c>
      <c r="B798" s="40">
        <v>6</v>
      </c>
      <c r="D798" s="2"/>
      <c r="E798" s="31"/>
      <c r="G798" s="43"/>
      <c r="H798" s="2"/>
    </row>
    <row r="799" spans="1:8">
      <c r="A799" s="39">
        <v>5.19917991657346</v>
      </c>
      <c r="B799" s="40">
        <v>4.6</v>
      </c>
      <c r="D799" s="2"/>
      <c r="E799" s="31"/>
      <c r="G799" s="43"/>
      <c r="H799" s="2"/>
    </row>
    <row r="800" spans="1:8">
      <c r="A800" s="39">
        <v>5.19656933729951</v>
      </c>
      <c r="B800" s="40">
        <v>4</v>
      </c>
      <c r="D800" s="2"/>
      <c r="E800" s="31"/>
      <c r="G800" s="43"/>
      <c r="H800" s="2"/>
    </row>
    <row r="801" spans="1:8">
      <c r="A801" s="39">
        <v>5.19598291738985</v>
      </c>
      <c r="B801" s="40">
        <v>5</v>
      </c>
      <c r="D801" s="2"/>
      <c r="E801" s="31"/>
      <c r="G801" s="43"/>
      <c r="H801" s="2"/>
    </row>
    <row r="802" spans="1:8">
      <c r="A802" s="39">
        <v>5.19596276778269</v>
      </c>
      <c r="B802" s="40">
        <v>7.2</v>
      </c>
      <c r="D802" s="2"/>
      <c r="E802" s="31"/>
      <c r="G802" s="43"/>
      <c r="H802" s="2"/>
    </row>
    <row r="803" spans="1:8">
      <c r="A803" s="39">
        <v>5.19343320613639</v>
      </c>
      <c r="B803" s="40">
        <v>4</v>
      </c>
      <c r="D803" s="2"/>
      <c r="E803" s="31"/>
      <c r="G803" s="43"/>
      <c r="H803" s="2"/>
    </row>
    <row r="804" spans="1:8">
      <c r="A804" s="39">
        <v>5.19236507848528</v>
      </c>
      <c r="B804" s="40">
        <v>6.2</v>
      </c>
      <c r="D804" s="2"/>
      <c r="E804" s="31"/>
      <c r="G804" s="43"/>
      <c r="H804" s="2"/>
    </row>
    <row r="805" spans="1:8">
      <c r="A805" s="39">
        <v>5.19146565616092</v>
      </c>
      <c r="B805" s="40">
        <v>11.3</v>
      </c>
      <c r="D805" s="2"/>
      <c r="E805" s="31"/>
      <c r="G805" s="43"/>
      <c r="H805" s="2"/>
    </row>
    <row r="806" spans="1:8">
      <c r="A806" s="39">
        <v>5.18716094381014</v>
      </c>
      <c r="B806" s="40">
        <v>6.1</v>
      </c>
      <c r="D806" s="2"/>
      <c r="E806" s="31"/>
      <c r="G806" s="43"/>
      <c r="H806" s="2"/>
    </row>
    <row r="807" spans="1:8">
      <c r="A807" s="39">
        <v>5.18611556675576</v>
      </c>
      <c r="B807" s="40">
        <v>0</v>
      </c>
      <c r="D807" s="2"/>
      <c r="E807" s="31"/>
      <c r="G807" s="43"/>
      <c r="H807" s="2"/>
    </row>
    <row r="808" spans="1:8">
      <c r="A808" s="39">
        <v>5.18611556675576</v>
      </c>
      <c r="B808" s="40">
        <v>7.2</v>
      </c>
      <c r="D808" s="2"/>
      <c r="E808" s="31"/>
      <c r="G808" s="43"/>
      <c r="H808" s="2"/>
    </row>
    <row r="809" spans="1:8">
      <c r="A809" s="39">
        <v>5.18337085524175</v>
      </c>
      <c r="B809" s="40">
        <v>3.9</v>
      </c>
      <c r="D809" s="2"/>
      <c r="E809" s="31"/>
      <c r="G809" s="43"/>
      <c r="H809" s="2"/>
    </row>
    <row r="810" spans="1:8">
      <c r="A810" s="39">
        <v>5.1811896746476</v>
      </c>
      <c r="B810" s="40">
        <v>4</v>
      </c>
      <c r="D810" s="2"/>
      <c r="E810" s="31"/>
      <c r="G810" s="43"/>
      <c r="H810" s="2"/>
    </row>
    <row r="811" spans="1:8">
      <c r="A811" s="39">
        <v>5.17887374361999</v>
      </c>
      <c r="B811" s="40">
        <v>16.7</v>
      </c>
      <c r="D811" s="2"/>
      <c r="E811" s="31"/>
      <c r="G811" s="43"/>
      <c r="H811" s="2"/>
    </row>
    <row r="812" spans="1:8">
      <c r="A812" s="39">
        <v>5.17676345033828</v>
      </c>
      <c r="B812" s="40">
        <v>0</v>
      </c>
      <c r="D812" s="2"/>
      <c r="E812" s="31"/>
      <c r="G812" s="43"/>
      <c r="H812" s="2"/>
    </row>
    <row r="813" spans="1:8">
      <c r="A813" s="39">
        <v>5.17676345033828</v>
      </c>
      <c r="B813" s="40">
        <v>0</v>
      </c>
      <c r="D813" s="2"/>
      <c r="E813" s="31"/>
      <c r="G813" s="43"/>
      <c r="H813" s="2"/>
    </row>
    <row r="814" spans="1:8">
      <c r="A814" s="39">
        <v>5.17436101695684</v>
      </c>
      <c r="B814" s="40">
        <v>6.1</v>
      </c>
      <c r="D814" s="2"/>
      <c r="E814" s="31"/>
      <c r="G814" s="43"/>
      <c r="H814" s="2"/>
    </row>
    <row r="815" spans="1:8">
      <c r="A815" s="39">
        <v>5.17003663687024</v>
      </c>
      <c r="B815" s="40">
        <v>3.2</v>
      </c>
      <c r="D815" s="2"/>
      <c r="E815" s="31"/>
      <c r="G815" s="43"/>
      <c r="H815" s="2"/>
    </row>
    <row r="816" spans="1:8">
      <c r="A816" s="39">
        <v>5.16898009805212</v>
      </c>
      <c r="B816" s="40">
        <v>0</v>
      </c>
      <c r="D816" s="2"/>
      <c r="E816" s="31"/>
      <c r="G816" s="43"/>
      <c r="H816" s="2"/>
    </row>
    <row r="817" spans="1:8">
      <c r="A817" s="39">
        <v>5.16898009805212</v>
      </c>
      <c r="B817" s="40">
        <v>7.9</v>
      </c>
      <c r="D817" s="2"/>
      <c r="E817" s="31"/>
      <c r="G817" s="43"/>
      <c r="H817" s="2"/>
    </row>
    <row r="818" spans="1:8">
      <c r="A818" s="39">
        <v>5.16898009805212</v>
      </c>
      <c r="B818" s="40">
        <v>7</v>
      </c>
      <c r="D818" s="2"/>
      <c r="E818" s="31"/>
      <c r="G818" s="43"/>
      <c r="H818" s="2"/>
    </row>
    <row r="819" spans="1:8">
      <c r="A819" s="39">
        <v>5.16523177010735</v>
      </c>
      <c r="B819" s="40">
        <v>1</v>
      </c>
      <c r="D819" s="2"/>
      <c r="E819" s="31"/>
      <c r="G819" s="43"/>
      <c r="H819" s="2"/>
    </row>
    <row r="820" spans="1:8">
      <c r="A820" s="39">
        <v>5.16520802566825</v>
      </c>
      <c r="B820" s="40">
        <v>0</v>
      </c>
      <c r="D820" s="2"/>
      <c r="E820" s="31"/>
      <c r="G820" s="43"/>
      <c r="H820" s="2"/>
    </row>
    <row r="821" spans="1:8">
      <c r="A821" s="39">
        <v>5.16483490926046</v>
      </c>
      <c r="B821" s="40">
        <v>4.1</v>
      </c>
      <c r="D821" s="2"/>
      <c r="E821" s="31"/>
      <c r="G821" s="43"/>
      <c r="H821" s="2"/>
    </row>
    <row r="822" spans="1:8">
      <c r="A822" s="39">
        <v>5.16448298643036</v>
      </c>
      <c r="B822" s="40">
        <v>11.9</v>
      </c>
      <c r="D822" s="2"/>
      <c r="E822" s="31"/>
      <c r="G822" s="43"/>
      <c r="H822" s="2"/>
    </row>
    <row r="823" spans="1:8">
      <c r="A823" s="39">
        <v>5.16448298643036</v>
      </c>
      <c r="B823" s="40">
        <v>12.8</v>
      </c>
      <c r="D823" s="2"/>
      <c r="E823" s="31"/>
      <c r="G823" s="43"/>
      <c r="H823" s="2"/>
    </row>
    <row r="824" spans="1:8">
      <c r="A824" s="39">
        <v>5.16234885004961</v>
      </c>
      <c r="B824" s="40">
        <v>1</v>
      </c>
      <c r="D824" s="2"/>
      <c r="E824" s="31"/>
      <c r="G824" s="43"/>
      <c r="H824" s="2"/>
    </row>
    <row r="825" spans="1:8">
      <c r="A825" s="39">
        <v>5.15908645248425</v>
      </c>
      <c r="B825" s="40">
        <v>5</v>
      </c>
      <c r="D825" s="2"/>
      <c r="E825" s="31"/>
      <c r="G825" s="43"/>
      <c r="H825" s="2"/>
    </row>
    <row r="826" spans="1:8">
      <c r="A826" s="39">
        <v>5.15908645248425</v>
      </c>
      <c r="B826" s="40">
        <v>5.5</v>
      </c>
      <c r="D826" s="2"/>
      <c r="E826" s="31"/>
      <c r="G826" s="43"/>
      <c r="H826" s="2"/>
    </row>
    <row r="827" spans="1:8">
      <c r="A827" s="39">
        <v>5.1585049566393</v>
      </c>
      <c r="B827" s="40">
        <v>1.3</v>
      </c>
      <c r="D827" s="2"/>
      <c r="E827" s="31"/>
      <c r="G827" s="43"/>
      <c r="H827" s="2"/>
    </row>
    <row r="828" spans="1:8">
      <c r="A828" s="39">
        <v>5.15754398328672</v>
      </c>
      <c r="B828" s="40">
        <v>0</v>
      </c>
      <c r="D828" s="2"/>
      <c r="E828" s="31"/>
      <c r="G828" s="43"/>
      <c r="H828" s="2"/>
    </row>
    <row r="829" spans="1:8">
      <c r="A829" s="39">
        <v>5.15658300993414</v>
      </c>
      <c r="B829" s="40">
        <v>7.8</v>
      </c>
      <c r="D829" s="2"/>
      <c r="E829" s="31"/>
      <c r="G829" s="43"/>
      <c r="H829" s="2"/>
    </row>
    <row r="830" spans="1:8">
      <c r="A830" s="39">
        <v>5.15638818551119</v>
      </c>
      <c r="B830" s="40">
        <v>9.7</v>
      </c>
      <c r="D830" s="2"/>
      <c r="E830" s="31"/>
      <c r="G830" s="43"/>
      <c r="H830" s="2"/>
    </row>
    <row r="831" spans="1:8">
      <c r="A831" s="39">
        <v>5.15548876318684</v>
      </c>
      <c r="B831" s="40">
        <v>6.5</v>
      </c>
      <c r="D831" s="2"/>
      <c r="E831" s="31"/>
      <c r="G831" s="43"/>
      <c r="H831" s="2"/>
    </row>
    <row r="832" spans="1:8">
      <c r="A832" s="39">
        <v>5.1547542551245</v>
      </c>
      <c r="B832" s="40">
        <v>4.2</v>
      </c>
      <c r="D832" s="2"/>
      <c r="E832" s="31"/>
      <c r="G832" s="43"/>
      <c r="H832" s="2"/>
    </row>
    <row r="833" spans="1:8">
      <c r="A833" s="39">
        <v>5.15370008987641</v>
      </c>
      <c r="B833" s="40">
        <v>0</v>
      </c>
      <c r="D833" s="2"/>
      <c r="E833" s="31"/>
      <c r="G833" s="43"/>
      <c r="H833" s="2"/>
    </row>
    <row r="834" spans="1:8">
      <c r="A834" s="39">
        <v>5.15368991853813</v>
      </c>
      <c r="B834" s="40">
        <v>1</v>
      </c>
      <c r="D834" s="2"/>
      <c r="E834" s="31"/>
      <c r="G834" s="43"/>
      <c r="H834" s="2"/>
    </row>
    <row r="835" spans="1:8">
      <c r="A835" s="39">
        <v>5.15273911652383</v>
      </c>
      <c r="B835" s="40">
        <v>5.5</v>
      </c>
      <c r="D835" s="2"/>
      <c r="E835" s="31"/>
      <c r="G835" s="43"/>
      <c r="H835" s="2"/>
    </row>
    <row r="836" spans="1:8">
      <c r="A836" s="39">
        <v>5.15273911652383</v>
      </c>
      <c r="B836" s="40">
        <v>3</v>
      </c>
      <c r="D836" s="2"/>
      <c r="E836" s="31"/>
      <c r="G836" s="43"/>
      <c r="H836" s="2"/>
    </row>
    <row r="837" spans="1:8">
      <c r="A837" s="39">
        <v>5.15177814317125</v>
      </c>
      <c r="B837" s="40">
        <v>15.3</v>
      </c>
      <c r="D837" s="2"/>
      <c r="E837" s="31"/>
      <c r="G837" s="43"/>
      <c r="H837" s="2"/>
    </row>
    <row r="838" spans="1:8">
      <c r="A838" s="39">
        <v>5.15161812396138</v>
      </c>
      <c r="B838" s="40">
        <v>4.5</v>
      </c>
      <c r="D838" s="2"/>
      <c r="E838" s="31"/>
      <c r="G838" s="43"/>
      <c r="H838" s="2"/>
    </row>
    <row r="839" spans="1:8">
      <c r="A839" s="39">
        <v>5.15099165156508</v>
      </c>
      <c r="B839" s="40">
        <v>0</v>
      </c>
      <c r="D839" s="2"/>
      <c r="E839" s="31"/>
      <c r="G839" s="43"/>
      <c r="H839" s="2"/>
    </row>
    <row r="840" spans="1:8">
      <c r="A840" s="39">
        <v>5.15081716981867</v>
      </c>
      <c r="B840" s="40">
        <v>3</v>
      </c>
      <c r="D840" s="2"/>
      <c r="E840" s="31"/>
      <c r="G840" s="43"/>
      <c r="H840" s="2"/>
    </row>
    <row r="841" spans="1:8">
      <c r="A841" s="39">
        <v>5.15009222924072</v>
      </c>
      <c r="B841" s="40">
        <v>11</v>
      </c>
      <c r="D841" s="2"/>
      <c r="E841" s="31"/>
      <c r="G841" s="43"/>
      <c r="H841" s="2"/>
    </row>
    <row r="842" spans="1:8">
      <c r="A842" s="39">
        <v>5.1498561964661</v>
      </c>
      <c r="B842" s="40">
        <v>10</v>
      </c>
      <c r="D842" s="2"/>
      <c r="E842" s="31"/>
      <c r="G842" s="43"/>
      <c r="H842" s="2"/>
    </row>
    <row r="843" spans="1:8">
      <c r="A843" s="39">
        <v>5.14848199279825</v>
      </c>
      <c r="B843" s="40">
        <v>3.2</v>
      </c>
      <c r="D843" s="2"/>
      <c r="E843" s="31"/>
      <c r="G843" s="43"/>
      <c r="H843" s="2"/>
    </row>
    <row r="844" spans="1:8">
      <c r="A844" s="39">
        <v>5.14745376308465</v>
      </c>
      <c r="B844" s="40">
        <v>7.7</v>
      </c>
      <c r="D844" s="2"/>
      <c r="E844" s="31"/>
      <c r="G844" s="43"/>
      <c r="H844" s="2"/>
    </row>
    <row r="845" spans="1:8">
      <c r="A845" s="39">
        <v>5.14697327640836</v>
      </c>
      <c r="B845" s="40">
        <v>5.3</v>
      </c>
      <c r="D845" s="2"/>
      <c r="E845" s="31"/>
      <c r="G845" s="43"/>
      <c r="H845" s="2"/>
    </row>
    <row r="846" spans="1:8">
      <c r="A846" s="39">
        <v>5.14469569529461</v>
      </c>
      <c r="B846" s="40">
        <v>9</v>
      </c>
      <c r="D846" s="2"/>
      <c r="E846" s="31"/>
      <c r="G846" s="43"/>
      <c r="H846" s="2"/>
    </row>
    <row r="847" spans="1:8">
      <c r="A847" s="39">
        <v>5.14439145252652</v>
      </c>
      <c r="B847" s="40">
        <v>10.1</v>
      </c>
      <c r="D847" s="2"/>
      <c r="E847" s="31"/>
      <c r="G847" s="43"/>
      <c r="H847" s="2"/>
    </row>
    <row r="848" spans="1:8">
      <c r="A848" s="39">
        <v>5.14430048458075</v>
      </c>
      <c r="B848" s="40">
        <v>3</v>
      </c>
      <c r="D848" s="2"/>
      <c r="E848" s="31"/>
      <c r="G848" s="43"/>
      <c r="H848" s="2"/>
    </row>
    <row r="849" spans="1:8">
      <c r="A849" s="39">
        <v>5.14430048458075</v>
      </c>
      <c r="B849" s="40">
        <v>5</v>
      </c>
      <c r="D849" s="2"/>
      <c r="E849" s="31"/>
      <c r="G849" s="43"/>
      <c r="H849" s="2"/>
    </row>
    <row r="850" spans="1:8">
      <c r="A850" s="39">
        <v>5.14379627297026</v>
      </c>
      <c r="B850" s="40">
        <v>13.2</v>
      </c>
      <c r="D850" s="2"/>
      <c r="E850" s="31"/>
      <c r="G850" s="43"/>
      <c r="H850" s="2"/>
    </row>
    <row r="851" spans="1:8">
      <c r="A851" s="39">
        <v>5.14216840964547</v>
      </c>
      <c r="B851" s="40">
        <v>0</v>
      </c>
      <c r="D851" s="2"/>
      <c r="E851" s="31"/>
      <c r="G851" s="43"/>
      <c r="H851" s="2"/>
    </row>
    <row r="852" spans="1:8">
      <c r="A852" s="39">
        <v>5.14199742832155</v>
      </c>
      <c r="B852" s="40">
        <v>0</v>
      </c>
      <c r="D852" s="2"/>
      <c r="E852" s="31"/>
      <c r="G852" s="43"/>
      <c r="H852" s="2"/>
    </row>
    <row r="853" spans="1:8">
      <c r="A853" s="39">
        <v>5.14120743629289</v>
      </c>
      <c r="B853" s="40">
        <v>0</v>
      </c>
      <c r="D853" s="2"/>
      <c r="E853" s="31"/>
      <c r="G853" s="43"/>
      <c r="H853" s="2"/>
    </row>
    <row r="854" spans="1:8">
      <c r="A854" s="39">
        <v>5.13480204972674</v>
      </c>
      <c r="B854" s="40">
        <v>12.6</v>
      </c>
      <c r="D854" s="2"/>
      <c r="E854" s="31"/>
      <c r="G854" s="43"/>
      <c r="H854" s="2"/>
    </row>
    <row r="855" spans="1:8">
      <c r="A855" s="39">
        <v>5.133846714037</v>
      </c>
      <c r="B855" s="40">
        <v>0</v>
      </c>
      <c r="D855" s="2"/>
      <c r="E855" s="31"/>
      <c r="G855" s="43"/>
      <c r="H855" s="2"/>
    </row>
    <row r="856" spans="1:8">
      <c r="A856" s="39">
        <v>5.12871478270938</v>
      </c>
      <c r="B856" s="40">
        <v>1.85</v>
      </c>
      <c r="D856" s="2"/>
      <c r="E856" s="31"/>
      <c r="G856" s="43"/>
      <c r="H856" s="2"/>
    </row>
    <row r="857" spans="1:8">
      <c r="A857" s="39">
        <v>5.12850609345627</v>
      </c>
      <c r="B857" s="40">
        <v>12.4</v>
      </c>
      <c r="D857" s="2"/>
      <c r="E857" s="31"/>
      <c r="G857" s="43"/>
      <c r="H857" s="2"/>
    </row>
    <row r="858" spans="1:8">
      <c r="A858" s="39">
        <v>5.1277538093568</v>
      </c>
      <c r="B858" s="40">
        <v>3</v>
      </c>
      <c r="D858" s="2"/>
      <c r="E858" s="31"/>
      <c r="G858" s="43"/>
      <c r="H858" s="2"/>
    </row>
    <row r="859" spans="1:8">
      <c r="A859" s="39">
        <v>5.12760667113192</v>
      </c>
      <c r="B859" s="40">
        <v>12.3</v>
      </c>
      <c r="D859" s="2"/>
      <c r="E859" s="31"/>
      <c r="G859" s="43"/>
      <c r="H859" s="2"/>
    </row>
    <row r="860" spans="1:8">
      <c r="A860" s="39">
        <v>5.12757445171074</v>
      </c>
      <c r="B860" s="40">
        <v>2</v>
      </c>
      <c r="D860" s="2"/>
      <c r="E860" s="31"/>
      <c r="G860" s="43"/>
      <c r="H860" s="2"/>
    </row>
    <row r="861" spans="1:8">
      <c r="A861" s="39">
        <v>5.12757445171074</v>
      </c>
      <c r="B861" s="40">
        <v>3.2</v>
      </c>
      <c r="D861" s="2"/>
      <c r="E861" s="31"/>
      <c r="G861" s="43"/>
      <c r="H861" s="2"/>
    </row>
    <row r="862" spans="1:8">
      <c r="A862" s="39">
        <v>5.12580782648321</v>
      </c>
      <c r="B862" s="40">
        <v>13.2</v>
      </c>
      <c r="D862" s="2"/>
      <c r="E862" s="31"/>
      <c r="G862" s="43"/>
      <c r="H862" s="2"/>
    </row>
    <row r="863" spans="1:8">
      <c r="A863" s="39">
        <v>5.12400898183451</v>
      </c>
      <c r="B863" s="40">
        <v>0</v>
      </c>
      <c r="D863" s="2"/>
      <c r="E863" s="31"/>
      <c r="G863" s="43"/>
      <c r="H863" s="2"/>
    </row>
    <row r="864" spans="1:8">
      <c r="A864" s="39">
        <v>5.12390991594649</v>
      </c>
      <c r="B864" s="40">
        <v>8.1</v>
      </c>
      <c r="D864" s="2"/>
      <c r="E864" s="31"/>
      <c r="G864" s="43"/>
      <c r="H864" s="2"/>
    </row>
    <row r="865" spans="1:8">
      <c r="A865" s="39">
        <v>5.12294894259391</v>
      </c>
      <c r="B865" s="40">
        <v>8</v>
      </c>
      <c r="D865" s="2"/>
      <c r="E865" s="31"/>
      <c r="G865" s="43"/>
      <c r="H865" s="2"/>
    </row>
    <row r="866" spans="1:8">
      <c r="A866" s="39">
        <v>5.11951187021275</v>
      </c>
      <c r="B866" s="40">
        <v>11.1</v>
      </c>
      <c r="D866" s="2"/>
      <c r="E866" s="31"/>
      <c r="G866" s="43"/>
      <c r="H866" s="2"/>
    </row>
    <row r="867" spans="1:8">
      <c r="A867" s="39">
        <v>5.11771302556404</v>
      </c>
      <c r="B867" s="40">
        <v>7</v>
      </c>
      <c r="D867" s="2"/>
      <c r="E867" s="31"/>
      <c r="G867" s="43"/>
      <c r="H867" s="2"/>
    </row>
    <row r="868" spans="1:8">
      <c r="A868" s="39">
        <v>5.11411533626663</v>
      </c>
      <c r="B868" s="40">
        <v>4.8</v>
      </c>
      <c r="D868" s="2"/>
      <c r="E868" s="31"/>
      <c r="G868" s="43"/>
      <c r="H868" s="2"/>
    </row>
    <row r="869" spans="1:8">
      <c r="A869" s="39">
        <v>5.11398455000387</v>
      </c>
      <c r="B869" s="40">
        <v>4.7</v>
      </c>
      <c r="D869" s="2"/>
      <c r="E869" s="31"/>
      <c r="G869" s="43"/>
      <c r="H869" s="2"/>
    </row>
    <row r="870" spans="1:8">
      <c r="A870" s="39">
        <v>5.11398455000387</v>
      </c>
      <c r="B870" s="40">
        <v>4</v>
      </c>
      <c r="D870" s="2"/>
      <c r="E870" s="31"/>
      <c r="G870" s="43"/>
      <c r="H870" s="2"/>
    </row>
    <row r="871" spans="1:8">
      <c r="A871" s="39">
        <v>5.11293917294949</v>
      </c>
      <c r="B871" s="40">
        <v>5</v>
      </c>
      <c r="D871" s="2"/>
      <c r="E871" s="31"/>
      <c r="G871" s="43"/>
      <c r="H871" s="2"/>
    </row>
    <row r="872" spans="1:8">
      <c r="A872" s="39">
        <v>5.11237823571555</v>
      </c>
      <c r="B872" s="40">
        <v>3</v>
      </c>
      <c r="D872" s="2"/>
      <c r="E872" s="31"/>
      <c r="G872" s="43"/>
      <c r="H872" s="2"/>
    </row>
    <row r="873" spans="1:8">
      <c r="A873" s="39">
        <v>5.11141726236297</v>
      </c>
      <c r="B873" s="40">
        <v>5.7</v>
      </c>
      <c r="D873" s="2"/>
      <c r="E873" s="31"/>
      <c r="G873" s="43"/>
      <c r="H873" s="2"/>
    </row>
    <row r="874" spans="1:8">
      <c r="A874" s="39">
        <v>5.11084841884074</v>
      </c>
      <c r="B874" s="40">
        <v>7.4</v>
      </c>
      <c r="D874" s="2"/>
      <c r="E874" s="31"/>
      <c r="G874" s="43"/>
      <c r="H874" s="2"/>
    </row>
    <row r="875" spans="1:8">
      <c r="A875" s="39">
        <v>5.10875766473199</v>
      </c>
      <c r="B875" s="40">
        <v>0</v>
      </c>
      <c r="D875" s="2"/>
      <c r="E875" s="31"/>
      <c r="G875" s="43"/>
      <c r="H875" s="2"/>
    </row>
    <row r="876" spans="1:8">
      <c r="A876" s="39">
        <v>5.10871880232052</v>
      </c>
      <c r="B876" s="40">
        <v>9.6</v>
      </c>
      <c r="D876" s="2"/>
      <c r="E876" s="31"/>
      <c r="G876" s="43"/>
      <c r="H876" s="2"/>
    </row>
    <row r="877" spans="1:8">
      <c r="A877" s="39">
        <v>5.10871880232052</v>
      </c>
      <c r="B877" s="40">
        <v>12.8</v>
      </c>
      <c r="D877" s="2"/>
      <c r="E877" s="31"/>
      <c r="G877" s="43"/>
      <c r="H877" s="2"/>
    </row>
    <row r="878" spans="1:8">
      <c r="A878" s="39">
        <v>5.10781937999617</v>
      </c>
      <c r="B878" s="40">
        <v>9</v>
      </c>
      <c r="D878" s="2"/>
      <c r="E878" s="31"/>
      <c r="G878" s="43"/>
      <c r="H878" s="2"/>
    </row>
    <row r="879" spans="1:8">
      <c r="A879" s="39">
        <v>5.10781937999617</v>
      </c>
      <c r="B879" s="40">
        <v>1</v>
      </c>
      <c r="D879" s="2"/>
      <c r="E879" s="31"/>
      <c r="G879" s="43"/>
      <c r="H879" s="2"/>
    </row>
    <row r="880" spans="1:8">
      <c r="A880" s="39">
        <v>5.10666691062324</v>
      </c>
      <c r="B880" s="40">
        <v>1.4</v>
      </c>
      <c r="D880" s="2"/>
      <c r="E880" s="31"/>
      <c r="G880" s="43"/>
      <c r="H880" s="2"/>
    </row>
    <row r="881" spans="1:8">
      <c r="A881" s="39">
        <v>5.10602053534747</v>
      </c>
      <c r="B881" s="40">
        <v>10</v>
      </c>
      <c r="D881" s="2"/>
      <c r="E881" s="31"/>
      <c r="G881" s="43"/>
      <c r="H881" s="2"/>
    </row>
    <row r="882" spans="1:8">
      <c r="A882" s="39">
        <v>5.10512111302311</v>
      </c>
      <c r="B882" s="40">
        <v>8.6</v>
      </c>
      <c r="D882" s="2"/>
      <c r="E882" s="31"/>
      <c r="G882" s="43"/>
      <c r="H882" s="2"/>
    </row>
    <row r="883" spans="1:8">
      <c r="A883" s="39">
        <v>5.10432227732802</v>
      </c>
      <c r="B883" s="40">
        <v>4.5</v>
      </c>
      <c r="D883" s="2"/>
      <c r="E883" s="31"/>
      <c r="G883" s="43"/>
      <c r="H883" s="2"/>
    </row>
    <row r="884" spans="1:8">
      <c r="A884" s="39">
        <v>5.10422169069876</v>
      </c>
      <c r="B884" s="40">
        <v>1</v>
      </c>
      <c r="D884" s="2"/>
      <c r="E884" s="31"/>
      <c r="G884" s="43"/>
      <c r="H884" s="2"/>
    </row>
    <row r="885" spans="1:8">
      <c r="A885" s="39">
        <v>5.10276850218977</v>
      </c>
      <c r="B885" s="40">
        <v>7.2</v>
      </c>
      <c r="D885" s="2"/>
      <c r="E885" s="31"/>
      <c r="G885" s="43"/>
      <c r="H885" s="2"/>
    </row>
    <row r="886" spans="1:8">
      <c r="A886" s="39">
        <v>5.10248540240574</v>
      </c>
      <c r="B886" s="40">
        <v>5.1</v>
      </c>
      <c r="D886" s="2"/>
      <c r="E886" s="31"/>
      <c r="G886" s="43"/>
      <c r="H886" s="2"/>
    </row>
    <row r="887" spans="1:8">
      <c r="A887" s="39">
        <v>5.10242284605005</v>
      </c>
      <c r="B887" s="40">
        <v>4.4</v>
      </c>
      <c r="D887" s="2"/>
      <c r="E887" s="31"/>
      <c r="G887" s="43"/>
      <c r="H887" s="2"/>
    </row>
    <row r="888" spans="1:8">
      <c r="A888" s="39">
        <v>5.10180752883719</v>
      </c>
      <c r="B888" s="40">
        <v>4</v>
      </c>
      <c r="D888" s="2"/>
      <c r="E888" s="31"/>
      <c r="G888" s="43"/>
      <c r="H888" s="2"/>
    </row>
    <row r="889" spans="1:8">
      <c r="A889" s="39">
        <v>5.1015234237257</v>
      </c>
      <c r="B889" s="40">
        <v>9.5</v>
      </c>
      <c r="D889" s="2"/>
      <c r="E889" s="31"/>
      <c r="G889" s="43"/>
      <c r="H889" s="2"/>
    </row>
    <row r="890" spans="1:8">
      <c r="A890" s="39">
        <v>5.10144002535136</v>
      </c>
      <c r="B890" s="40">
        <v>0</v>
      </c>
      <c r="D890" s="2"/>
      <c r="E890" s="31"/>
      <c r="G890" s="43"/>
      <c r="H890" s="2"/>
    </row>
    <row r="891" spans="1:8">
      <c r="A891" s="39">
        <v>5.099724579077</v>
      </c>
      <c r="B891" s="40">
        <v>8.2</v>
      </c>
      <c r="D891" s="2"/>
      <c r="E891" s="31"/>
      <c r="G891" s="43"/>
      <c r="H891" s="2"/>
    </row>
    <row r="892" spans="1:8">
      <c r="A892" s="39">
        <v>5.099724579077</v>
      </c>
      <c r="B892" s="40">
        <v>7</v>
      </c>
      <c r="D892" s="2"/>
      <c r="E892" s="31"/>
      <c r="G892" s="43"/>
      <c r="H892" s="2"/>
    </row>
    <row r="893" spans="1:8">
      <c r="A893" s="39">
        <v>5.09934927124261</v>
      </c>
      <c r="B893" s="40">
        <v>8.2</v>
      </c>
      <c r="D893" s="2"/>
      <c r="E893" s="31"/>
      <c r="G893" s="43"/>
      <c r="H893" s="2"/>
    </row>
    <row r="894" spans="1:8">
      <c r="A894" s="39">
        <v>5.09830389418824</v>
      </c>
      <c r="B894" s="40">
        <v>0</v>
      </c>
      <c r="D894" s="2"/>
      <c r="E894" s="31"/>
      <c r="G894" s="43"/>
      <c r="H894" s="2"/>
    </row>
    <row r="895" spans="1:8">
      <c r="A895" s="39">
        <v>5.09792573442829</v>
      </c>
      <c r="B895" s="40">
        <v>4.5</v>
      </c>
      <c r="D895" s="2"/>
      <c r="E895" s="31"/>
      <c r="G895" s="43"/>
      <c r="H895" s="2"/>
    </row>
    <row r="896" spans="1:8">
      <c r="A896" s="39">
        <v>5.09522746745524</v>
      </c>
      <c r="B896" s="40">
        <v>0</v>
      </c>
      <c r="D896" s="2"/>
      <c r="E896" s="31"/>
      <c r="G896" s="43"/>
      <c r="H896" s="2"/>
    </row>
    <row r="897" spans="1:8">
      <c r="A897" s="39">
        <v>5.09315876866399</v>
      </c>
      <c r="B897" s="40">
        <v>4.8</v>
      </c>
      <c r="D897" s="2"/>
      <c r="E897" s="31"/>
      <c r="G897" s="43"/>
      <c r="H897" s="2"/>
    </row>
    <row r="898" spans="1:8">
      <c r="A898" s="39">
        <v>5.09287394155702</v>
      </c>
      <c r="B898" s="40">
        <v>3.2</v>
      </c>
      <c r="D898" s="2"/>
      <c r="E898" s="31"/>
      <c r="G898" s="43"/>
      <c r="H898" s="2"/>
    </row>
    <row r="899" spans="1:8">
      <c r="A899" s="39">
        <v>5.0926782819877</v>
      </c>
      <c r="B899" s="40">
        <v>2.5</v>
      </c>
      <c r="D899" s="2"/>
      <c r="E899" s="31"/>
      <c r="G899" s="43"/>
      <c r="H899" s="2"/>
    </row>
    <row r="900" spans="1:8">
      <c r="A900" s="39">
        <v>5.09203163186199</v>
      </c>
      <c r="B900" s="40">
        <v>0</v>
      </c>
      <c r="D900" s="2"/>
      <c r="E900" s="31"/>
      <c r="G900" s="43"/>
      <c r="H900" s="2"/>
    </row>
    <row r="901" spans="1:8">
      <c r="A901" s="39">
        <v>5.09203163186199</v>
      </c>
      <c r="B901" s="40">
        <v>7.2</v>
      </c>
      <c r="D901" s="2"/>
      <c r="E901" s="31"/>
      <c r="G901" s="43"/>
      <c r="H901" s="2"/>
    </row>
    <row r="902" spans="1:8">
      <c r="A902" s="39">
        <v>5.09162977815783</v>
      </c>
      <c r="B902" s="40">
        <v>12.6</v>
      </c>
      <c r="D902" s="2"/>
      <c r="E902" s="31"/>
      <c r="G902" s="43"/>
      <c r="H902" s="2"/>
    </row>
    <row r="903" spans="1:8">
      <c r="A903" s="39">
        <v>5.09123682195883</v>
      </c>
      <c r="B903" s="40">
        <v>2.2</v>
      </c>
      <c r="D903" s="2"/>
      <c r="E903" s="31"/>
      <c r="G903" s="43"/>
      <c r="H903" s="2"/>
    </row>
    <row r="904" spans="1:8">
      <c r="A904" s="39">
        <v>5.09073035583348</v>
      </c>
      <c r="B904" s="40">
        <v>9.5</v>
      </c>
      <c r="D904" s="2"/>
      <c r="E904" s="31"/>
      <c r="G904" s="43"/>
      <c r="H904" s="2"/>
    </row>
    <row r="905" spans="1:8">
      <c r="A905" s="39">
        <v>5.08983093350913</v>
      </c>
      <c r="B905" s="40">
        <v>6</v>
      </c>
      <c r="D905" s="2"/>
      <c r="E905" s="31"/>
      <c r="G905" s="43"/>
      <c r="H905" s="2"/>
    </row>
    <row r="906" spans="1:8">
      <c r="A906" s="39">
        <v>5.08893151118477</v>
      </c>
      <c r="B906" s="40">
        <v>3</v>
      </c>
      <c r="D906" s="2"/>
      <c r="E906" s="31"/>
      <c r="G906" s="43"/>
      <c r="H906" s="2"/>
    </row>
    <row r="907" spans="1:8">
      <c r="A907" s="39">
        <v>5.08893151118477</v>
      </c>
      <c r="B907" s="40">
        <v>17.2</v>
      </c>
      <c r="D907" s="44"/>
      <c r="E907" s="31"/>
      <c r="G907" s="43"/>
      <c r="H907" s="2"/>
    </row>
    <row r="908" spans="1:8">
      <c r="A908" s="39">
        <v>5.08796751194087</v>
      </c>
      <c r="B908" s="40">
        <v>4.3</v>
      </c>
      <c r="D908" s="2"/>
      <c r="E908" s="31"/>
      <c r="G908" s="43"/>
      <c r="H908" s="2"/>
    </row>
    <row r="909" spans="1:8">
      <c r="A909" s="39">
        <v>5.08387882059409</v>
      </c>
      <c r="B909" s="40">
        <v>7.2</v>
      </c>
      <c r="D909" s="2"/>
      <c r="E909" s="31"/>
      <c r="G909" s="43"/>
      <c r="H909" s="2"/>
    </row>
    <row r="910" spans="1:8">
      <c r="A910" s="39">
        <v>5.08353497723866</v>
      </c>
      <c r="B910" s="40">
        <v>10</v>
      </c>
      <c r="D910" s="2"/>
      <c r="E910" s="31"/>
      <c r="G910" s="43"/>
      <c r="H910" s="2"/>
    </row>
    <row r="911" spans="1:8">
      <c r="A911" s="39">
        <v>5.08306108232473</v>
      </c>
      <c r="B911" s="40">
        <v>5</v>
      </c>
      <c r="D911" s="2"/>
      <c r="E911" s="31"/>
      <c r="G911" s="43"/>
      <c r="H911" s="2"/>
    </row>
    <row r="912" spans="1:8">
      <c r="A912" s="39">
        <v>5.08173613258996</v>
      </c>
      <c r="B912" s="40">
        <v>0</v>
      </c>
      <c r="D912" s="2"/>
      <c r="E912" s="31"/>
      <c r="G912" s="43"/>
      <c r="H912" s="2"/>
    </row>
    <row r="913" spans="1:8">
      <c r="A913" s="39">
        <v>5.08157786131823</v>
      </c>
      <c r="B913" s="40">
        <v>0</v>
      </c>
      <c r="D913" s="2"/>
      <c r="E913" s="31"/>
      <c r="G913" s="43"/>
      <c r="H913" s="2"/>
    </row>
    <row r="914" spans="1:8">
      <c r="A914" s="39">
        <v>5.08157786131823</v>
      </c>
      <c r="B914" s="40">
        <v>7.2</v>
      </c>
      <c r="D914" s="2"/>
      <c r="E914" s="31"/>
      <c r="G914" s="43"/>
      <c r="H914" s="2"/>
    </row>
    <row r="915" spans="1:8">
      <c r="A915" s="39">
        <v>5.08066611508047</v>
      </c>
      <c r="B915" s="40">
        <v>1.525</v>
      </c>
      <c r="D915" s="2"/>
      <c r="E915" s="31"/>
      <c r="G915" s="43"/>
      <c r="H915" s="2"/>
    </row>
    <row r="916" spans="1:8">
      <c r="A916" s="39">
        <v>5.0790378656169</v>
      </c>
      <c r="B916" s="40">
        <v>9.2</v>
      </c>
      <c r="D916" s="2"/>
      <c r="E916" s="31"/>
      <c r="G916" s="43"/>
      <c r="H916" s="2"/>
    </row>
    <row r="917" spans="1:8">
      <c r="A917" s="39">
        <v>5.0790378656169</v>
      </c>
      <c r="B917" s="40">
        <v>7.5</v>
      </c>
      <c r="D917" s="2"/>
      <c r="E917" s="31"/>
      <c r="G917" s="43"/>
      <c r="H917" s="2"/>
    </row>
    <row r="918" spans="1:8">
      <c r="A918" s="39">
        <v>5.07874416837532</v>
      </c>
      <c r="B918" s="40">
        <v>5</v>
      </c>
      <c r="D918" s="2"/>
      <c r="E918" s="31"/>
      <c r="G918" s="43"/>
      <c r="H918" s="2"/>
    </row>
    <row r="919" spans="1:8">
      <c r="A919" s="39">
        <v>5.07739635310073</v>
      </c>
      <c r="B919" s="40">
        <v>6</v>
      </c>
      <c r="D919" s="2"/>
      <c r="E919" s="31"/>
      <c r="G919" s="43"/>
      <c r="H919" s="2"/>
    </row>
    <row r="920" spans="1:8">
      <c r="A920" s="39">
        <v>5.07723902096819</v>
      </c>
      <c r="B920" s="40">
        <v>6</v>
      </c>
      <c r="D920" s="2"/>
      <c r="E920" s="31"/>
      <c r="G920" s="43"/>
      <c r="H920" s="2"/>
    </row>
    <row r="921" spans="1:8">
      <c r="A921" s="39">
        <v>5.07723902096819</v>
      </c>
      <c r="B921" s="40">
        <v>6.2</v>
      </c>
      <c r="D921" s="2"/>
      <c r="E921" s="31"/>
      <c r="G921" s="43"/>
      <c r="H921" s="2"/>
    </row>
    <row r="922" spans="1:8">
      <c r="A922" s="39">
        <v>5.07635097604636</v>
      </c>
      <c r="B922" s="40">
        <v>4</v>
      </c>
      <c r="D922" s="2"/>
      <c r="E922" s="31"/>
      <c r="G922" s="43"/>
      <c r="H922" s="2"/>
    </row>
    <row r="923" spans="1:8">
      <c r="A923" s="39">
        <v>5.07544017631949</v>
      </c>
      <c r="B923" s="40">
        <v>9</v>
      </c>
      <c r="D923" s="2"/>
      <c r="E923" s="31"/>
      <c r="G923" s="43"/>
      <c r="H923" s="2"/>
    </row>
    <row r="924" spans="1:8">
      <c r="A924" s="39">
        <v>5.07393930161242</v>
      </c>
      <c r="B924" s="40">
        <v>3.4</v>
      </c>
      <c r="D924" s="2"/>
      <c r="E924" s="31"/>
      <c r="G924" s="43"/>
      <c r="H924" s="2"/>
    </row>
    <row r="925" spans="1:8">
      <c r="A925" s="39">
        <v>5.07274190934643</v>
      </c>
      <c r="B925" s="40">
        <v>8.8</v>
      </c>
      <c r="D925" s="44"/>
      <c r="E925" s="31"/>
      <c r="G925" s="43"/>
      <c r="H925" s="2"/>
    </row>
    <row r="926" spans="1:8">
      <c r="A926" s="39">
        <v>5.07184248702208</v>
      </c>
      <c r="B926" s="40">
        <v>2</v>
      </c>
      <c r="D926" s="2"/>
      <c r="E926" s="31"/>
      <c r="G926" s="43"/>
      <c r="H926" s="2"/>
    </row>
    <row r="927" spans="1:8">
      <c r="A927" s="39">
        <v>5.07105638155469</v>
      </c>
      <c r="B927" s="40">
        <v>5.3</v>
      </c>
      <c r="D927" s="2"/>
      <c r="E927" s="31"/>
      <c r="G927" s="43"/>
      <c r="H927" s="2"/>
    </row>
    <row r="928" spans="1:8">
      <c r="A928" s="39">
        <v>5.07105638155469</v>
      </c>
      <c r="B928" s="40">
        <v>15.4</v>
      </c>
      <c r="D928" s="2"/>
      <c r="E928" s="31"/>
      <c r="G928" s="43"/>
      <c r="H928" s="2"/>
    </row>
    <row r="929" spans="1:8">
      <c r="A929" s="39">
        <v>5.0683417934763</v>
      </c>
      <c r="B929" s="40">
        <v>4</v>
      </c>
      <c r="D929" s="2"/>
      <c r="E929" s="31"/>
      <c r="G929" s="43"/>
      <c r="H929" s="2"/>
    </row>
    <row r="930" spans="1:8">
      <c r="A930" s="39">
        <v>5.06694258255698</v>
      </c>
      <c r="B930" s="40">
        <v>0</v>
      </c>
      <c r="D930" s="2"/>
      <c r="E930" s="31"/>
      <c r="G930" s="43"/>
      <c r="H930" s="2"/>
    </row>
    <row r="931" spans="1:8">
      <c r="A931" s="39">
        <v>5.06670631693758</v>
      </c>
      <c r="B931" s="40">
        <v>4.8</v>
      </c>
      <c r="D931" s="2"/>
      <c r="E931" s="31"/>
      <c r="G931" s="43"/>
      <c r="H931" s="2"/>
    </row>
    <row r="932" spans="1:8">
      <c r="A932" s="39">
        <v>5.0658972055026</v>
      </c>
      <c r="B932" s="40">
        <v>1</v>
      </c>
      <c r="D932" s="2"/>
      <c r="E932" s="31"/>
      <c r="G932" s="43"/>
      <c r="H932" s="2"/>
    </row>
    <row r="933" spans="1:8">
      <c r="A933" s="39">
        <v>5.06464710842726</v>
      </c>
      <c r="B933" s="40">
        <v>1</v>
      </c>
      <c r="D933" s="2"/>
      <c r="E933" s="31"/>
      <c r="G933" s="43"/>
      <c r="H933" s="2"/>
    </row>
    <row r="934" spans="1:8">
      <c r="A934" s="39">
        <v>5.06432956808665</v>
      </c>
      <c r="B934" s="40">
        <v>1</v>
      </c>
      <c r="D934" s="2"/>
      <c r="E934" s="31"/>
      <c r="G934" s="43"/>
      <c r="H934" s="2"/>
    </row>
    <row r="935" spans="1:8">
      <c r="A935" s="39">
        <v>5.06374768610291</v>
      </c>
      <c r="B935" s="40">
        <v>10</v>
      </c>
      <c r="D935" s="2"/>
      <c r="E935" s="31"/>
      <c r="G935" s="43"/>
      <c r="H935" s="2"/>
    </row>
    <row r="936" spans="1:8">
      <c r="A936" s="39">
        <v>5.0617156972851</v>
      </c>
      <c r="B936" s="40">
        <v>7</v>
      </c>
      <c r="D936" s="2"/>
      <c r="E936" s="31"/>
      <c r="G936" s="43"/>
      <c r="H936" s="2"/>
    </row>
    <row r="937" spans="1:8">
      <c r="A937" s="39">
        <v>5.06104941912985</v>
      </c>
      <c r="B937" s="40">
        <v>9.5</v>
      </c>
      <c r="D937" s="2"/>
      <c r="E937" s="31"/>
      <c r="G937" s="43"/>
      <c r="H937" s="2"/>
    </row>
    <row r="938" spans="1:8">
      <c r="A938" s="39">
        <v>5.06067032023073</v>
      </c>
      <c r="B938" s="40">
        <v>3.7</v>
      </c>
      <c r="D938" s="2"/>
      <c r="E938" s="31"/>
      <c r="G938" s="43"/>
      <c r="H938" s="2"/>
    </row>
    <row r="939" spans="1:8">
      <c r="A939" s="39">
        <v>5.0576027546186</v>
      </c>
      <c r="B939" s="40">
        <v>7</v>
      </c>
      <c r="D939" s="2"/>
      <c r="E939" s="31"/>
      <c r="G939" s="43"/>
      <c r="H939" s="2"/>
    </row>
    <row r="940" spans="1:8">
      <c r="A940" s="39">
        <v>5.05525798116658</v>
      </c>
      <c r="B940" s="40">
        <v>6.5</v>
      </c>
      <c r="D940" s="2"/>
      <c r="E940" s="31"/>
      <c r="G940" s="43"/>
      <c r="H940" s="2"/>
    </row>
    <row r="941" spans="1:8">
      <c r="A941" s="39">
        <v>5.05475346285939</v>
      </c>
      <c r="B941" s="40">
        <v>9.6</v>
      </c>
      <c r="D941" s="2"/>
      <c r="E941" s="31"/>
      <c r="G941" s="43"/>
      <c r="H941" s="2"/>
    </row>
    <row r="942" spans="1:8">
      <c r="A942" s="39">
        <v>5.05475346285939</v>
      </c>
      <c r="B942" s="40">
        <v>1</v>
      </c>
      <c r="D942" s="2"/>
      <c r="E942" s="31"/>
      <c r="G942" s="43"/>
      <c r="H942" s="2"/>
    </row>
    <row r="943" spans="1:8">
      <c r="A943" s="39">
        <v>5.05471983456086</v>
      </c>
      <c r="B943" s="40">
        <v>2.7</v>
      </c>
      <c r="D943" s="2"/>
      <c r="E943" s="31"/>
      <c r="G943" s="43"/>
      <c r="H943" s="2"/>
    </row>
    <row r="944" spans="1:8">
      <c r="A944" s="39">
        <v>5.05385404053504</v>
      </c>
      <c r="B944" s="40">
        <v>9</v>
      </c>
      <c r="D944" s="2"/>
      <c r="E944" s="31"/>
      <c r="G944" s="43"/>
      <c r="H944" s="2"/>
    </row>
    <row r="945" spans="1:8">
      <c r="A945" s="39">
        <v>5.05205519588633</v>
      </c>
      <c r="B945" s="40">
        <v>0</v>
      </c>
      <c r="D945" s="2"/>
      <c r="E945" s="31"/>
      <c r="G945" s="43"/>
      <c r="H945" s="2"/>
    </row>
    <row r="946" spans="1:8">
      <c r="A946" s="39">
        <v>5.0511692898198</v>
      </c>
      <c r="B946" s="40">
        <v>3.9</v>
      </c>
      <c r="D946" s="2"/>
      <c r="E946" s="31"/>
      <c r="G946" s="43"/>
      <c r="H946" s="2"/>
    </row>
    <row r="947" spans="1:8">
      <c r="A947" s="39">
        <v>5.05035155155044</v>
      </c>
      <c r="B947" s="40">
        <v>2.8</v>
      </c>
      <c r="D947" s="2"/>
      <c r="E947" s="31"/>
      <c r="G947" s="43"/>
      <c r="H947" s="2"/>
    </row>
    <row r="948" spans="1:8">
      <c r="A948" s="39">
        <v>5.04708059847301</v>
      </c>
      <c r="B948" s="40">
        <v>3.9</v>
      </c>
      <c r="D948" s="2"/>
      <c r="E948" s="31"/>
      <c r="G948" s="43"/>
      <c r="H948" s="2"/>
    </row>
    <row r="949" spans="1:8">
      <c r="A949" s="39">
        <v>5.04708059847301</v>
      </c>
      <c r="B949" s="40">
        <v>6.8</v>
      </c>
      <c r="D949" s="2"/>
      <c r="E949" s="31"/>
      <c r="G949" s="43"/>
      <c r="H949" s="2"/>
    </row>
    <row r="950" spans="1:8">
      <c r="A950" s="39">
        <v>5.04703204774024</v>
      </c>
      <c r="B950" s="40">
        <v>0</v>
      </c>
      <c r="D950" s="2"/>
      <c r="E950" s="31"/>
      <c r="G950" s="43"/>
      <c r="H950" s="2"/>
    </row>
    <row r="951" spans="1:8">
      <c r="A951" s="39">
        <v>5.04626286020365</v>
      </c>
      <c r="B951" s="40">
        <v>9.7</v>
      </c>
      <c r="D951" s="2"/>
      <c r="E951" s="31"/>
      <c r="G951" s="43"/>
      <c r="H951" s="2"/>
    </row>
    <row r="952" spans="1:8">
      <c r="A952" s="39">
        <v>5.04394428736072</v>
      </c>
      <c r="B952" s="40">
        <v>5.4</v>
      </c>
      <c r="D952" s="2"/>
      <c r="E952" s="31"/>
      <c r="G952" s="43"/>
      <c r="H952" s="2"/>
    </row>
    <row r="953" spans="1:8">
      <c r="A953" s="39">
        <v>5.04216155031846</v>
      </c>
      <c r="B953" s="40">
        <v>5.5</v>
      </c>
      <c r="D953" s="2"/>
      <c r="E953" s="31"/>
      <c r="G953" s="43"/>
      <c r="H953" s="2"/>
    </row>
    <row r="954" spans="1:8">
      <c r="A954" s="39">
        <v>5.0394632833454</v>
      </c>
      <c r="B954" s="40">
        <v>10.4</v>
      </c>
      <c r="D954" s="2"/>
      <c r="E954" s="31"/>
      <c r="G954" s="43"/>
      <c r="H954" s="2"/>
    </row>
    <row r="955" spans="1:8">
      <c r="A955" s="39">
        <v>5.03890321577944</v>
      </c>
      <c r="B955" s="40">
        <v>6.4</v>
      </c>
      <c r="D955" s="2"/>
      <c r="E955" s="31"/>
      <c r="G955" s="43"/>
      <c r="H955" s="2"/>
    </row>
    <row r="956" spans="1:8">
      <c r="A956" s="39">
        <v>5.03856386102105</v>
      </c>
      <c r="B956" s="40">
        <v>11.4</v>
      </c>
      <c r="D956" s="2"/>
      <c r="E956" s="31"/>
      <c r="G956" s="43"/>
      <c r="H956" s="2"/>
    </row>
    <row r="957" spans="1:8">
      <c r="A957" s="39">
        <v>5.03742231421446</v>
      </c>
      <c r="B957" s="40">
        <v>1</v>
      </c>
      <c r="D957" s="2"/>
      <c r="E957" s="31"/>
      <c r="G957" s="43"/>
      <c r="H957" s="2"/>
    </row>
    <row r="958" spans="1:8">
      <c r="A958" s="39">
        <v>5.03742231421446</v>
      </c>
      <c r="B958" s="40">
        <v>0</v>
      </c>
      <c r="D958" s="2"/>
      <c r="E958" s="31"/>
      <c r="G958" s="43"/>
      <c r="H958" s="2"/>
    </row>
    <row r="959" spans="1:8">
      <c r="A959" s="39">
        <v>5.03742231421446</v>
      </c>
      <c r="B959" s="40">
        <v>6</v>
      </c>
      <c r="D959" s="2"/>
      <c r="E959" s="31"/>
      <c r="G959" s="43"/>
      <c r="H959" s="2"/>
    </row>
    <row r="960" spans="1:8">
      <c r="A960" s="39">
        <v>5.0355003675093</v>
      </c>
      <c r="B960" s="40">
        <v>9.9</v>
      </c>
      <c r="D960" s="2"/>
      <c r="E960" s="31"/>
      <c r="G960" s="43"/>
      <c r="H960" s="2"/>
    </row>
    <row r="961" spans="1:8">
      <c r="A961" s="39">
        <v>5.03453589387134</v>
      </c>
      <c r="B961" s="40">
        <v>8.5</v>
      </c>
      <c r="D961" s="2"/>
      <c r="E961" s="31"/>
      <c r="G961" s="43"/>
      <c r="H961" s="2"/>
    </row>
    <row r="962" spans="1:8">
      <c r="A962" s="39">
        <v>5.03406674939929</v>
      </c>
      <c r="B962" s="40">
        <v>9.5</v>
      </c>
      <c r="D962" s="2"/>
      <c r="E962" s="31"/>
      <c r="G962" s="43"/>
      <c r="H962" s="2"/>
    </row>
    <row r="963" spans="1:8">
      <c r="A963" s="39">
        <v>5.03357842080415</v>
      </c>
      <c r="B963" s="40">
        <v>0</v>
      </c>
      <c r="D963" s="2"/>
      <c r="E963" s="31"/>
      <c r="G963" s="43"/>
      <c r="H963" s="2"/>
    </row>
    <row r="964" spans="1:8">
      <c r="A964" s="39">
        <v>5.03349051681697</v>
      </c>
      <c r="B964" s="40">
        <v>2</v>
      </c>
      <c r="D964" s="2"/>
      <c r="E964" s="31"/>
      <c r="G964" s="43"/>
      <c r="H964" s="2"/>
    </row>
    <row r="965" spans="1:8">
      <c r="A965" s="39">
        <v>5.03226790475058</v>
      </c>
      <c r="B965" s="40">
        <v>5</v>
      </c>
      <c r="D965" s="2"/>
      <c r="E965" s="31"/>
      <c r="G965" s="43"/>
      <c r="H965" s="2"/>
    </row>
    <row r="966" spans="1:8">
      <c r="A966" s="39">
        <v>5.03226790475058</v>
      </c>
      <c r="B966" s="40">
        <v>5.8</v>
      </c>
      <c r="D966" s="2"/>
      <c r="E966" s="31"/>
      <c r="G966" s="43"/>
      <c r="H966" s="2"/>
    </row>
    <row r="967" spans="1:8">
      <c r="A967" s="39">
        <v>5.03072583308586</v>
      </c>
      <c r="B967" s="40">
        <v>3.6</v>
      </c>
      <c r="D967" s="2"/>
      <c r="E967" s="31"/>
      <c r="G967" s="43"/>
      <c r="H967" s="2"/>
    </row>
    <row r="968" spans="1:8">
      <c r="A968" s="39">
        <v>5.03046906010188</v>
      </c>
      <c r="B968" s="40">
        <v>3.7</v>
      </c>
      <c r="D968" s="2"/>
      <c r="E968" s="31"/>
      <c r="G968" s="43"/>
      <c r="H968" s="2"/>
    </row>
    <row r="969" spans="1:8">
      <c r="A969" s="39">
        <v>5.03035438565384</v>
      </c>
      <c r="B969" s="40">
        <v>3.5</v>
      </c>
      <c r="D969" s="2"/>
      <c r="E969" s="31"/>
      <c r="G969" s="43"/>
      <c r="H969" s="2"/>
    </row>
    <row r="970" spans="1:8">
      <c r="A970" s="39">
        <v>5.02781258068868</v>
      </c>
      <c r="B970" s="40">
        <v>1.525</v>
      </c>
      <c r="D970" s="2"/>
      <c r="E970" s="31"/>
      <c r="G970" s="43"/>
      <c r="H970" s="2"/>
    </row>
    <row r="971" spans="1:8">
      <c r="A971" s="39">
        <v>5.02777079312882</v>
      </c>
      <c r="B971" s="40">
        <v>12.8</v>
      </c>
      <c r="D971" s="2"/>
      <c r="E971" s="31"/>
      <c r="G971" s="43"/>
      <c r="H971" s="2"/>
    </row>
    <row r="972" spans="1:8">
      <c r="A972" s="39">
        <v>5.02777079312882</v>
      </c>
      <c r="B972" s="40">
        <v>13</v>
      </c>
      <c r="D972" s="2"/>
      <c r="E972" s="31"/>
      <c r="G972" s="43"/>
      <c r="H972" s="2"/>
    </row>
    <row r="973" spans="1:8">
      <c r="A973" s="39">
        <v>5.02777079312882</v>
      </c>
      <c r="B973" s="40">
        <v>10</v>
      </c>
      <c r="D973" s="2"/>
      <c r="E973" s="31"/>
      <c r="G973" s="43"/>
      <c r="H973" s="2"/>
    </row>
    <row r="974" spans="1:8">
      <c r="A974" s="39">
        <v>5.02512750038197</v>
      </c>
      <c r="B974" s="40">
        <v>5.5</v>
      </c>
      <c r="D974" s="2"/>
      <c r="E974" s="31"/>
      <c r="G974" s="43"/>
      <c r="H974" s="2"/>
    </row>
    <row r="975" spans="1:8">
      <c r="A975" s="39">
        <v>5.02408212332759</v>
      </c>
      <c r="B975" s="40">
        <v>7.9</v>
      </c>
      <c r="D975" s="2"/>
      <c r="E975" s="31"/>
      <c r="G975" s="43"/>
      <c r="H975" s="2"/>
    </row>
    <row r="976" spans="1:8">
      <c r="A976" s="39">
        <v>5.02300771392579</v>
      </c>
      <c r="B976" s="40">
        <v>0</v>
      </c>
      <c r="D976" s="2"/>
      <c r="E976" s="31"/>
      <c r="G976" s="43"/>
      <c r="H976" s="2"/>
    </row>
    <row r="977" spans="1:8">
      <c r="A977" s="39">
        <v>5.02254845039229</v>
      </c>
      <c r="B977" s="40">
        <v>5.2</v>
      </c>
      <c r="D977" s="2"/>
      <c r="E977" s="31"/>
      <c r="G977" s="43"/>
      <c r="H977" s="2"/>
    </row>
    <row r="978" spans="1:8">
      <c r="A978" s="39">
        <v>5.02204674057321</v>
      </c>
      <c r="B978" s="40">
        <v>0</v>
      </c>
      <c r="D978" s="2"/>
      <c r="E978" s="31"/>
      <c r="G978" s="43"/>
      <c r="H978" s="2"/>
    </row>
    <row r="979" spans="1:8">
      <c r="A979" s="39">
        <v>5.02173071212293</v>
      </c>
      <c r="B979" s="40">
        <v>14.1</v>
      </c>
      <c r="D979" s="2"/>
      <c r="E979" s="31"/>
      <c r="G979" s="43"/>
      <c r="H979" s="2"/>
    </row>
    <row r="980" spans="1:8">
      <c r="A980" s="39">
        <v>5.02057541453401</v>
      </c>
      <c r="B980" s="40">
        <v>10</v>
      </c>
      <c r="D980" s="2"/>
      <c r="E980" s="31"/>
      <c r="G980" s="43"/>
      <c r="H980" s="2"/>
    </row>
    <row r="981" spans="1:8">
      <c r="A981" s="39">
        <v>5.01990061511009</v>
      </c>
      <c r="B981" s="40">
        <v>3</v>
      </c>
      <c r="D981" s="2"/>
      <c r="E981" s="31"/>
      <c r="G981" s="43"/>
      <c r="H981" s="2"/>
    </row>
    <row r="982" spans="1:8">
      <c r="A982" s="39">
        <v>5.01885523805571</v>
      </c>
      <c r="B982" s="40">
        <v>5.6</v>
      </c>
      <c r="D982" s="2"/>
      <c r="E982" s="31"/>
      <c r="G982" s="43"/>
      <c r="H982" s="2"/>
    </row>
    <row r="983" spans="1:8">
      <c r="A983" s="39">
        <v>5.01628090045774</v>
      </c>
      <c r="B983" s="40">
        <v>2</v>
      </c>
      <c r="D983" s="2"/>
      <c r="E983" s="31"/>
      <c r="G983" s="43"/>
      <c r="H983" s="2"/>
    </row>
    <row r="984" spans="1:8">
      <c r="A984" s="39">
        <v>5.01467372983822</v>
      </c>
      <c r="B984" s="40">
        <v>5.4</v>
      </c>
      <c r="D984" s="2"/>
      <c r="E984" s="31"/>
      <c r="G984" s="43"/>
      <c r="H984" s="2"/>
    </row>
    <row r="985" spans="1:8">
      <c r="A985" s="39">
        <v>5.01467372983822</v>
      </c>
      <c r="B985" s="40">
        <v>5.5</v>
      </c>
      <c r="D985" s="2"/>
      <c r="E985" s="31"/>
      <c r="G985" s="43"/>
      <c r="H985" s="2"/>
    </row>
    <row r="986" spans="1:8">
      <c r="A986" s="39">
        <v>5.01437106769872</v>
      </c>
      <c r="B986" s="40">
        <v>7.3</v>
      </c>
      <c r="D986" s="2"/>
      <c r="E986" s="31"/>
      <c r="G986" s="43"/>
      <c r="H986" s="2"/>
    </row>
    <row r="987" spans="1:8">
      <c r="A987" s="39">
        <v>5.01435895375258</v>
      </c>
      <c r="B987" s="40">
        <v>1.3</v>
      </c>
      <c r="D987" s="2"/>
      <c r="E987" s="31"/>
      <c r="G987" s="43"/>
      <c r="H987" s="2"/>
    </row>
    <row r="988" spans="1:8">
      <c r="A988" s="39">
        <v>5.01362835278384</v>
      </c>
      <c r="B988" s="40">
        <v>2</v>
      </c>
      <c r="D988" s="2"/>
      <c r="E988" s="31"/>
      <c r="G988" s="43"/>
      <c r="H988" s="2"/>
    </row>
    <row r="989" spans="1:8">
      <c r="A989" s="39">
        <v>5.01258297572946</v>
      </c>
      <c r="B989" s="40">
        <v>7.9</v>
      </c>
      <c r="D989" s="2"/>
      <c r="E989" s="31"/>
      <c r="G989" s="43"/>
      <c r="H989" s="2"/>
    </row>
    <row r="990" spans="1:8">
      <c r="A990" s="39">
        <v>5.01258297572946</v>
      </c>
      <c r="B990" s="40">
        <v>11.7</v>
      </c>
      <c r="D990" s="2"/>
      <c r="E990" s="31"/>
      <c r="G990" s="43"/>
      <c r="H990" s="2"/>
    </row>
    <row r="991" spans="1:8">
      <c r="A991" s="39">
        <v>5.01147603369485</v>
      </c>
      <c r="B991" s="40">
        <v>1.5</v>
      </c>
      <c r="D991" s="2"/>
      <c r="E991" s="31"/>
      <c r="G991" s="43"/>
      <c r="H991" s="2"/>
    </row>
    <row r="992" spans="1:8">
      <c r="A992" s="39">
        <v>5.01110011462129</v>
      </c>
      <c r="B992" s="40">
        <v>4.9</v>
      </c>
      <c r="D992" s="2"/>
      <c r="E992" s="31"/>
      <c r="G992" s="43"/>
      <c r="H992" s="2"/>
    </row>
    <row r="993" spans="1:8">
      <c r="A993" s="39">
        <v>5.00955408698969</v>
      </c>
      <c r="B993" s="40">
        <v>7.5</v>
      </c>
      <c r="D993" s="2"/>
      <c r="E993" s="31"/>
      <c r="G993" s="43"/>
      <c r="H993" s="2"/>
    </row>
    <row r="994" spans="1:8">
      <c r="A994" s="39">
        <v>5.00955408698969</v>
      </c>
      <c r="B994" s="40">
        <v>5.5</v>
      </c>
      <c r="D994" s="2"/>
      <c r="E994" s="31"/>
      <c r="G994" s="43"/>
      <c r="H994" s="2"/>
    </row>
    <row r="995" spans="1:8">
      <c r="A995" s="39">
        <v>5.00859311363711</v>
      </c>
      <c r="B995" s="40">
        <v>6.4</v>
      </c>
      <c r="D995" s="2"/>
      <c r="E995" s="31"/>
      <c r="G995" s="43"/>
      <c r="H995" s="2"/>
    </row>
    <row r="996" spans="1:8">
      <c r="A996" s="39">
        <v>5.00708407966872</v>
      </c>
      <c r="B996" s="40">
        <v>0</v>
      </c>
      <c r="D996" s="2"/>
      <c r="E996" s="31"/>
      <c r="G996" s="43"/>
      <c r="H996" s="2"/>
    </row>
    <row r="997" spans="1:8">
      <c r="A997" s="39">
        <v>5.00667116693196</v>
      </c>
      <c r="B997" s="40">
        <v>5.2</v>
      </c>
      <c r="D997" s="2"/>
      <c r="E997" s="31"/>
      <c r="G997" s="43"/>
      <c r="H997" s="2"/>
    </row>
    <row r="998" spans="1:8">
      <c r="A998" s="39">
        <v>5.00667116693196</v>
      </c>
      <c r="B998" s="40">
        <v>8.6</v>
      </c>
      <c r="D998" s="2"/>
      <c r="E998" s="31"/>
      <c r="G998" s="43"/>
      <c r="H998" s="2"/>
    </row>
    <row r="999" spans="1:8">
      <c r="A999" s="39">
        <v>5.00537594673579</v>
      </c>
      <c r="B999" s="40">
        <v>5</v>
      </c>
      <c r="D999" s="2"/>
      <c r="E999" s="31"/>
      <c r="G999" s="43"/>
      <c r="H999" s="2"/>
    </row>
    <row r="1000" spans="1:8">
      <c r="A1000" s="39">
        <v>5.00421995929446</v>
      </c>
      <c r="B1000" s="40">
        <v>5.2</v>
      </c>
      <c r="D1000" s="2"/>
      <c r="E1000" s="31"/>
      <c r="G1000" s="43"/>
      <c r="H1000" s="2"/>
    </row>
    <row r="1001" spans="1:8">
      <c r="A1001" s="39">
        <v>5.00348639037131</v>
      </c>
      <c r="B1001" s="40">
        <v>7.8</v>
      </c>
      <c r="D1001" s="2"/>
      <c r="E1001" s="31"/>
      <c r="G1001" s="43"/>
      <c r="H1001" s="2"/>
    </row>
    <row r="1002" spans="1:8">
      <c r="A1002" s="39">
        <v>5.00258696804696</v>
      </c>
      <c r="B1002" s="40">
        <v>6.5</v>
      </c>
      <c r="D1002" s="2"/>
      <c r="E1002" s="31"/>
      <c r="G1002" s="43"/>
      <c r="H1002" s="2"/>
    </row>
    <row r="1003" spans="1:8">
      <c r="A1003" s="39">
        <v>5.00258696804696</v>
      </c>
      <c r="B1003" s="40">
        <v>4.9</v>
      </c>
      <c r="D1003" s="2"/>
      <c r="E1003" s="31"/>
      <c r="G1003" s="43"/>
      <c r="H1003" s="2"/>
    </row>
    <row r="1004" spans="1:8">
      <c r="A1004" s="39">
        <v>4.9980898564252</v>
      </c>
      <c r="B1004" s="40">
        <v>8.6</v>
      </c>
      <c r="D1004" s="2"/>
      <c r="E1004" s="31"/>
      <c r="G1004" s="43"/>
      <c r="H1004" s="2"/>
    </row>
    <row r="1005" spans="1:8">
      <c r="A1005" s="39">
        <v>4.99801630231157</v>
      </c>
      <c r="B1005" s="40">
        <v>6.1</v>
      </c>
      <c r="D1005" s="2"/>
      <c r="E1005" s="31"/>
      <c r="G1005" s="43"/>
      <c r="H1005" s="2"/>
    </row>
    <row r="1006" spans="1:8">
      <c r="A1006" s="39">
        <v>4.99801630231157</v>
      </c>
      <c r="B1006" s="40">
        <v>4.5</v>
      </c>
      <c r="D1006" s="2"/>
      <c r="E1006" s="31"/>
      <c r="G1006" s="43"/>
      <c r="H1006" s="2"/>
    </row>
    <row r="1007" spans="1:8">
      <c r="A1007" s="39">
        <v>4.99794769696821</v>
      </c>
      <c r="B1007" s="40">
        <v>5.9</v>
      </c>
      <c r="D1007" s="2"/>
      <c r="E1007" s="31"/>
      <c r="G1007" s="43"/>
      <c r="H1007" s="2"/>
    </row>
    <row r="1008" spans="1:8">
      <c r="A1008" s="39">
        <v>4.9961004600536</v>
      </c>
      <c r="B1008" s="40">
        <v>7.2</v>
      </c>
      <c r="D1008" s="2"/>
      <c r="E1008" s="31"/>
      <c r="G1008" s="43"/>
      <c r="H1008" s="2"/>
    </row>
    <row r="1009" spans="1:8">
      <c r="A1009" s="39">
        <v>4.99417851334844</v>
      </c>
      <c r="B1009" s="40">
        <v>1.3</v>
      </c>
      <c r="D1009" s="2"/>
      <c r="E1009" s="31"/>
      <c r="G1009" s="43"/>
      <c r="H1009" s="2"/>
    </row>
    <row r="1010" spans="1:8">
      <c r="A1010" s="39">
        <v>4.99392761096479</v>
      </c>
      <c r="B1010" s="40">
        <v>8.7</v>
      </c>
      <c r="D1010" s="2"/>
      <c r="E1010" s="31"/>
      <c r="G1010" s="43"/>
      <c r="H1010" s="2"/>
    </row>
    <row r="1011" spans="1:8">
      <c r="A1011" s="39">
        <v>4.99392761096479</v>
      </c>
      <c r="B1011" s="40">
        <v>0</v>
      </c>
      <c r="D1011" s="2"/>
      <c r="E1011" s="31"/>
      <c r="G1011" s="43"/>
      <c r="H1011" s="2"/>
    </row>
    <row r="1012" spans="1:8">
      <c r="A1012" s="39">
        <v>4.99376618875071</v>
      </c>
      <c r="B1012" s="40">
        <v>6.2</v>
      </c>
      <c r="D1012" s="2"/>
      <c r="E1012" s="31"/>
      <c r="G1012" s="43"/>
      <c r="H1012" s="2"/>
    </row>
    <row r="1013" spans="1:8">
      <c r="A1013" s="39">
        <v>4.99359274480344</v>
      </c>
      <c r="B1013" s="40">
        <v>12</v>
      </c>
      <c r="D1013" s="2"/>
      <c r="E1013" s="31"/>
      <c r="G1013" s="43"/>
      <c r="H1013" s="2"/>
    </row>
    <row r="1014" spans="1:8">
      <c r="A1014" s="39">
        <v>4.99089447783038</v>
      </c>
      <c r="B1014" s="40">
        <v>10.1</v>
      </c>
      <c r="D1014" s="2"/>
      <c r="E1014" s="31"/>
      <c r="G1014" s="43"/>
      <c r="H1014" s="2"/>
    </row>
    <row r="1015" spans="1:8">
      <c r="A1015" s="39">
        <v>4.989838919618</v>
      </c>
      <c r="B1015" s="40">
        <v>5.5</v>
      </c>
      <c r="D1015" s="2"/>
      <c r="E1015" s="31"/>
      <c r="G1015" s="43"/>
      <c r="H1015" s="2"/>
    </row>
    <row r="1016" spans="1:8">
      <c r="A1016" s="39">
        <v>4.989838919618</v>
      </c>
      <c r="B1016" s="40">
        <v>6.9</v>
      </c>
      <c r="D1016" s="2"/>
      <c r="E1016" s="31"/>
      <c r="G1016" s="43"/>
      <c r="H1016" s="2"/>
    </row>
    <row r="1017" spans="1:8">
      <c r="A1017" s="39">
        <v>4.98937364658555</v>
      </c>
      <c r="B1017" s="40">
        <v>1.7</v>
      </c>
      <c r="D1017" s="2"/>
      <c r="E1017" s="31"/>
      <c r="G1017" s="43"/>
      <c r="H1017" s="2"/>
    </row>
    <row r="1018" spans="1:8">
      <c r="A1018" s="39">
        <v>4.98909563318168</v>
      </c>
      <c r="B1018" s="40">
        <v>1</v>
      </c>
      <c r="D1018" s="2"/>
      <c r="E1018" s="31"/>
      <c r="G1018" s="43"/>
      <c r="H1018" s="2"/>
    </row>
    <row r="1019" spans="1:8">
      <c r="A1019" s="39">
        <v>4.98909563318168</v>
      </c>
      <c r="B1019" s="40">
        <v>4.5</v>
      </c>
      <c r="D1019" s="2"/>
      <c r="E1019" s="31"/>
      <c r="G1019" s="43"/>
      <c r="H1019" s="2"/>
    </row>
    <row r="1020" spans="1:8">
      <c r="A1020" s="39">
        <v>4.98793218655669</v>
      </c>
      <c r="B1020" s="40">
        <v>2.2</v>
      </c>
      <c r="D1020" s="2"/>
      <c r="E1020" s="31"/>
      <c r="G1020" s="43"/>
      <c r="H1020" s="2"/>
    </row>
    <row r="1021" spans="1:8">
      <c r="A1021" s="39">
        <v>4.9874516998804</v>
      </c>
      <c r="B1021" s="40">
        <v>1</v>
      </c>
      <c r="D1021" s="2"/>
      <c r="E1021" s="31"/>
      <c r="G1021" s="43"/>
      <c r="H1021" s="2"/>
    </row>
    <row r="1022" spans="1:8">
      <c r="A1022" s="39">
        <v>4.98656796654057</v>
      </c>
      <c r="B1022" s="40">
        <v>5.3</v>
      </c>
      <c r="D1022" s="2"/>
      <c r="E1022" s="31"/>
      <c r="G1022" s="43"/>
      <c r="H1022" s="2"/>
    </row>
    <row r="1023" spans="1:8">
      <c r="A1023" s="39">
        <v>4.98656796654057</v>
      </c>
      <c r="B1023" s="40">
        <v>9</v>
      </c>
      <c r="D1023" s="2"/>
      <c r="E1023" s="31"/>
      <c r="G1023" s="43"/>
      <c r="H1023" s="2"/>
    </row>
    <row r="1024" spans="1:8">
      <c r="A1024" s="39">
        <v>4.98644854937008</v>
      </c>
      <c r="B1024" s="40">
        <v>4.5</v>
      </c>
      <c r="D1024" s="2"/>
      <c r="E1024" s="31"/>
      <c r="G1024" s="43"/>
      <c r="H1024" s="2"/>
    </row>
    <row r="1025" spans="1:8">
      <c r="A1025" s="39">
        <v>4.98575022827122</v>
      </c>
      <c r="B1025" s="40">
        <v>6.8</v>
      </c>
      <c r="D1025" s="2"/>
      <c r="E1025" s="31"/>
      <c r="G1025" s="43"/>
      <c r="H1025" s="2"/>
    </row>
    <row r="1026" spans="1:8">
      <c r="A1026" s="39">
        <v>4.98459852155992</v>
      </c>
      <c r="B1026" s="40">
        <v>8.5</v>
      </c>
      <c r="D1026" s="2"/>
      <c r="E1026" s="31"/>
      <c r="G1026" s="43"/>
      <c r="H1026" s="2"/>
    </row>
    <row r="1027" spans="1:8">
      <c r="A1027" s="39">
        <v>4.98360780647008</v>
      </c>
      <c r="B1027" s="40">
        <v>0</v>
      </c>
      <c r="D1027" s="2"/>
      <c r="E1027" s="31"/>
      <c r="G1027" s="43"/>
      <c r="H1027" s="2"/>
    </row>
    <row r="1028" spans="1:8">
      <c r="A1028" s="39">
        <v>4.98279967691121</v>
      </c>
      <c r="B1028" s="40">
        <v>9</v>
      </c>
      <c r="D1028" s="2"/>
      <c r="E1028" s="31"/>
      <c r="G1028" s="43"/>
      <c r="H1028" s="2"/>
    </row>
    <row r="1029" spans="1:8">
      <c r="A1029" s="39">
        <v>4.9826468331175</v>
      </c>
      <c r="B1029" s="40">
        <v>5</v>
      </c>
      <c r="D1029" s="2"/>
      <c r="E1029" s="31"/>
      <c r="G1029" s="43"/>
      <c r="H1029" s="2"/>
    </row>
    <row r="1030" spans="1:8">
      <c r="A1030" s="39">
        <v>4.98166153692443</v>
      </c>
      <c r="B1030" s="40">
        <v>2</v>
      </c>
      <c r="D1030" s="2"/>
      <c r="E1030" s="31"/>
      <c r="G1030" s="43"/>
      <c r="H1030" s="2"/>
    </row>
    <row r="1031" spans="1:8">
      <c r="A1031" s="39">
        <v>4.98166153692443</v>
      </c>
      <c r="B1031" s="40">
        <v>5</v>
      </c>
      <c r="D1031" s="2"/>
      <c r="E1031" s="31"/>
      <c r="G1031" s="43"/>
      <c r="H1031" s="2"/>
    </row>
    <row r="1032" spans="1:8">
      <c r="A1032" s="39">
        <v>4.98010140993816</v>
      </c>
      <c r="B1032" s="40">
        <v>6</v>
      </c>
      <c r="D1032" s="2"/>
      <c r="E1032" s="31"/>
      <c r="G1032" s="43"/>
      <c r="H1032" s="2"/>
    </row>
    <row r="1033" spans="1:8">
      <c r="A1033" s="39">
        <v>4.97976391305977</v>
      </c>
      <c r="B1033" s="40">
        <v>5</v>
      </c>
      <c r="D1033" s="2"/>
      <c r="E1033" s="31"/>
      <c r="G1033" s="43"/>
      <c r="H1033" s="2"/>
    </row>
    <row r="1034" spans="1:8">
      <c r="A1034" s="39">
        <v>4.97976391305977</v>
      </c>
      <c r="B1034" s="40">
        <v>6.4</v>
      </c>
      <c r="D1034" s="2"/>
      <c r="E1034" s="31"/>
      <c r="G1034" s="43"/>
      <c r="H1034" s="2"/>
    </row>
    <row r="1035" spans="1:8">
      <c r="A1035" s="39">
        <v>4.97688099300204</v>
      </c>
      <c r="B1035" s="40">
        <v>5.7</v>
      </c>
      <c r="D1035" s="2"/>
      <c r="E1035" s="31"/>
      <c r="G1035" s="43"/>
      <c r="H1035" s="2"/>
    </row>
    <row r="1036" spans="1:8">
      <c r="A1036" s="39">
        <v>4.97599477882633</v>
      </c>
      <c r="B1036" s="40">
        <v>2</v>
      </c>
      <c r="D1036" s="2"/>
      <c r="E1036" s="31"/>
      <c r="G1036" s="43"/>
      <c r="H1036" s="2"/>
    </row>
    <row r="1037" spans="1:8">
      <c r="A1037" s="39">
        <v>4.97348415423086</v>
      </c>
      <c r="B1037" s="40">
        <v>5.2</v>
      </c>
      <c r="D1037" s="2"/>
      <c r="E1037" s="31"/>
      <c r="G1037" s="43"/>
      <c r="H1037" s="2"/>
    </row>
    <row r="1038" spans="1:8">
      <c r="A1038" s="39">
        <v>4.97348415423086</v>
      </c>
      <c r="B1038" s="40">
        <v>3.5</v>
      </c>
      <c r="D1038" s="2"/>
      <c r="E1038" s="31"/>
      <c r="G1038" s="43"/>
      <c r="H1038" s="2"/>
    </row>
    <row r="1039" spans="1:8">
      <c r="A1039" s="39">
        <v>4.97076789355445</v>
      </c>
      <c r="B1039" s="40">
        <v>3</v>
      </c>
      <c r="D1039" s="2"/>
      <c r="E1039" s="31"/>
      <c r="G1039" s="43"/>
      <c r="H1039" s="2"/>
    </row>
    <row r="1040" spans="1:8">
      <c r="A1040" s="39">
        <v>4.97076789355445</v>
      </c>
      <c r="B1040" s="40">
        <v>0.1</v>
      </c>
      <c r="D1040" s="2"/>
      <c r="E1040" s="31"/>
      <c r="G1040" s="43"/>
      <c r="H1040" s="2"/>
    </row>
    <row r="1041" spans="1:8">
      <c r="A1041" s="39">
        <v>4.96775998634536</v>
      </c>
      <c r="B1041" s="40">
        <v>9.4</v>
      </c>
      <c r="D1041" s="2"/>
      <c r="E1041" s="31"/>
      <c r="G1041" s="43"/>
      <c r="H1041" s="2"/>
    </row>
    <row r="1042" spans="1:8">
      <c r="A1042" s="39">
        <v>4.96763176239133</v>
      </c>
      <c r="B1042" s="40">
        <v>7.5</v>
      </c>
      <c r="D1042" s="2"/>
      <c r="E1042" s="31"/>
      <c r="G1042" s="43"/>
      <c r="H1042" s="2"/>
    </row>
    <row r="1043" spans="1:8">
      <c r="A1043" s="39">
        <v>4.96763176239133</v>
      </c>
      <c r="B1043" s="40">
        <v>5.7</v>
      </c>
      <c r="D1043" s="2"/>
      <c r="E1043" s="31"/>
      <c r="G1043" s="43"/>
      <c r="H1043" s="2"/>
    </row>
    <row r="1044" spans="1:8">
      <c r="A1044" s="39">
        <v>4.96750949739723</v>
      </c>
      <c r="B1044" s="40">
        <v>3.1</v>
      </c>
      <c r="D1044" s="2"/>
      <c r="E1044" s="31"/>
      <c r="G1044" s="43"/>
      <c r="H1044" s="2"/>
    </row>
    <row r="1045" spans="1:8">
      <c r="A1045" s="39">
        <v>4.96530677153728</v>
      </c>
      <c r="B1045" s="40">
        <v>5.8</v>
      </c>
      <c r="D1045" s="2"/>
      <c r="E1045" s="31"/>
      <c r="G1045" s="43"/>
      <c r="H1045" s="2"/>
    </row>
    <row r="1046" spans="1:8">
      <c r="A1046" s="39">
        <v>4.96530677153728</v>
      </c>
      <c r="B1046" s="40">
        <v>5.1</v>
      </c>
      <c r="D1046" s="2"/>
      <c r="E1046" s="31"/>
      <c r="G1046" s="43"/>
      <c r="H1046" s="2"/>
    </row>
    <row r="1047" spans="1:8">
      <c r="A1047" s="39">
        <v>4.96530677153728</v>
      </c>
      <c r="B1047" s="40">
        <v>3.7</v>
      </c>
      <c r="D1047" s="2"/>
      <c r="E1047" s="31"/>
      <c r="G1047" s="43"/>
      <c r="H1047" s="2"/>
    </row>
    <row r="1048" spans="1:8">
      <c r="A1048" s="39">
        <v>4.96211296345111</v>
      </c>
      <c r="B1048" s="40">
        <v>6.5</v>
      </c>
      <c r="D1048" s="2"/>
      <c r="E1048" s="31"/>
      <c r="G1048" s="43"/>
      <c r="H1048" s="2"/>
    </row>
    <row r="1049" spans="1:8">
      <c r="A1049" s="39">
        <v>4.96031411880241</v>
      </c>
      <c r="B1049" s="40">
        <v>9</v>
      </c>
      <c r="D1049" s="2"/>
      <c r="E1049" s="31"/>
      <c r="G1049" s="43"/>
      <c r="H1049" s="2"/>
    </row>
    <row r="1050" spans="1:8">
      <c r="A1050" s="39">
        <v>4.95717799184758</v>
      </c>
      <c r="B1050" s="40">
        <v>5.4</v>
      </c>
      <c r="D1050" s="2"/>
      <c r="E1050" s="31"/>
      <c r="G1050" s="43"/>
      <c r="H1050" s="2"/>
    </row>
    <row r="1051" spans="1:8">
      <c r="A1051" s="39">
        <v>4.95311874020759</v>
      </c>
      <c r="B1051" s="40">
        <v>11</v>
      </c>
      <c r="D1051" s="2"/>
      <c r="E1051" s="31"/>
      <c r="G1051" s="43"/>
      <c r="H1051" s="2"/>
    </row>
    <row r="1052" spans="1:8">
      <c r="A1052" s="39">
        <v>4.95304069749692</v>
      </c>
      <c r="B1052" s="40">
        <v>5</v>
      </c>
      <c r="D1052" s="2"/>
      <c r="E1052" s="31"/>
      <c r="G1052" s="43"/>
      <c r="H1052" s="2"/>
    </row>
    <row r="1053" spans="1:8">
      <c r="A1053" s="39">
        <v>4.95304069749692</v>
      </c>
      <c r="B1053" s="40">
        <v>7</v>
      </c>
      <c r="D1053" s="2"/>
      <c r="E1053" s="31"/>
      <c r="G1053" s="43"/>
      <c r="H1053" s="2"/>
    </row>
    <row r="1054" spans="1:8">
      <c r="A1054" s="39">
        <v>4.95304069749692</v>
      </c>
      <c r="B1054" s="40">
        <v>9</v>
      </c>
      <c r="D1054" s="2"/>
      <c r="E1054" s="31"/>
      <c r="G1054" s="43"/>
      <c r="H1054" s="2"/>
    </row>
    <row r="1055" spans="1:8">
      <c r="A1055" s="39">
        <v>4.95222295922757</v>
      </c>
      <c r="B1055" s="40">
        <v>3.4</v>
      </c>
      <c r="D1055" s="2"/>
      <c r="E1055" s="31"/>
      <c r="G1055" s="43"/>
      <c r="H1055" s="2"/>
    </row>
    <row r="1056" spans="1:8">
      <c r="A1056" s="39">
        <v>4.9519511065757</v>
      </c>
      <c r="B1056" s="40">
        <v>5.6</v>
      </c>
      <c r="D1056" s="2"/>
      <c r="E1056" s="31"/>
      <c r="G1056" s="43"/>
      <c r="H1056" s="2"/>
    </row>
    <row r="1057" spans="1:8">
      <c r="A1057" s="39">
        <v>4.9519511065757</v>
      </c>
      <c r="B1057" s="40">
        <v>2</v>
      </c>
      <c r="D1057" s="2"/>
      <c r="E1057" s="31"/>
      <c r="G1057" s="43"/>
      <c r="H1057" s="2"/>
    </row>
    <row r="1058" spans="1:8">
      <c r="A1058" s="39">
        <v>4.95131989555888</v>
      </c>
      <c r="B1058" s="40">
        <v>5.9</v>
      </c>
      <c r="D1058" s="2"/>
      <c r="E1058" s="31"/>
      <c r="G1058" s="43"/>
      <c r="H1058" s="2"/>
    </row>
    <row r="1059" spans="1:8">
      <c r="A1059" s="39">
        <v>4.95093471248243</v>
      </c>
      <c r="B1059" s="40">
        <v>2</v>
      </c>
      <c r="D1059" s="2"/>
      <c r="E1059" s="31"/>
      <c r="G1059" s="43"/>
      <c r="H1059" s="2"/>
    </row>
    <row r="1060" spans="1:8">
      <c r="A1060" s="39">
        <v>4.95045422580614</v>
      </c>
      <c r="B1060" s="40">
        <v>6</v>
      </c>
      <c r="D1060" s="2"/>
      <c r="E1060" s="31"/>
      <c r="G1060" s="43"/>
      <c r="H1060" s="2"/>
    </row>
    <row r="1061" spans="1:8">
      <c r="A1061" s="39">
        <v>4.94986035246695</v>
      </c>
      <c r="B1061" s="40">
        <v>6</v>
      </c>
      <c r="D1061" s="2"/>
      <c r="E1061" s="31"/>
      <c r="G1061" s="43"/>
      <c r="H1061" s="2"/>
    </row>
    <row r="1062" spans="1:8">
      <c r="A1062" s="39">
        <v>4.94901276577727</v>
      </c>
      <c r="B1062" s="40">
        <v>1</v>
      </c>
      <c r="D1062" s="2"/>
      <c r="E1062" s="31"/>
      <c r="G1062" s="43"/>
      <c r="H1062" s="2"/>
    </row>
    <row r="1063" spans="1:8">
      <c r="A1063" s="39">
        <v>4.94813426788078</v>
      </c>
      <c r="B1063" s="40">
        <v>5.8</v>
      </c>
      <c r="D1063" s="2"/>
      <c r="E1063" s="31"/>
      <c r="G1063" s="43"/>
      <c r="H1063" s="2"/>
    </row>
    <row r="1064" spans="1:8">
      <c r="A1064" s="39">
        <v>4.94805179242469</v>
      </c>
      <c r="B1064" s="40">
        <v>1.3</v>
      </c>
      <c r="D1064" s="2"/>
      <c r="E1064" s="31"/>
      <c r="G1064" s="43"/>
      <c r="H1064" s="2"/>
    </row>
    <row r="1065" spans="1:8">
      <c r="A1065" s="39">
        <v>4.94682278393712</v>
      </c>
      <c r="B1065" s="40">
        <v>13</v>
      </c>
      <c r="D1065" s="2"/>
      <c r="E1065" s="31"/>
      <c r="G1065" s="43"/>
      <c r="H1065" s="2"/>
    </row>
    <row r="1066" spans="1:8">
      <c r="A1066" s="39">
        <v>4.94672422130382</v>
      </c>
      <c r="B1066" s="40">
        <v>3</v>
      </c>
      <c r="D1066" s="2"/>
      <c r="E1066" s="31"/>
      <c r="G1066" s="43"/>
      <c r="H1066" s="2"/>
    </row>
    <row r="1067" spans="1:8">
      <c r="A1067" s="39">
        <v>4.94412451696407</v>
      </c>
      <c r="B1067" s="40">
        <v>8.1</v>
      </c>
      <c r="D1067" s="2"/>
      <c r="E1067" s="31"/>
      <c r="G1067" s="43"/>
      <c r="H1067" s="2"/>
    </row>
    <row r="1068" spans="1:8">
      <c r="A1068" s="39">
        <v>4.94241009999528</v>
      </c>
      <c r="B1068" s="40">
        <v>3.5</v>
      </c>
      <c r="D1068" s="2"/>
      <c r="E1068" s="31"/>
      <c r="G1068" s="43"/>
      <c r="H1068" s="2"/>
    </row>
    <row r="1069" spans="1:8">
      <c r="A1069" s="39">
        <v>4.94077462345657</v>
      </c>
      <c r="B1069" s="40">
        <v>3.8</v>
      </c>
      <c r="D1069" s="2"/>
      <c r="E1069" s="31"/>
      <c r="G1069" s="43"/>
      <c r="H1069" s="2"/>
    </row>
    <row r="1070" spans="1:8">
      <c r="A1070" s="39">
        <v>4.93940658192319</v>
      </c>
      <c r="B1070" s="40">
        <v>0.1</v>
      </c>
      <c r="D1070" s="2"/>
      <c r="E1070" s="31"/>
      <c r="G1070" s="43"/>
      <c r="H1070" s="2"/>
    </row>
    <row r="1071" spans="1:8">
      <c r="A1071" s="39">
        <v>4.93940303225149</v>
      </c>
      <c r="B1071" s="40">
        <v>7.4</v>
      </c>
      <c r="D1071" s="2"/>
      <c r="E1071" s="31"/>
      <c r="G1071" s="43"/>
      <c r="H1071" s="2"/>
    </row>
    <row r="1072" spans="1:8">
      <c r="A1072" s="39">
        <v>4.9360297160449</v>
      </c>
      <c r="B1072" s="40">
        <v>4.6</v>
      </c>
      <c r="D1072" s="2"/>
      <c r="E1072" s="31"/>
      <c r="G1072" s="43"/>
      <c r="H1072" s="2"/>
    </row>
    <row r="1073" spans="1:8">
      <c r="A1073" s="39">
        <v>4.93555913884118</v>
      </c>
      <c r="B1073" s="40">
        <v>1</v>
      </c>
      <c r="D1073" s="2"/>
      <c r="E1073" s="31"/>
      <c r="G1073" s="43"/>
      <c r="H1073" s="2"/>
    </row>
    <row r="1074" spans="1:8">
      <c r="A1074" s="39">
        <v>4.9345981654886</v>
      </c>
      <c r="B1074" s="40">
        <v>7.5</v>
      </c>
      <c r="D1074" s="2"/>
      <c r="E1074" s="31"/>
      <c r="G1074" s="43"/>
      <c r="H1074" s="2"/>
    </row>
    <row r="1075" spans="1:8">
      <c r="A1075" s="39">
        <v>4.93423271730171</v>
      </c>
      <c r="B1075" s="40">
        <v>4</v>
      </c>
      <c r="D1075" s="2"/>
      <c r="E1075" s="31"/>
      <c r="G1075" s="43"/>
      <c r="H1075" s="2"/>
    </row>
    <row r="1076" spans="1:8">
      <c r="A1076" s="39">
        <v>4.93259724076299</v>
      </c>
      <c r="B1076" s="40">
        <v>3.5</v>
      </c>
      <c r="D1076" s="2"/>
      <c r="E1076" s="31"/>
      <c r="G1076" s="43"/>
      <c r="H1076" s="2"/>
    </row>
    <row r="1077" spans="1:8">
      <c r="A1077" s="39">
        <v>4.93208894254257</v>
      </c>
      <c r="B1077" s="40">
        <v>8.2</v>
      </c>
      <c r="D1077" s="2"/>
      <c r="E1077" s="31"/>
      <c r="G1077" s="43"/>
      <c r="H1077" s="2"/>
    </row>
    <row r="1078" spans="1:8">
      <c r="A1078" s="39">
        <v>4.93153260442314</v>
      </c>
      <c r="B1078" s="40">
        <v>0.5</v>
      </c>
      <c r="D1078" s="2"/>
      <c r="E1078" s="31"/>
      <c r="G1078" s="43"/>
      <c r="H1078" s="2"/>
    </row>
    <row r="1079" spans="1:8">
      <c r="A1079" s="39">
        <v>4.93063318209878</v>
      </c>
      <c r="B1079" s="40">
        <v>6.9</v>
      </c>
      <c r="D1079" s="2"/>
      <c r="E1079" s="31"/>
      <c r="G1079" s="43"/>
      <c r="H1079" s="2"/>
    </row>
    <row r="1080" spans="1:8">
      <c r="A1080" s="39">
        <v>4.92979329872571</v>
      </c>
      <c r="B1080" s="40">
        <v>1.4</v>
      </c>
      <c r="D1080" s="2"/>
      <c r="E1080" s="31"/>
      <c r="G1080" s="43"/>
      <c r="H1080" s="2"/>
    </row>
    <row r="1081" spans="1:8">
      <c r="A1081" s="39">
        <v>4.92973515682024</v>
      </c>
      <c r="B1081" s="40">
        <v>4.5</v>
      </c>
      <c r="D1081" s="2"/>
      <c r="E1081" s="31"/>
      <c r="G1081" s="43"/>
      <c r="H1081" s="2"/>
    </row>
    <row r="1082" spans="1:8">
      <c r="A1082" s="39">
        <v>4.92895281137944</v>
      </c>
      <c r="B1082" s="40">
        <v>2.7</v>
      </c>
      <c r="D1082" s="2"/>
      <c r="E1082" s="31"/>
      <c r="G1082" s="43"/>
      <c r="H1082" s="2"/>
    </row>
    <row r="1083" spans="1:8">
      <c r="A1083" s="39">
        <v>4.92883232537313</v>
      </c>
      <c r="B1083" s="40">
        <v>1.5</v>
      </c>
      <c r="D1083" s="2"/>
      <c r="E1083" s="31"/>
      <c r="G1083" s="43"/>
      <c r="H1083" s="2"/>
    </row>
    <row r="1084" spans="1:8">
      <c r="A1084" s="39">
        <v>4.92691037866797</v>
      </c>
      <c r="B1084" s="40">
        <v>6.5</v>
      </c>
      <c r="D1084" s="2"/>
      <c r="E1084" s="31"/>
      <c r="G1084" s="43"/>
      <c r="H1084" s="2"/>
    </row>
    <row r="1085" spans="1:8">
      <c r="A1085" s="39">
        <v>4.92691037866797</v>
      </c>
      <c r="B1085" s="40">
        <v>11.9</v>
      </c>
      <c r="D1085" s="2"/>
      <c r="E1085" s="31"/>
      <c r="G1085" s="43"/>
      <c r="H1085" s="2"/>
    </row>
    <row r="1086" spans="1:8">
      <c r="A1086" s="39">
        <v>4.92613607047702</v>
      </c>
      <c r="B1086" s="40">
        <v>10.2</v>
      </c>
      <c r="D1086" s="2"/>
      <c r="E1086" s="31"/>
      <c r="G1086" s="43"/>
      <c r="H1086" s="2"/>
    </row>
    <row r="1087" spans="1:8">
      <c r="A1087" s="39">
        <v>4.92605533460814</v>
      </c>
      <c r="B1087" s="40">
        <v>2.7</v>
      </c>
      <c r="D1087" s="2"/>
      <c r="E1087" s="31"/>
      <c r="G1087" s="43"/>
      <c r="H1087" s="2"/>
    </row>
    <row r="1088" spans="1:8">
      <c r="A1088" s="39">
        <v>4.92523759633878</v>
      </c>
      <c r="B1088" s="40">
        <v>2</v>
      </c>
      <c r="D1088" s="2"/>
      <c r="E1088" s="31"/>
      <c r="G1088" s="43"/>
      <c r="H1088" s="2"/>
    </row>
    <row r="1089" spans="1:8">
      <c r="A1089" s="39">
        <v>4.92033116672263</v>
      </c>
      <c r="B1089" s="40">
        <v>6</v>
      </c>
      <c r="D1089" s="2"/>
      <c r="E1089" s="31"/>
      <c r="G1089" s="43"/>
      <c r="H1089" s="2"/>
    </row>
    <row r="1090" spans="1:8">
      <c r="A1090" s="39">
        <v>4.92033116672263</v>
      </c>
      <c r="B1090" s="40">
        <v>7</v>
      </c>
      <c r="D1090" s="2"/>
      <c r="E1090" s="31"/>
      <c r="G1090" s="43"/>
      <c r="H1090" s="2"/>
    </row>
    <row r="1091" spans="1:8">
      <c r="A1091" s="39">
        <v>4.91894069188221</v>
      </c>
      <c r="B1091" s="40">
        <v>7.5</v>
      </c>
      <c r="D1091" s="2"/>
      <c r="E1091" s="31"/>
      <c r="G1091" s="43"/>
      <c r="H1091" s="2"/>
    </row>
    <row r="1092" spans="1:8">
      <c r="A1092" s="39">
        <v>4.91804126955785</v>
      </c>
      <c r="B1092" s="40">
        <v>9.9</v>
      </c>
      <c r="D1092" s="2"/>
      <c r="E1092" s="31"/>
      <c r="G1092" s="43"/>
      <c r="H1092" s="2"/>
    </row>
    <row r="1093" spans="1:8">
      <c r="A1093" s="39">
        <v>4.9171418472335</v>
      </c>
      <c r="B1093" s="40">
        <v>3.7</v>
      </c>
      <c r="D1093" s="2"/>
      <c r="E1093" s="31"/>
      <c r="G1093" s="43"/>
      <c r="H1093" s="2"/>
    </row>
    <row r="1094" spans="1:8">
      <c r="A1094" s="39">
        <v>4.91624247537585</v>
      </c>
      <c r="B1094" s="40">
        <v>6.7</v>
      </c>
      <c r="D1094" s="2"/>
      <c r="E1094" s="31"/>
      <c r="G1094" s="43"/>
      <c r="H1094" s="2"/>
    </row>
    <row r="1095" spans="1:8">
      <c r="A1095" s="39">
        <v>4.91624247537585</v>
      </c>
      <c r="B1095" s="40">
        <v>7.5</v>
      </c>
      <c r="D1095" s="2"/>
      <c r="E1095" s="31"/>
      <c r="G1095" s="43"/>
      <c r="H1095" s="2"/>
    </row>
    <row r="1096" spans="1:8">
      <c r="A1096" s="39">
        <v>4.91542473710649</v>
      </c>
      <c r="B1096" s="40">
        <v>13.6</v>
      </c>
      <c r="D1096" s="2"/>
      <c r="E1096" s="31"/>
      <c r="G1096" s="43"/>
      <c r="H1096" s="2"/>
    </row>
    <row r="1097" spans="1:8">
      <c r="A1097" s="39">
        <v>4.91431753261819</v>
      </c>
      <c r="B1097" s="40">
        <v>5.9</v>
      </c>
      <c r="D1097" s="2"/>
      <c r="E1097" s="31"/>
      <c r="G1097" s="43"/>
      <c r="H1097" s="2"/>
    </row>
    <row r="1098" spans="1:8">
      <c r="A1098" s="39">
        <v>4.91215378402906</v>
      </c>
      <c r="B1098" s="40">
        <v>1.4</v>
      </c>
      <c r="D1098" s="2"/>
      <c r="E1098" s="31"/>
      <c r="G1098" s="43"/>
      <c r="H1098" s="2"/>
    </row>
    <row r="1099" spans="1:8">
      <c r="A1099" s="39">
        <v>4.91153480502672</v>
      </c>
      <c r="B1099" s="40">
        <v>8.5</v>
      </c>
      <c r="D1099" s="2"/>
      <c r="E1099" s="31"/>
      <c r="G1099" s="43"/>
      <c r="H1099" s="2"/>
    </row>
    <row r="1100" spans="1:8">
      <c r="A1100" s="39">
        <v>4.9113360457597</v>
      </c>
      <c r="B1100" s="40">
        <v>4.1</v>
      </c>
      <c r="D1100" s="2"/>
      <c r="E1100" s="31"/>
      <c r="G1100" s="43"/>
      <c r="H1100" s="2"/>
    </row>
    <row r="1101" spans="1:8">
      <c r="A1101" s="39">
        <v>4.91084589096304</v>
      </c>
      <c r="B1101" s="40">
        <v>1</v>
      </c>
      <c r="D1101" s="2"/>
      <c r="E1101" s="31"/>
      <c r="G1101" s="43"/>
      <c r="H1101" s="2"/>
    </row>
    <row r="1102" spans="1:8">
      <c r="A1102" s="39">
        <v>4.90806509268228</v>
      </c>
      <c r="B1102" s="40">
        <v>2.9</v>
      </c>
      <c r="D1102" s="2"/>
      <c r="E1102" s="31"/>
      <c r="G1102" s="43"/>
      <c r="H1102" s="2"/>
    </row>
    <row r="1103" spans="1:8">
      <c r="A1103" s="39">
        <v>4.90386376207443</v>
      </c>
      <c r="B1103" s="40">
        <v>5.6</v>
      </c>
      <c r="D1103" s="2"/>
      <c r="E1103" s="31"/>
      <c r="G1103" s="43"/>
      <c r="H1103" s="2"/>
    </row>
    <row r="1104" spans="1:8">
      <c r="A1104" s="39">
        <v>4.9038470182061</v>
      </c>
      <c r="B1104" s="40">
        <v>6</v>
      </c>
      <c r="D1104" s="2"/>
      <c r="E1104" s="31"/>
      <c r="G1104" s="43"/>
      <c r="H1104" s="2"/>
    </row>
    <row r="1105" spans="1:8">
      <c r="A1105" s="39">
        <v>4.90095224539516</v>
      </c>
      <c r="B1105" s="40">
        <v>2</v>
      </c>
      <c r="D1105" s="2"/>
      <c r="E1105" s="31"/>
      <c r="G1105" s="43"/>
      <c r="H1105" s="2"/>
    </row>
    <row r="1106" spans="1:8">
      <c r="A1106" s="39">
        <v>4.89968225385693</v>
      </c>
      <c r="B1106" s="40">
        <v>4.2</v>
      </c>
      <c r="D1106" s="2"/>
      <c r="E1106" s="31"/>
      <c r="G1106" s="43"/>
      <c r="H1106" s="2"/>
    </row>
    <row r="1107" spans="1:8">
      <c r="A1107" s="39">
        <v>4.8982539784221</v>
      </c>
      <c r="B1107" s="40">
        <v>6.5</v>
      </c>
      <c r="D1107" s="2"/>
      <c r="E1107" s="31"/>
      <c r="G1107" s="43"/>
      <c r="H1107" s="2"/>
    </row>
    <row r="1108" spans="1:8">
      <c r="A1108" s="39">
        <v>4.89825223344999</v>
      </c>
      <c r="B1108" s="40">
        <v>3.8</v>
      </c>
      <c r="D1108" s="2"/>
      <c r="E1108" s="31"/>
      <c r="G1108" s="43"/>
      <c r="H1108" s="2"/>
    </row>
    <row r="1109" spans="1:8">
      <c r="A1109" s="39">
        <v>4.89759149974818</v>
      </c>
      <c r="B1109" s="40">
        <v>11</v>
      </c>
      <c r="D1109" s="2"/>
      <c r="E1109" s="31"/>
      <c r="G1109" s="43"/>
      <c r="H1109" s="2"/>
    </row>
    <row r="1110" spans="1:8">
      <c r="A1110" s="39">
        <v>4.89712020473805</v>
      </c>
      <c r="B1110" s="40">
        <v>5.9</v>
      </c>
      <c r="D1110" s="2"/>
      <c r="E1110" s="31"/>
      <c r="G1110" s="43"/>
      <c r="H1110" s="2"/>
    </row>
    <row r="1111" spans="1:8">
      <c r="A1111" s="39">
        <v>4.89135436462258</v>
      </c>
      <c r="B1111" s="40">
        <v>1</v>
      </c>
      <c r="D1111" s="2"/>
      <c r="E1111" s="31"/>
      <c r="G1111" s="43"/>
      <c r="H1111" s="2"/>
    </row>
    <row r="1112" spans="1:8">
      <c r="A1112" s="39">
        <v>4.89015917750294</v>
      </c>
      <c r="B1112" s="40">
        <v>0</v>
      </c>
      <c r="D1112" s="2"/>
      <c r="E1112" s="31"/>
      <c r="G1112" s="43"/>
      <c r="H1112" s="2"/>
    </row>
    <row r="1113" spans="1:8">
      <c r="A1113" s="39">
        <v>4.88922848331318</v>
      </c>
      <c r="B1113" s="40">
        <v>5.9</v>
      </c>
      <c r="D1113" s="2"/>
      <c r="E1113" s="31"/>
      <c r="G1113" s="43"/>
      <c r="H1113" s="2"/>
    </row>
    <row r="1114" spans="1:8">
      <c r="A1114" s="39">
        <v>4.88799095788856</v>
      </c>
      <c r="B1114" s="40">
        <v>7.8</v>
      </c>
      <c r="D1114" s="2"/>
      <c r="E1114" s="31"/>
      <c r="G1114" s="43"/>
      <c r="H1114" s="2"/>
    </row>
    <row r="1115" spans="1:8">
      <c r="A1115" s="39">
        <v>4.88762163594834</v>
      </c>
      <c r="B1115" s="40">
        <v>6</v>
      </c>
      <c r="D1115" s="2"/>
      <c r="E1115" s="31"/>
      <c r="G1115" s="43"/>
      <c r="H1115" s="2"/>
    </row>
    <row r="1116" spans="1:8">
      <c r="A1116" s="39">
        <v>4.88751047121227</v>
      </c>
      <c r="B1116" s="40">
        <v>6.5</v>
      </c>
      <c r="D1116" s="2"/>
      <c r="E1116" s="31"/>
      <c r="G1116" s="43"/>
      <c r="H1116" s="2"/>
    </row>
    <row r="1117" spans="1:8">
      <c r="A1117" s="39">
        <v>4.88713772920443</v>
      </c>
      <c r="B1117" s="40">
        <v>10.14</v>
      </c>
      <c r="D1117" s="2"/>
      <c r="E1117" s="31"/>
      <c r="G1117" s="43"/>
      <c r="H1117" s="2"/>
    </row>
    <row r="1118" spans="1:8">
      <c r="A1118" s="39">
        <v>4.88656148820553</v>
      </c>
      <c r="B1118" s="40">
        <v>0</v>
      </c>
      <c r="D1118" s="2"/>
      <c r="E1118" s="31"/>
      <c r="G1118" s="43"/>
      <c r="H1118" s="2"/>
    </row>
    <row r="1119" spans="1:8">
      <c r="A1119" s="39">
        <v>4.88462755115454</v>
      </c>
      <c r="B1119" s="40">
        <v>6.8</v>
      </c>
      <c r="D1119" s="2"/>
      <c r="E1119" s="31"/>
      <c r="G1119" s="43"/>
      <c r="H1119" s="2"/>
    </row>
    <row r="1120" spans="1:8">
      <c r="A1120" s="39">
        <v>4.88353294460156</v>
      </c>
      <c r="B1120" s="40">
        <v>8.3</v>
      </c>
      <c r="D1120" s="2"/>
      <c r="E1120" s="31"/>
      <c r="G1120" s="43"/>
      <c r="H1120" s="2"/>
    </row>
    <row r="1121" spans="1:8">
      <c r="A1121" s="39">
        <v>4.88296379890812</v>
      </c>
      <c r="B1121" s="40">
        <v>9.2</v>
      </c>
      <c r="D1121" s="2"/>
      <c r="E1121" s="31"/>
      <c r="G1121" s="43"/>
      <c r="H1121" s="2"/>
    </row>
    <row r="1122" spans="1:8">
      <c r="A1122" s="39">
        <v>4.88295622098693</v>
      </c>
      <c r="B1122" s="40">
        <v>5.9</v>
      </c>
      <c r="D1122" s="2"/>
      <c r="E1122" s="31"/>
      <c r="G1122" s="43"/>
      <c r="H1122" s="2"/>
    </row>
    <row r="1123" spans="1:8">
      <c r="A1123" s="39">
        <v>4.8817446310968</v>
      </c>
      <c r="B1123" s="40">
        <v>1.7</v>
      </c>
      <c r="D1123" s="2"/>
      <c r="E1123" s="31"/>
      <c r="G1123" s="43"/>
      <c r="H1123" s="2"/>
    </row>
    <row r="1124" spans="1:8">
      <c r="A1124" s="39">
        <v>4.88026553193506</v>
      </c>
      <c r="B1124" s="40">
        <v>8.4</v>
      </c>
      <c r="D1124" s="2"/>
      <c r="E1124" s="31"/>
      <c r="G1124" s="43"/>
      <c r="H1124" s="2"/>
    </row>
    <row r="1125" spans="1:8">
      <c r="A1125" s="39">
        <v>4.87877471276943</v>
      </c>
      <c r="B1125" s="40">
        <v>0</v>
      </c>
      <c r="D1125" s="2"/>
      <c r="E1125" s="31"/>
      <c r="G1125" s="43"/>
      <c r="H1125" s="2"/>
    </row>
    <row r="1126" spans="1:8">
      <c r="A1126" s="39">
        <v>4.8769910384467</v>
      </c>
      <c r="B1126" s="40">
        <v>4.6</v>
      </c>
      <c r="D1126" s="2"/>
      <c r="E1126" s="31"/>
      <c r="G1126" s="43"/>
      <c r="H1126" s="2"/>
    </row>
    <row r="1127" spans="1:8">
      <c r="A1127" s="39">
        <v>4.8769910384467</v>
      </c>
      <c r="B1127" s="40">
        <v>2.7</v>
      </c>
      <c r="D1127" s="2"/>
      <c r="E1127" s="31"/>
      <c r="G1127" s="43"/>
      <c r="H1127" s="2"/>
    </row>
    <row r="1128" spans="1:8">
      <c r="A1128" s="39">
        <v>4.87693976433391</v>
      </c>
      <c r="B1128" s="40">
        <v>2</v>
      </c>
      <c r="D1128" s="2"/>
      <c r="E1128" s="31"/>
      <c r="G1128" s="43"/>
      <c r="H1128" s="2"/>
    </row>
    <row r="1129" spans="1:8">
      <c r="A1129" s="39">
        <v>4.87668395866068</v>
      </c>
      <c r="B1129" s="40">
        <v>2.5</v>
      </c>
      <c r="D1129" s="2"/>
      <c r="E1129" s="31"/>
      <c r="G1129" s="43"/>
      <c r="H1129" s="2"/>
    </row>
    <row r="1130" spans="1:8">
      <c r="A1130" s="39">
        <v>4.87453782363863</v>
      </c>
      <c r="B1130" s="40">
        <v>2.7</v>
      </c>
      <c r="D1130" s="2"/>
      <c r="E1130" s="31"/>
      <c r="G1130" s="43"/>
      <c r="H1130" s="2"/>
    </row>
    <row r="1131" spans="1:8">
      <c r="A1131" s="39">
        <v>4.87396957566459</v>
      </c>
      <c r="B1131" s="40">
        <v>7</v>
      </c>
      <c r="D1131" s="2"/>
      <c r="E1131" s="31"/>
      <c r="G1131" s="43"/>
      <c r="H1131" s="2"/>
    </row>
    <row r="1132" spans="1:8">
      <c r="A1132" s="39">
        <v>4.87354782749755</v>
      </c>
      <c r="B1132" s="40">
        <v>6.9</v>
      </c>
      <c r="D1132" s="2"/>
      <c r="E1132" s="31"/>
      <c r="G1132" s="43"/>
      <c r="H1132" s="2"/>
    </row>
    <row r="1133" spans="1:8">
      <c r="A1133" s="39">
        <v>4.87354782749755</v>
      </c>
      <c r="B1133" s="40">
        <v>5</v>
      </c>
      <c r="D1133" s="2"/>
      <c r="E1133" s="31"/>
      <c r="G1133" s="43"/>
      <c r="H1133" s="2"/>
    </row>
    <row r="1134" spans="1:8">
      <c r="A1134" s="39">
        <v>4.87250245044318</v>
      </c>
      <c r="B1134" s="40">
        <v>4.8</v>
      </c>
      <c r="D1134" s="2"/>
      <c r="E1134" s="31"/>
      <c r="G1134" s="43"/>
      <c r="H1134" s="2"/>
    </row>
    <row r="1135" spans="1:8">
      <c r="A1135" s="39">
        <v>4.87213489757102</v>
      </c>
      <c r="B1135" s="40">
        <v>7</v>
      </c>
      <c r="D1135" s="2"/>
      <c r="E1135" s="31"/>
      <c r="G1135" s="43"/>
      <c r="H1135" s="2"/>
    </row>
    <row r="1136" spans="1:8">
      <c r="A1136" s="39">
        <v>4.8712668705612</v>
      </c>
      <c r="B1136" s="40">
        <v>1.4</v>
      </c>
      <c r="D1136" s="2"/>
      <c r="E1136" s="31"/>
      <c r="G1136" s="43"/>
      <c r="H1136" s="2"/>
    </row>
    <row r="1137" spans="1:8">
      <c r="A1137" s="39">
        <v>4.87044913229184</v>
      </c>
      <c r="B1137" s="40">
        <v>3.2</v>
      </c>
      <c r="D1137" s="2"/>
      <c r="E1137" s="31"/>
      <c r="G1137" s="43"/>
      <c r="H1137" s="2"/>
    </row>
    <row r="1138" spans="1:8">
      <c r="A1138" s="39">
        <v>4.86973246418958</v>
      </c>
      <c r="B1138" s="40">
        <v>4.4</v>
      </c>
      <c r="D1138" s="2"/>
      <c r="E1138" s="31"/>
      <c r="G1138" s="43"/>
      <c r="H1138" s="2"/>
    </row>
    <row r="1139" spans="1:8">
      <c r="A1139" s="39">
        <v>4.86881365575313</v>
      </c>
      <c r="B1139" s="40">
        <v>3.6</v>
      </c>
      <c r="D1139" s="2"/>
      <c r="E1139" s="31"/>
      <c r="G1139" s="43"/>
      <c r="H1139" s="2"/>
    </row>
    <row r="1140" spans="1:8">
      <c r="A1140" s="39">
        <v>4.86832094222568</v>
      </c>
      <c r="B1140" s="40">
        <v>0</v>
      </c>
      <c r="D1140" s="2"/>
      <c r="E1140" s="31"/>
      <c r="G1140" s="43"/>
      <c r="H1140" s="2"/>
    </row>
    <row r="1141" spans="1:8">
      <c r="A1141" s="39">
        <v>4.86717817921441</v>
      </c>
      <c r="B1141" s="40">
        <v>4</v>
      </c>
      <c r="D1141" s="2"/>
      <c r="E1141" s="31"/>
      <c r="G1141" s="43"/>
      <c r="H1141" s="2"/>
    </row>
    <row r="1142" spans="1:8">
      <c r="A1142" s="39">
        <v>4.86623018811692</v>
      </c>
      <c r="B1142" s="40">
        <v>2.5</v>
      </c>
      <c r="D1142" s="2"/>
      <c r="E1142" s="31"/>
      <c r="G1142" s="43"/>
      <c r="H1142" s="2"/>
    </row>
    <row r="1143" spans="1:8">
      <c r="A1143" s="39">
        <v>4.86413943400817</v>
      </c>
      <c r="B1143" s="40">
        <v>4.6</v>
      </c>
      <c r="D1143" s="2"/>
      <c r="E1143" s="31"/>
      <c r="G1143" s="43"/>
      <c r="H1143" s="2"/>
    </row>
    <row r="1144" spans="1:8">
      <c r="A1144" s="39">
        <v>4.86317650777237</v>
      </c>
      <c r="B1144" s="40">
        <v>0</v>
      </c>
      <c r="D1144" s="2"/>
      <c r="E1144" s="31"/>
      <c r="G1144" s="43"/>
      <c r="H1144" s="2"/>
    </row>
    <row r="1145" spans="1:8">
      <c r="A1145" s="39">
        <v>4.86317650777237</v>
      </c>
      <c r="B1145" s="40">
        <v>8</v>
      </c>
      <c r="D1145" s="2"/>
      <c r="E1145" s="31"/>
      <c r="G1145" s="43"/>
      <c r="H1145" s="2"/>
    </row>
    <row r="1146" spans="1:8">
      <c r="A1146" s="39">
        <v>4.86317650777237</v>
      </c>
      <c r="B1146" s="40">
        <v>11.3</v>
      </c>
      <c r="D1146" s="2"/>
      <c r="E1146" s="31"/>
      <c r="G1146" s="43"/>
      <c r="H1146" s="2"/>
    </row>
    <row r="1147" spans="1:8">
      <c r="A1147" s="39">
        <v>4.86227708544802</v>
      </c>
      <c r="B1147" s="40">
        <v>10</v>
      </c>
      <c r="D1147" s="2"/>
      <c r="E1147" s="31"/>
      <c r="G1147" s="43"/>
      <c r="H1147" s="2"/>
    </row>
    <row r="1148" spans="1:8">
      <c r="A1148" s="39">
        <v>4.86145401132891</v>
      </c>
      <c r="B1148" s="40">
        <v>9.3</v>
      </c>
      <c r="D1148" s="2"/>
      <c r="E1148" s="31"/>
      <c r="G1148" s="43"/>
      <c r="H1148" s="2"/>
    </row>
    <row r="1149" spans="1:8">
      <c r="A1149" s="39">
        <v>4.86145401132891</v>
      </c>
      <c r="B1149" s="40">
        <v>9.7</v>
      </c>
      <c r="D1149" s="2"/>
      <c r="E1149" s="31"/>
      <c r="G1149" s="43"/>
      <c r="H1149" s="2"/>
    </row>
    <row r="1150" spans="1:8">
      <c r="A1150" s="39">
        <v>4.8612086898481</v>
      </c>
      <c r="B1150" s="40">
        <v>6</v>
      </c>
      <c r="D1150" s="2"/>
      <c r="E1150" s="31"/>
      <c r="G1150" s="43"/>
      <c r="H1150" s="2"/>
    </row>
    <row r="1151" spans="1:8">
      <c r="A1151" s="39">
        <v>4.86100330284505</v>
      </c>
      <c r="B1151" s="40">
        <v>0</v>
      </c>
      <c r="D1151" s="2"/>
      <c r="E1151" s="31"/>
      <c r="G1151" s="43"/>
      <c r="H1151" s="2"/>
    </row>
    <row r="1152" spans="1:8">
      <c r="A1152" s="39">
        <v>4.85957881847496</v>
      </c>
      <c r="B1152" s="40">
        <v>6.2</v>
      </c>
      <c r="D1152" s="2"/>
      <c r="E1152" s="31"/>
      <c r="G1152" s="43"/>
      <c r="H1152" s="2"/>
    </row>
    <row r="1153" spans="1:8">
      <c r="A1153" s="39">
        <v>4.85900079652084</v>
      </c>
      <c r="B1153" s="40">
        <v>1.4</v>
      </c>
      <c r="D1153" s="2"/>
      <c r="E1153" s="31"/>
      <c r="G1153" s="43"/>
      <c r="H1153" s="2"/>
    </row>
    <row r="1154" spans="1:8">
      <c r="A1154" s="39">
        <v>4.85900079652084</v>
      </c>
      <c r="B1154" s="40">
        <v>7</v>
      </c>
      <c r="D1154" s="2"/>
      <c r="E1154" s="31"/>
      <c r="G1154" s="43"/>
      <c r="H1154" s="2"/>
    </row>
    <row r="1155" spans="1:8">
      <c r="A1155" s="39">
        <v>4.8589125487363</v>
      </c>
      <c r="B1155" s="40">
        <v>8</v>
      </c>
      <c r="D1155" s="2"/>
      <c r="E1155" s="31"/>
      <c r="G1155" s="43"/>
      <c r="H1155" s="2"/>
    </row>
    <row r="1156" spans="1:8">
      <c r="A1156" s="39">
        <v>4.85867939615061</v>
      </c>
      <c r="B1156" s="40">
        <v>4.9</v>
      </c>
      <c r="D1156" s="2"/>
      <c r="E1156" s="31"/>
      <c r="G1156" s="43"/>
      <c r="H1156" s="2"/>
    </row>
    <row r="1157" spans="1:8">
      <c r="A1157" s="39">
        <v>4.85818305825148</v>
      </c>
      <c r="B1157" s="40">
        <v>3.8</v>
      </c>
      <c r="D1157" s="2"/>
      <c r="E1157" s="31"/>
      <c r="G1157" s="43"/>
      <c r="H1157" s="2"/>
    </row>
    <row r="1158" spans="1:8">
      <c r="A1158" s="39">
        <v>4.85786717168192</v>
      </c>
      <c r="B1158" s="40">
        <v>3.7</v>
      </c>
      <c r="D1158" s="2"/>
      <c r="E1158" s="31"/>
      <c r="G1158" s="43"/>
      <c r="H1158" s="2"/>
    </row>
    <row r="1159" spans="1:8">
      <c r="A1159" s="39">
        <v>4.8568805515019</v>
      </c>
      <c r="B1159" s="40">
        <v>11.7</v>
      </c>
      <c r="D1159" s="2"/>
      <c r="E1159" s="31"/>
      <c r="G1159" s="43"/>
      <c r="H1159" s="2"/>
    </row>
    <row r="1160" spans="1:8">
      <c r="A1160" s="39">
        <v>4.85577641757317</v>
      </c>
      <c r="B1160" s="40">
        <v>6</v>
      </c>
      <c r="D1160" s="2"/>
      <c r="E1160" s="31"/>
      <c r="G1160" s="43"/>
      <c r="H1160" s="2"/>
    </row>
    <row r="1161" spans="1:8">
      <c r="A1161" s="39">
        <v>4.85491210517405</v>
      </c>
      <c r="B1161" s="40">
        <v>3.9</v>
      </c>
      <c r="D1161" s="2"/>
      <c r="E1161" s="31"/>
      <c r="G1161" s="43"/>
      <c r="H1161" s="2"/>
    </row>
    <row r="1162" spans="1:8">
      <c r="A1162" s="39">
        <v>4.85418228452885</v>
      </c>
      <c r="B1162" s="40">
        <v>0</v>
      </c>
      <c r="D1162" s="2"/>
      <c r="E1162" s="31"/>
      <c r="G1162" s="43"/>
      <c r="H1162" s="2"/>
    </row>
    <row r="1163" spans="1:8">
      <c r="A1163" s="39">
        <v>4.8540943669047</v>
      </c>
      <c r="B1163" s="40">
        <v>3.4</v>
      </c>
      <c r="D1163" s="2"/>
      <c r="E1163" s="31"/>
      <c r="G1163" s="43"/>
      <c r="H1163" s="2"/>
    </row>
    <row r="1164" spans="1:8">
      <c r="A1164" s="39">
        <v>4.85082341382727</v>
      </c>
      <c r="B1164" s="40">
        <v>5</v>
      </c>
      <c r="D1164" s="2"/>
      <c r="E1164" s="31"/>
      <c r="G1164" s="43"/>
      <c r="H1164" s="2"/>
    </row>
    <row r="1165" spans="1:8">
      <c r="A1165" s="39">
        <v>4.8505495323013</v>
      </c>
      <c r="B1165" s="40">
        <v>8.2</v>
      </c>
      <c r="D1165" s="2"/>
      <c r="E1165" s="31"/>
      <c r="G1165" s="43"/>
      <c r="H1165" s="2"/>
    </row>
    <row r="1166" spans="1:8">
      <c r="A1166" s="39">
        <v>4.8505495323013</v>
      </c>
      <c r="B1166" s="40">
        <v>0</v>
      </c>
      <c r="D1166" s="2"/>
      <c r="E1166" s="31"/>
      <c r="G1166" s="43"/>
      <c r="H1166" s="2"/>
    </row>
    <row r="1167" spans="1:8">
      <c r="A1167" s="39">
        <v>4.84907153710915</v>
      </c>
      <c r="B1167" s="40">
        <v>2</v>
      </c>
      <c r="D1167" s="2"/>
      <c r="E1167" s="31"/>
      <c r="G1167" s="43"/>
      <c r="H1167" s="2"/>
    </row>
    <row r="1168" spans="1:8">
      <c r="A1168" s="39">
        <v>4.84788632825838</v>
      </c>
      <c r="B1168" s="40">
        <v>6</v>
      </c>
      <c r="D1168" s="2"/>
      <c r="E1168" s="31"/>
      <c r="G1168" s="43"/>
      <c r="H1168" s="2"/>
    </row>
    <row r="1169" spans="1:8">
      <c r="A1169" s="39">
        <v>4.84788632825838</v>
      </c>
      <c r="B1169" s="40">
        <v>9</v>
      </c>
      <c r="D1169" s="2"/>
      <c r="E1169" s="31"/>
      <c r="G1169" s="43"/>
      <c r="H1169" s="2"/>
    </row>
    <row r="1170" spans="1:8">
      <c r="A1170" s="39">
        <v>4.84755246074984</v>
      </c>
      <c r="B1170" s="40">
        <v>4.7</v>
      </c>
      <c r="D1170" s="2"/>
      <c r="E1170" s="31"/>
      <c r="G1170" s="43"/>
      <c r="H1170" s="2"/>
    </row>
    <row r="1171" spans="1:8">
      <c r="A1171" s="39">
        <v>4.84522764369884</v>
      </c>
      <c r="B1171" s="40">
        <v>0</v>
      </c>
      <c r="D1171" s="2"/>
      <c r="E1171" s="31"/>
      <c r="G1171" s="43"/>
      <c r="H1171" s="2"/>
    </row>
    <row r="1172" spans="1:8">
      <c r="A1172" s="39">
        <v>4.84518806128532</v>
      </c>
      <c r="B1172" s="40">
        <v>0</v>
      </c>
      <c r="D1172" s="2"/>
      <c r="E1172" s="31"/>
      <c r="G1172" s="43"/>
      <c r="H1172" s="2"/>
    </row>
    <row r="1173" spans="1:8">
      <c r="A1173" s="39">
        <v>4.84338921663662</v>
      </c>
      <c r="B1173" s="40">
        <v>0</v>
      </c>
      <c r="D1173" s="2"/>
      <c r="E1173" s="31"/>
      <c r="G1173" s="43"/>
      <c r="H1173" s="2"/>
    </row>
    <row r="1174" spans="1:8">
      <c r="A1174" s="39">
        <v>4.84042277693594</v>
      </c>
      <c r="B1174" s="40">
        <v>0</v>
      </c>
      <c r="D1174" s="2"/>
      <c r="E1174" s="31"/>
      <c r="G1174" s="43"/>
      <c r="H1174" s="2"/>
    </row>
    <row r="1175" spans="1:8">
      <c r="A1175" s="39">
        <v>4.84042277693594</v>
      </c>
      <c r="B1175" s="40">
        <v>0</v>
      </c>
      <c r="D1175" s="2"/>
      <c r="E1175" s="31"/>
      <c r="G1175" s="43"/>
      <c r="H1175" s="2"/>
    </row>
    <row r="1176" spans="1:8">
      <c r="A1176" s="39">
        <v>4.83889210501486</v>
      </c>
      <c r="B1176" s="40">
        <v>1</v>
      </c>
      <c r="D1176" s="2"/>
      <c r="E1176" s="31"/>
      <c r="G1176" s="43"/>
      <c r="H1176" s="2"/>
    </row>
    <row r="1177" spans="1:8">
      <c r="A1177" s="39">
        <v>4.83855733978691</v>
      </c>
      <c r="B1177" s="40">
        <v>2.4</v>
      </c>
      <c r="D1177" s="2"/>
      <c r="E1177" s="31"/>
      <c r="G1177" s="43"/>
      <c r="H1177" s="2"/>
    </row>
    <row r="1178" spans="1:8">
      <c r="A1178" s="39">
        <v>4.83773960151755</v>
      </c>
      <c r="B1178" s="40">
        <v>4.8</v>
      </c>
      <c r="D1178" s="2"/>
      <c r="E1178" s="31"/>
      <c r="G1178" s="43"/>
      <c r="H1178" s="2"/>
    </row>
    <row r="1179" spans="1:8">
      <c r="A1179" s="39">
        <v>4.83773960151755</v>
      </c>
      <c r="B1179" s="40">
        <v>3.4</v>
      </c>
      <c r="D1179" s="2"/>
      <c r="E1179" s="31"/>
      <c r="G1179" s="43"/>
      <c r="H1179" s="2"/>
    </row>
    <row r="1180" spans="1:8">
      <c r="A1180" s="39">
        <v>4.83695963059442</v>
      </c>
      <c r="B1180" s="40">
        <v>6.9</v>
      </c>
      <c r="D1180" s="2"/>
      <c r="E1180" s="31"/>
      <c r="G1180" s="43"/>
      <c r="H1180" s="2"/>
    </row>
    <row r="1181" spans="1:8">
      <c r="A1181" s="39">
        <v>4.83486887648567</v>
      </c>
      <c r="B1181" s="40">
        <v>7.9</v>
      </c>
      <c r="D1181" s="2"/>
      <c r="E1181" s="31"/>
      <c r="G1181" s="43"/>
      <c r="H1181" s="2"/>
    </row>
    <row r="1182" spans="1:8">
      <c r="A1182" s="39">
        <v>4.83486887648567</v>
      </c>
      <c r="B1182" s="40">
        <v>7.2</v>
      </c>
      <c r="D1182" s="2"/>
      <c r="E1182" s="31"/>
      <c r="G1182" s="43"/>
      <c r="H1182" s="2"/>
    </row>
    <row r="1183" spans="1:8">
      <c r="A1183" s="39">
        <v>4.83446864844012</v>
      </c>
      <c r="B1183" s="40">
        <v>1.9</v>
      </c>
      <c r="D1183" s="2"/>
      <c r="E1183" s="31"/>
      <c r="G1183" s="43"/>
      <c r="H1183" s="2"/>
    </row>
    <row r="1184" spans="1:8">
      <c r="A1184" s="39">
        <v>4.8336959634679</v>
      </c>
      <c r="B1184" s="40">
        <v>5</v>
      </c>
      <c r="D1184" s="2"/>
      <c r="E1184" s="31"/>
      <c r="G1184" s="43"/>
      <c r="H1184" s="2"/>
    </row>
    <row r="1185" spans="1:8">
      <c r="A1185" s="39">
        <v>4.8336959634679</v>
      </c>
      <c r="B1185" s="40">
        <v>9.6</v>
      </c>
      <c r="D1185" s="2"/>
      <c r="E1185" s="31"/>
      <c r="G1185" s="43"/>
      <c r="H1185" s="2"/>
    </row>
    <row r="1186" spans="1:8">
      <c r="A1186" s="39">
        <v>4.83321547679161</v>
      </c>
      <c r="B1186" s="40">
        <v>6.54</v>
      </c>
      <c r="D1186" s="2"/>
      <c r="E1186" s="31"/>
      <c r="G1186" s="43"/>
      <c r="H1186" s="2"/>
    </row>
    <row r="1187" spans="1:8">
      <c r="A1187" s="39">
        <v>4.83259614874439</v>
      </c>
      <c r="B1187" s="40">
        <v>10</v>
      </c>
      <c r="D1187" s="2"/>
      <c r="E1187" s="31"/>
      <c r="G1187" s="43"/>
      <c r="H1187" s="2"/>
    </row>
    <row r="1188" spans="1:8">
      <c r="A1188" s="39">
        <v>4.83081304341016</v>
      </c>
      <c r="B1188" s="40">
        <v>0</v>
      </c>
      <c r="D1188" s="2"/>
      <c r="E1188" s="31"/>
      <c r="G1188" s="43"/>
      <c r="H1188" s="2"/>
    </row>
    <row r="1189" spans="1:8">
      <c r="A1189" s="39">
        <v>4.83068736826817</v>
      </c>
      <c r="B1189" s="40">
        <v>1</v>
      </c>
      <c r="D1189" s="2"/>
      <c r="E1189" s="31"/>
      <c r="G1189" s="43"/>
      <c r="H1189" s="2"/>
    </row>
    <row r="1190" spans="1:8">
      <c r="A1190" s="39">
        <v>4.83037995709334</v>
      </c>
      <c r="B1190" s="40">
        <v>9</v>
      </c>
      <c r="D1190" s="2"/>
      <c r="E1190" s="31"/>
      <c r="G1190" s="43"/>
      <c r="H1190" s="2"/>
    </row>
    <row r="1191" spans="1:8">
      <c r="A1191" s="39">
        <v>4.83037995709334</v>
      </c>
      <c r="B1191" s="40">
        <v>5.5</v>
      </c>
      <c r="D1191" s="2"/>
      <c r="E1191" s="31"/>
      <c r="G1191" s="43"/>
      <c r="H1191" s="2"/>
    </row>
    <row r="1192" spans="1:8">
      <c r="A1192" s="39">
        <v>4.83037995709334</v>
      </c>
      <c r="B1192" s="40">
        <v>6.3</v>
      </c>
      <c r="D1192" s="2"/>
      <c r="E1192" s="31"/>
      <c r="G1192" s="43"/>
      <c r="H1192" s="2"/>
    </row>
    <row r="1193" spans="1:8">
      <c r="A1193" s="39">
        <v>4.82874448055462</v>
      </c>
      <c r="B1193" s="40">
        <v>9.4</v>
      </c>
      <c r="D1193" s="2"/>
      <c r="E1193" s="31"/>
      <c r="G1193" s="43"/>
      <c r="H1193" s="2"/>
    </row>
    <row r="1194" spans="1:8">
      <c r="A1194" s="39">
        <v>4.82809903712263</v>
      </c>
      <c r="B1194" s="40">
        <v>8.1</v>
      </c>
      <c r="D1194" s="2"/>
      <c r="E1194" s="31"/>
      <c r="G1194" s="43"/>
      <c r="H1194" s="2"/>
    </row>
    <row r="1195" spans="1:8">
      <c r="A1195" s="39">
        <v>4.82793012335243</v>
      </c>
      <c r="B1195" s="40">
        <v>3.9</v>
      </c>
      <c r="D1195" s="2"/>
      <c r="E1195" s="31"/>
      <c r="G1195" s="43"/>
      <c r="H1195" s="2"/>
    </row>
    <row r="1196" spans="1:8">
      <c r="A1196" s="39">
        <v>4.82648866332356</v>
      </c>
      <c r="B1196" s="40">
        <v>4.6</v>
      </c>
      <c r="D1196" s="2"/>
      <c r="E1196" s="31"/>
      <c r="G1196" s="43"/>
      <c r="H1196" s="2"/>
    </row>
    <row r="1197" spans="1:8">
      <c r="A1197" s="39">
        <v>4.82629126574655</v>
      </c>
      <c r="B1197" s="40">
        <v>13.2</v>
      </c>
      <c r="D1197" s="2"/>
      <c r="E1197" s="31"/>
      <c r="G1197" s="43"/>
      <c r="H1197" s="2"/>
    </row>
    <row r="1198" spans="1:8">
      <c r="A1198" s="39">
        <v>4.82547352747719</v>
      </c>
      <c r="B1198" s="40">
        <v>6.9</v>
      </c>
      <c r="D1198" s="2"/>
      <c r="E1198" s="31"/>
      <c r="G1198" s="43"/>
      <c r="H1198" s="2"/>
    </row>
    <row r="1199" spans="1:8">
      <c r="A1199" s="39">
        <v>4.82547352747719</v>
      </c>
      <c r="B1199" s="40">
        <v>4.4</v>
      </c>
      <c r="D1199" s="2"/>
      <c r="E1199" s="31"/>
      <c r="G1199" s="43"/>
      <c r="H1199" s="2"/>
    </row>
    <row r="1200" spans="1:8">
      <c r="A1200" s="39">
        <v>4.82220257439976</v>
      </c>
      <c r="B1200" s="40">
        <v>3</v>
      </c>
      <c r="D1200" s="2"/>
      <c r="E1200" s="31"/>
      <c r="G1200" s="43"/>
      <c r="H1200" s="2"/>
    </row>
    <row r="1201" spans="1:8">
      <c r="A1201" s="39">
        <v>4.82090365852782</v>
      </c>
      <c r="B1201" s="40">
        <v>1</v>
      </c>
      <c r="D1201" s="2"/>
      <c r="E1201" s="31"/>
      <c r="G1201" s="43"/>
      <c r="H1201" s="2"/>
    </row>
    <row r="1202" spans="1:8">
      <c r="A1202" s="39">
        <v>4.82023359772441</v>
      </c>
      <c r="B1202" s="40">
        <v>3.5</v>
      </c>
      <c r="D1202" s="2"/>
      <c r="E1202" s="31"/>
      <c r="G1202" s="43"/>
      <c r="H1202" s="2"/>
    </row>
    <row r="1203" spans="1:8">
      <c r="A1203" s="39">
        <v>4.82023359772441</v>
      </c>
      <c r="B1203" s="40">
        <v>0</v>
      </c>
      <c r="D1203" s="2"/>
      <c r="E1203" s="31"/>
      <c r="G1203" s="43"/>
      <c r="H1203" s="2"/>
    </row>
    <row r="1204" spans="1:8">
      <c r="A1204" s="39">
        <v>4.81893162132233</v>
      </c>
      <c r="B1204" s="40">
        <v>6</v>
      </c>
      <c r="D1204" s="2"/>
      <c r="E1204" s="31"/>
      <c r="G1204" s="43"/>
      <c r="H1204" s="2"/>
    </row>
    <row r="1205" spans="1:8">
      <c r="A1205" s="39">
        <v>4.81500671245254</v>
      </c>
      <c r="B1205" s="40">
        <v>6.2</v>
      </c>
      <c r="D1205" s="2"/>
      <c r="E1205" s="31"/>
      <c r="G1205" s="43"/>
      <c r="H1205" s="2"/>
    </row>
    <row r="1206" spans="1:8">
      <c r="A1206" s="39">
        <v>4.81460770225735</v>
      </c>
      <c r="B1206" s="40">
        <v>8.9</v>
      </c>
      <c r="D1206" s="2"/>
      <c r="E1206" s="31"/>
      <c r="G1206" s="43"/>
      <c r="H1206" s="2"/>
    </row>
    <row r="1207" spans="1:8">
      <c r="A1207" s="39">
        <v>4.81402519170619</v>
      </c>
      <c r="B1207" s="40">
        <v>2.5</v>
      </c>
      <c r="D1207" s="2"/>
      <c r="E1207" s="31"/>
      <c r="G1207" s="43"/>
      <c r="H1207" s="2"/>
    </row>
    <row r="1208" spans="1:8">
      <c r="A1208" s="39">
        <v>4.81402519170619</v>
      </c>
      <c r="B1208" s="40">
        <v>2</v>
      </c>
      <c r="D1208" s="2"/>
      <c r="E1208" s="31"/>
      <c r="G1208" s="43"/>
      <c r="H1208" s="2"/>
    </row>
    <row r="1209" spans="1:8">
      <c r="A1209" s="39">
        <v>4.81207406303489</v>
      </c>
      <c r="B1209" s="40">
        <v>4.2</v>
      </c>
      <c r="D1209" s="44"/>
      <c r="E1209" s="31"/>
      <c r="G1209" s="43"/>
      <c r="H1209" s="2"/>
    </row>
    <row r="1210" spans="1:8">
      <c r="A1210" s="39">
        <v>4.81075423862876</v>
      </c>
      <c r="B1210" s="40">
        <v>4.5</v>
      </c>
      <c r="D1210" s="2"/>
      <c r="E1210" s="31"/>
      <c r="G1210" s="43"/>
      <c r="H1210" s="2"/>
    </row>
    <row r="1211" spans="1:8">
      <c r="A1211" s="39">
        <v>4.81063260300602</v>
      </c>
      <c r="B1211" s="40">
        <v>1</v>
      </c>
      <c r="D1211" s="2"/>
      <c r="E1211" s="31"/>
      <c r="G1211" s="43"/>
      <c r="H1211" s="2"/>
    </row>
    <row r="1212" spans="1:8">
      <c r="A1212" s="39">
        <v>4.8099365003594</v>
      </c>
      <c r="B1212" s="40">
        <v>6.2</v>
      </c>
      <c r="D1212" s="2"/>
      <c r="E1212" s="31"/>
      <c r="G1212" s="43"/>
      <c r="H1212" s="44"/>
    </row>
    <row r="1213" spans="1:8">
      <c r="A1213" s="39">
        <v>4.80911876209005</v>
      </c>
      <c r="B1213" s="40">
        <v>6.9</v>
      </c>
      <c r="D1213" s="2"/>
      <c r="E1213" s="31"/>
      <c r="G1213" s="43"/>
      <c r="H1213" s="44"/>
    </row>
    <row r="1214" spans="1:8">
      <c r="A1214" s="39">
        <v>4.80911876209005</v>
      </c>
      <c r="B1214" s="40">
        <v>2</v>
      </c>
      <c r="D1214" s="2"/>
      <c r="E1214" s="31"/>
      <c r="G1214" s="43"/>
      <c r="H1214" s="44"/>
    </row>
    <row r="1215" spans="1:8">
      <c r="A1215" s="39">
        <v>4.80741232366253</v>
      </c>
      <c r="B1215" s="40">
        <v>5.8</v>
      </c>
      <c r="D1215" s="2"/>
      <c r="E1215" s="31"/>
      <c r="G1215" s="43"/>
      <c r="H1215" s="44"/>
    </row>
    <row r="1216" spans="1:8">
      <c r="A1216" s="39">
        <v>4.80678870959571</v>
      </c>
      <c r="B1216" s="40">
        <v>7.4</v>
      </c>
      <c r="D1216" s="2"/>
      <c r="E1216" s="31"/>
      <c r="G1216" s="43"/>
      <c r="H1216" s="44"/>
    </row>
    <row r="1217" spans="1:8">
      <c r="A1217" s="39">
        <v>4.80666554728198</v>
      </c>
      <c r="B1217" s="40">
        <v>4</v>
      </c>
      <c r="D1217" s="2"/>
      <c r="E1217" s="31"/>
      <c r="G1217" s="43"/>
      <c r="H1217" s="44"/>
    </row>
    <row r="1218" spans="1:8">
      <c r="A1218" s="39">
        <v>4.80584780901262</v>
      </c>
      <c r="B1218" s="40">
        <v>5.2</v>
      </c>
      <c r="D1218" s="2"/>
      <c r="E1218" s="31"/>
      <c r="G1218" s="43"/>
      <c r="H1218" s="2"/>
    </row>
    <row r="1219" spans="1:8">
      <c r="A1219" s="39">
        <v>4.80455294190878</v>
      </c>
      <c r="B1219" s="40">
        <v>5.4</v>
      </c>
      <c r="D1219" s="2"/>
      <c r="E1219" s="31"/>
      <c r="G1219" s="43"/>
      <c r="H1219" s="2"/>
    </row>
    <row r="1220" spans="1:8">
      <c r="A1220" s="39">
        <v>4.80455294190878</v>
      </c>
      <c r="B1220" s="40">
        <v>8.3</v>
      </c>
      <c r="D1220" s="2"/>
      <c r="E1220" s="31"/>
      <c r="G1220" s="43"/>
      <c r="H1220" s="2"/>
    </row>
    <row r="1221" spans="1:8">
      <c r="A1221" s="39">
        <v>4.8042123324739</v>
      </c>
      <c r="B1221" s="40">
        <v>9.3</v>
      </c>
      <c r="D1221" s="2"/>
      <c r="E1221" s="31"/>
      <c r="G1221" s="43"/>
      <c r="H1221" s="2"/>
    </row>
    <row r="1222" spans="1:8">
      <c r="A1222" s="39">
        <v>4.80350756485441</v>
      </c>
      <c r="B1222" s="40">
        <v>10.8</v>
      </c>
      <c r="D1222" s="2"/>
      <c r="E1222" s="31"/>
      <c r="G1222" s="43"/>
      <c r="H1222" s="2"/>
    </row>
    <row r="1223" spans="1:8">
      <c r="A1223" s="39">
        <v>4.8029448161854</v>
      </c>
      <c r="B1223" s="40">
        <v>4.99</v>
      </c>
      <c r="D1223" s="2"/>
      <c r="E1223" s="31"/>
      <c r="G1223" s="43"/>
      <c r="H1223" s="2"/>
    </row>
    <row r="1224" spans="1:8">
      <c r="A1224" s="39">
        <v>4.80111636739207</v>
      </c>
      <c r="B1224" s="40">
        <v>5.8</v>
      </c>
      <c r="D1224" s="2"/>
      <c r="E1224" s="31"/>
      <c r="G1224" s="43"/>
      <c r="H1224" s="2"/>
    </row>
    <row r="1225" spans="1:8">
      <c r="A1225" s="39">
        <v>4.80111636739207</v>
      </c>
      <c r="B1225" s="40">
        <v>4.5</v>
      </c>
      <c r="D1225" s="2"/>
      <c r="E1225" s="31"/>
      <c r="G1225" s="43"/>
      <c r="H1225" s="2"/>
    </row>
    <row r="1226" spans="1:8">
      <c r="A1226" s="39">
        <v>4.80037143369128</v>
      </c>
      <c r="B1226" s="40">
        <v>2.5</v>
      </c>
      <c r="D1226" s="2"/>
      <c r="E1226" s="31"/>
      <c r="G1226" s="43"/>
      <c r="H1226" s="2"/>
    </row>
    <row r="1227" spans="1:8">
      <c r="A1227" s="39">
        <v>4.80006189612766</v>
      </c>
      <c r="B1227" s="40">
        <v>7</v>
      </c>
      <c r="D1227" s="2"/>
      <c r="E1227" s="31"/>
      <c r="G1227" s="43"/>
      <c r="H1227" s="2"/>
    </row>
    <row r="1228" spans="1:8">
      <c r="A1228" s="39">
        <v>4.79828067958253</v>
      </c>
      <c r="B1228" s="40">
        <v>9.4</v>
      </c>
      <c r="D1228" s="2"/>
      <c r="E1228" s="31"/>
      <c r="G1228" s="43"/>
      <c r="H1228" s="2"/>
    </row>
    <row r="1229" spans="1:8">
      <c r="A1229" s="39">
        <v>4.79717897606993</v>
      </c>
      <c r="B1229" s="40">
        <v>0</v>
      </c>
      <c r="D1229" s="2"/>
      <c r="E1229" s="31"/>
      <c r="G1229" s="43"/>
      <c r="H1229" s="2"/>
    </row>
    <row r="1230" spans="1:8">
      <c r="A1230" s="39">
        <v>4.79429605601219</v>
      </c>
      <c r="B1230" s="40">
        <v>10.6</v>
      </c>
      <c r="D1230" s="2"/>
      <c r="E1230" s="31"/>
      <c r="G1230" s="43"/>
      <c r="H1230" s="2"/>
    </row>
    <row r="1231" spans="1:8">
      <c r="A1231" s="39">
        <v>4.79392098879725</v>
      </c>
      <c r="B1231" s="40">
        <v>10</v>
      </c>
      <c r="D1231" s="2"/>
      <c r="E1231" s="31"/>
      <c r="G1231" s="43"/>
      <c r="H1231" s="2"/>
    </row>
    <row r="1232" spans="1:8">
      <c r="A1232" s="39">
        <v>4.79305379431066</v>
      </c>
      <c r="B1232" s="40">
        <v>0.1</v>
      </c>
      <c r="D1232" s="2"/>
      <c r="E1232" s="31"/>
      <c r="G1232" s="43"/>
      <c r="H1232" s="2"/>
    </row>
    <row r="1233" spans="1:8">
      <c r="A1233" s="39">
        <v>4.7930215664729</v>
      </c>
      <c r="B1233" s="40">
        <v>1</v>
      </c>
      <c r="D1233" s="2"/>
      <c r="E1233" s="31"/>
      <c r="G1233" s="43"/>
      <c r="H1233" s="2"/>
    </row>
    <row r="1234" spans="1:8">
      <c r="A1234" s="39">
        <v>4.7930215664729</v>
      </c>
      <c r="B1234" s="40">
        <v>7</v>
      </c>
      <c r="D1234" s="2"/>
      <c r="E1234" s="31"/>
      <c r="G1234" s="43"/>
      <c r="H1234" s="2"/>
    </row>
    <row r="1235" spans="1:8">
      <c r="A1235" s="39">
        <v>4.79285459598333</v>
      </c>
      <c r="B1235" s="40">
        <v>3.3</v>
      </c>
      <c r="D1235" s="2"/>
      <c r="E1235" s="31"/>
      <c r="G1235" s="43"/>
      <c r="H1235" s="2"/>
    </row>
    <row r="1236" spans="1:8">
      <c r="A1236" s="39">
        <v>4.79045216260188</v>
      </c>
      <c r="B1236" s="40">
        <v>2.5</v>
      </c>
      <c r="D1236" s="2"/>
      <c r="E1236" s="31"/>
      <c r="G1236" s="43"/>
      <c r="H1236" s="2"/>
    </row>
    <row r="1237" spans="1:8">
      <c r="A1237" s="39">
        <v>4.79045216260188</v>
      </c>
      <c r="B1237" s="40">
        <v>9.1</v>
      </c>
      <c r="D1237" s="2"/>
      <c r="E1237" s="31"/>
      <c r="G1237" s="43"/>
      <c r="H1237" s="2"/>
    </row>
    <row r="1238" spans="1:8">
      <c r="A1238" s="39">
        <v>4.79032329949984</v>
      </c>
      <c r="B1238" s="40">
        <v>5.9</v>
      </c>
      <c r="D1238" s="2"/>
      <c r="E1238" s="31"/>
      <c r="G1238" s="43"/>
      <c r="H1238" s="2"/>
    </row>
    <row r="1239" spans="1:8">
      <c r="A1239" s="39">
        <v>4.78949304362547</v>
      </c>
      <c r="B1239" s="40">
        <v>3.8</v>
      </c>
      <c r="D1239" s="2"/>
      <c r="E1239" s="31"/>
      <c r="G1239" s="43"/>
      <c r="H1239" s="2"/>
    </row>
    <row r="1240" spans="1:8">
      <c r="A1240" s="39">
        <v>4.78887228609315</v>
      </c>
      <c r="B1240" s="40">
        <v>5</v>
      </c>
      <c r="D1240" s="2"/>
      <c r="E1240" s="31"/>
      <c r="G1240" s="43"/>
      <c r="H1240" s="2"/>
    </row>
    <row r="1241" spans="1:8">
      <c r="A1241" s="39">
        <v>4.78622209054804</v>
      </c>
      <c r="B1241" s="40">
        <v>7.6</v>
      </c>
      <c r="D1241" s="2"/>
      <c r="E1241" s="31"/>
      <c r="G1241" s="43"/>
      <c r="H1241" s="2"/>
    </row>
    <row r="1242" spans="1:8">
      <c r="A1242" s="39">
        <v>4.78540435227869</v>
      </c>
      <c r="B1242" s="40">
        <v>2.4</v>
      </c>
      <c r="D1242" s="2"/>
      <c r="E1242" s="31"/>
      <c r="G1242" s="43"/>
      <c r="H1242" s="2"/>
    </row>
    <row r="1243" spans="1:8">
      <c r="A1243" s="39">
        <v>4.78492676555373</v>
      </c>
      <c r="B1243" s="40">
        <v>1</v>
      </c>
      <c r="D1243" s="2"/>
      <c r="E1243" s="31"/>
      <c r="G1243" s="43"/>
      <c r="H1243" s="2"/>
    </row>
    <row r="1244" spans="1:8">
      <c r="A1244" s="39">
        <v>4.78469077787565</v>
      </c>
      <c r="B1244" s="40">
        <v>0</v>
      </c>
      <c r="D1244" s="2"/>
      <c r="E1244" s="31"/>
      <c r="G1244" s="43"/>
      <c r="H1244" s="2"/>
    </row>
    <row r="1245" spans="1:8">
      <c r="A1245" s="39">
        <v>4.7813156609319</v>
      </c>
      <c r="B1245" s="40">
        <v>3.5</v>
      </c>
      <c r="D1245" s="2"/>
      <c r="E1245" s="31"/>
      <c r="G1245" s="43"/>
      <c r="H1245" s="2"/>
    </row>
    <row r="1246" spans="1:8">
      <c r="A1246" s="39">
        <v>4.77892048237095</v>
      </c>
      <c r="B1246" s="40">
        <v>10.3</v>
      </c>
      <c r="D1246" s="2"/>
      <c r="E1246" s="31"/>
      <c r="G1246" s="43"/>
      <c r="H1246" s="2"/>
    </row>
    <row r="1247" spans="1:8">
      <c r="A1247" s="39">
        <v>4.77863080928326</v>
      </c>
      <c r="B1247" s="40">
        <v>4.9</v>
      </c>
      <c r="D1247" s="2"/>
      <c r="E1247" s="31"/>
      <c r="G1247" s="43"/>
      <c r="H1247" s="2"/>
    </row>
    <row r="1248" spans="1:8">
      <c r="A1248" s="39">
        <v>4.7741336976615</v>
      </c>
      <c r="B1248" s="40">
        <v>4</v>
      </c>
      <c r="D1248" s="2"/>
      <c r="E1248" s="31"/>
      <c r="G1248" s="43"/>
      <c r="H1248" s="2"/>
    </row>
    <row r="1249" spans="1:8">
      <c r="A1249" s="39">
        <v>4.77323427533715</v>
      </c>
      <c r="B1249" s="40">
        <v>8</v>
      </c>
      <c r="D1249" s="2"/>
      <c r="E1249" s="31"/>
      <c r="G1249" s="43"/>
      <c r="H1249" s="2"/>
    </row>
    <row r="1250" spans="1:8">
      <c r="A1250" s="39">
        <v>4.77053600836409</v>
      </c>
      <c r="B1250" s="40">
        <v>5</v>
      </c>
      <c r="D1250" s="2"/>
      <c r="E1250" s="31"/>
      <c r="G1250" s="43"/>
      <c r="H1250" s="2"/>
    </row>
    <row r="1251" spans="1:8">
      <c r="A1251" s="39">
        <v>4.76823184862218</v>
      </c>
      <c r="B1251" s="40">
        <v>5.8</v>
      </c>
      <c r="D1251" s="2"/>
      <c r="E1251" s="31"/>
      <c r="G1251" s="43"/>
      <c r="H1251" s="2"/>
    </row>
    <row r="1252" spans="1:8">
      <c r="A1252" s="39">
        <v>4.76823184862218</v>
      </c>
      <c r="B1252" s="40">
        <v>9.05</v>
      </c>
      <c r="D1252" s="2"/>
      <c r="E1252" s="31"/>
      <c r="G1252" s="43"/>
      <c r="H1252" s="2"/>
    </row>
    <row r="1253" spans="1:8">
      <c r="A1253" s="39">
        <v>4.76691936795127</v>
      </c>
      <c r="B1253" s="40">
        <v>11.2</v>
      </c>
      <c r="D1253" s="2"/>
      <c r="E1253" s="31"/>
      <c r="G1253" s="43"/>
      <c r="H1253" s="2"/>
    </row>
    <row r="1254" spans="1:8">
      <c r="A1254" s="39">
        <v>4.76642782878743</v>
      </c>
      <c r="B1254" s="40">
        <v>1.3</v>
      </c>
      <c r="D1254" s="2"/>
      <c r="E1254" s="31"/>
      <c r="G1254" s="43"/>
      <c r="H1254" s="2"/>
    </row>
    <row r="1255" spans="1:8">
      <c r="A1255" s="39">
        <v>4.76642782878743</v>
      </c>
      <c r="B1255" s="40">
        <v>7.4</v>
      </c>
      <c r="D1255" s="2"/>
      <c r="E1255" s="31"/>
      <c r="G1255" s="43"/>
      <c r="H1255" s="2"/>
    </row>
    <row r="1256" spans="1:8">
      <c r="A1256" s="39">
        <v>4.76603889674233</v>
      </c>
      <c r="B1256" s="40">
        <v>1</v>
      </c>
      <c r="D1256" s="2"/>
      <c r="E1256" s="31"/>
      <c r="G1256" s="43"/>
      <c r="H1256" s="2"/>
    </row>
    <row r="1257" spans="1:8">
      <c r="A1257" s="39">
        <v>4.76496089554476</v>
      </c>
      <c r="B1257" s="40">
        <v>6.3</v>
      </c>
      <c r="D1257" s="2"/>
      <c r="E1257" s="31"/>
      <c r="G1257" s="43"/>
      <c r="H1257" s="2"/>
    </row>
    <row r="1258" spans="1:8">
      <c r="A1258" s="39">
        <v>4.76424005209363</v>
      </c>
      <c r="B1258" s="40">
        <v>6.8</v>
      </c>
      <c r="D1258" s="2"/>
      <c r="E1258" s="31"/>
      <c r="G1258" s="43"/>
      <c r="H1258" s="2"/>
    </row>
    <row r="1259" spans="1:8">
      <c r="A1259" s="39">
        <v>4.76402539540599</v>
      </c>
      <c r="B1259" s="40">
        <v>4.1</v>
      </c>
      <c r="D1259" s="2"/>
      <c r="E1259" s="31"/>
      <c r="G1259" s="43"/>
      <c r="H1259" s="2"/>
    </row>
    <row r="1260" spans="1:8">
      <c r="A1260" s="39">
        <v>4.7616924826794</v>
      </c>
      <c r="B1260" s="40">
        <v>2.5</v>
      </c>
      <c r="D1260" s="2"/>
      <c r="E1260" s="31"/>
      <c r="G1260" s="43"/>
      <c r="H1260" s="2"/>
    </row>
    <row r="1261" spans="1:8">
      <c r="A1261" s="39">
        <v>4.76168994246733</v>
      </c>
      <c r="B1261" s="40">
        <v>0</v>
      </c>
      <c r="D1261" s="2"/>
      <c r="E1261" s="31"/>
      <c r="G1261" s="43"/>
      <c r="H1261" s="2"/>
    </row>
    <row r="1262" spans="1:8">
      <c r="A1262" s="39">
        <v>4.76162296202454</v>
      </c>
      <c r="B1262" s="40">
        <v>1</v>
      </c>
      <c r="D1262" s="2"/>
      <c r="E1262" s="31"/>
      <c r="G1262" s="43"/>
      <c r="H1262" s="2"/>
    </row>
    <row r="1263" spans="1:8">
      <c r="A1263" s="39">
        <v>4.76005446592861</v>
      </c>
      <c r="B1263" s="40">
        <v>4.8</v>
      </c>
      <c r="D1263" s="2"/>
      <c r="E1263" s="31"/>
      <c r="G1263" s="43"/>
      <c r="H1263" s="2"/>
    </row>
    <row r="1264" spans="1:8">
      <c r="A1264" s="39">
        <v>4.76005446592861</v>
      </c>
      <c r="B1264" s="40">
        <v>3.6</v>
      </c>
      <c r="D1264" s="2"/>
      <c r="E1264" s="31"/>
      <c r="G1264" s="43"/>
      <c r="H1264" s="2"/>
    </row>
    <row r="1265" spans="1:8">
      <c r="A1265" s="39">
        <v>4.75704467349881</v>
      </c>
      <c r="B1265" s="40">
        <v>6.7</v>
      </c>
      <c r="D1265" s="2"/>
      <c r="E1265" s="31"/>
      <c r="G1265" s="43"/>
      <c r="H1265" s="2"/>
    </row>
    <row r="1266" spans="1:8">
      <c r="A1266" s="39">
        <v>4.75646559740752</v>
      </c>
      <c r="B1266" s="40">
        <v>11</v>
      </c>
      <c r="D1266" s="2"/>
      <c r="E1266" s="31"/>
      <c r="G1266" s="43"/>
      <c r="H1266" s="2"/>
    </row>
    <row r="1267" spans="1:8">
      <c r="A1267" s="39">
        <v>4.75585712190907</v>
      </c>
      <c r="B1267" s="40">
        <v>8.4</v>
      </c>
      <c r="D1267" s="2"/>
      <c r="E1267" s="31"/>
      <c r="G1267" s="43"/>
      <c r="H1267" s="2"/>
    </row>
    <row r="1268" spans="1:8">
      <c r="A1268" s="39">
        <v>4.7552458288501</v>
      </c>
      <c r="B1268" s="40">
        <v>8.1</v>
      </c>
      <c r="D1268" s="2"/>
      <c r="E1268" s="31"/>
      <c r="G1268" s="43"/>
      <c r="H1268" s="2"/>
    </row>
    <row r="1269" spans="1:8">
      <c r="A1269" s="39">
        <v>4.75514803631247</v>
      </c>
      <c r="B1269" s="40">
        <v>9.6</v>
      </c>
      <c r="D1269" s="2"/>
      <c r="E1269" s="31"/>
      <c r="G1269" s="43"/>
      <c r="H1269" s="2"/>
    </row>
    <row r="1270" spans="1:8">
      <c r="A1270" s="39">
        <v>4.75489614855649</v>
      </c>
      <c r="B1270" s="40">
        <v>9</v>
      </c>
      <c r="D1270" s="2"/>
      <c r="E1270" s="31"/>
      <c r="G1270" s="43"/>
      <c r="H1270" s="2"/>
    </row>
    <row r="1271" spans="1:8">
      <c r="A1271" s="39">
        <v>4.75351255977375</v>
      </c>
      <c r="B1271" s="40">
        <v>10</v>
      </c>
      <c r="D1271" s="2"/>
      <c r="E1271" s="31"/>
      <c r="G1271" s="43"/>
      <c r="H1271" s="2"/>
    </row>
    <row r="1272" spans="1:8">
      <c r="A1272" s="39">
        <v>4.7534469842014</v>
      </c>
      <c r="B1272" s="40">
        <v>0</v>
      </c>
      <c r="D1272" s="2"/>
      <c r="E1272" s="31"/>
      <c r="G1272" s="43"/>
      <c r="H1272" s="2"/>
    </row>
    <row r="1273" spans="1:8">
      <c r="A1273" s="39">
        <v>4.7533294662444</v>
      </c>
      <c r="B1273" s="40">
        <v>8.1</v>
      </c>
      <c r="D1273" s="2"/>
      <c r="E1273" s="31"/>
      <c r="G1273" s="43"/>
      <c r="H1273" s="2"/>
    </row>
    <row r="1274" spans="1:8">
      <c r="A1274" s="39">
        <v>4.7526948215044</v>
      </c>
      <c r="B1274" s="40">
        <v>5.7</v>
      </c>
      <c r="D1274" s="2"/>
      <c r="E1274" s="31"/>
      <c r="G1274" s="43"/>
      <c r="H1274" s="2"/>
    </row>
    <row r="1275" spans="1:8">
      <c r="A1275" s="39">
        <v>4.75187708323504</v>
      </c>
      <c r="B1275" s="40">
        <v>2.7</v>
      </c>
      <c r="D1275" s="2"/>
      <c r="E1275" s="31"/>
      <c r="G1275" s="43"/>
      <c r="H1275" s="2"/>
    </row>
    <row r="1276" spans="1:8">
      <c r="A1276" s="39">
        <v>4.75187708323504</v>
      </c>
      <c r="B1276" s="40">
        <v>11.4</v>
      </c>
      <c r="D1276" s="2"/>
      <c r="E1276" s="31"/>
      <c r="G1276" s="43"/>
      <c r="H1276" s="2"/>
    </row>
    <row r="1277" spans="1:8">
      <c r="A1277" s="39">
        <v>4.7516481395527</v>
      </c>
      <c r="B1277" s="40">
        <v>9.2</v>
      </c>
      <c r="D1277" s="2"/>
      <c r="E1277" s="31"/>
      <c r="G1277" s="43"/>
      <c r="H1277" s="2"/>
    </row>
    <row r="1278" spans="1:8">
      <c r="A1278" s="39">
        <v>4.74942386842697</v>
      </c>
      <c r="B1278" s="40">
        <v>5.5</v>
      </c>
      <c r="D1278" s="2"/>
      <c r="E1278" s="31"/>
      <c r="G1278" s="43"/>
      <c r="H1278" s="2"/>
    </row>
    <row r="1279" spans="1:8">
      <c r="A1279" s="39">
        <v>4.74913030844102</v>
      </c>
      <c r="B1279" s="40">
        <v>5.1</v>
      </c>
      <c r="D1279" s="2"/>
      <c r="E1279" s="31"/>
      <c r="G1279" s="43"/>
      <c r="H1279" s="2"/>
    </row>
    <row r="1280" spans="1:8">
      <c r="A1280" s="39">
        <v>4.74894987257964</v>
      </c>
      <c r="B1280" s="40">
        <v>6</v>
      </c>
      <c r="D1280" s="2"/>
      <c r="E1280" s="31"/>
      <c r="G1280" s="43"/>
      <c r="H1280" s="2"/>
    </row>
    <row r="1281" spans="1:8">
      <c r="A1281" s="39">
        <v>4.74887702750126</v>
      </c>
      <c r="B1281" s="40">
        <v>9.8</v>
      </c>
      <c r="D1281" s="2"/>
      <c r="E1281" s="31"/>
      <c r="G1281" s="43"/>
      <c r="H1281" s="2"/>
    </row>
    <row r="1282" spans="1:8">
      <c r="A1282" s="39">
        <v>4.74860613015761</v>
      </c>
      <c r="B1282" s="40">
        <v>5.2</v>
      </c>
      <c r="D1282" s="2"/>
      <c r="E1282" s="31"/>
      <c r="G1282" s="43"/>
      <c r="H1282" s="2"/>
    </row>
    <row r="1283" spans="1:8">
      <c r="A1283" s="39">
        <v>4.74860613015761</v>
      </c>
      <c r="B1283" s="40">
        <v>8.8</v>
      </c>
      <c r="D1283" s="2"/>
      <c r="E1283" s="31"/>
      <c r="G1283" s="43"/>
      <c r="H1283" s="2"/>
    </row>
    <row r="1284" spans="1:8">
      <c r="A1284" s="39">
        <v>4.74720836173587</v>
      </c>
      <c r="B1284" s="40">
        <v>6.6</v>
      </c>
      <c r="D1284" s="2"/>
      <c r="E1284" s="31"/>
      <c r="G1284" s="43"/>
      <c r="H1284" s="2"/>
    </row>
    <row r="1285" spans="1:8">
      <c r="A1285" s="39">
        <v>4.74625160560658</v>
      </c>
      <c r="B1285" s="40">
        <v>0</v>
      </c>
      <c r="D1285" s="2"/>
      <c r="E1285" s="31"/>
      <c r="G1285" s="43"/>
      <c r="H1285" s="2"/>
    </row>
    <row r="1286" spans="1:8">
      <c r="A1286" s="39">
        <v>4.74533517708018</v>
      </c>
      <c r="B1286" s="40">
        <v>6.5</v>
      </c>
      <c r="D1286" s="2"/>
      <c r="E1286" s="31"/>
      <c r="G1286" s="43"/>
      <c r="H1286" s="2"/>
    </row>
    <row r="1287" spans="1:8">
      <c r="A1287" s="39">
        <v>4.74451743881082</v>
      </c>
      <c r="B1287" s="40">
        <v>2.4</v>
      </c>
      <c r="D1287" s="2"/>
      <c r="E1287" s="31"/>
      <c r="G1287" s="43"/>
      <c r="H1287" s="2"/>
    </row>
    <row r="1288" spans="1:8">
      <c r="A1288" s="39">
        <v>4.74451743881082</v>
      </c>
      <c r="B1288" s="40">
        <v>2.1</v>
      </c>
      <c r="D1288" s="2"/>
      <c r="E1288" s="31"/>
      <c r="G1288" s="43"/>
      <c r="H1288" s="2"/>
    </row>
    <row r="1289" spans="1:8">
      <c r="A1289" s="39">
        <v>4.74288196227211</v>
      </c>
      <c r="B1289" s="40">
        <v>2</v>
      </c>
      <c r="D1289" s="2"/>
      <c r="E1289" s="31"/>
      <c r="G1289" s="43"/>
      <c r="H1289" s="2"/>
    </row>
    <row r="1290" spans="1:8">
      <c r="A1290" s="39">
        <v>4.74000106159153</v>
      </c>
      <c r="B1290" s="40">
        <v>10.5</v>
      </c>
      <c r="D1290" s="2"/>
      <c r="E1290" s="31"/>
      <c r="G1290" s="43"/>
      <c r="H1290" s="2"/>
    </row>
    <row r="1291" spans="1:8">
      <c r="A1291" s="39">
        <v>4.73905622701177</v>
      </c>
      <c r="B1291" s="40">
        <v>1</v>
      </c>
      <c r="D1291" s="2"/>
      <c r="E1291" s="31"/>
      <c r="G1291" s="43"/>
      <c r="H1291" s="2"/>
    </row>
    <row r="1292" spans="1:8">
      <c r="A1292" s="39">
        <v>4.73759862821009</v>
      </c>
      <c r="B1292" s="40">
        <v>12.7</v>
      </c>
      <c r="D1292" s="2"/>
      <c r="E1292" s="31"/>
      <c r="G1292" s="43"/>
      <c r="H1292" s="2"/>
    </row>
    <row r="1293" spans="1:8">
      <c r="A1293" s="39">
        <v>4.73725738236306</v>
      </c>
      <c r="B1293" s="40">
        <v>4.9</v>
      </c>
      <c r="D1293" s="2"/>
      <c r="E1293" s="31"/>
      <c r="G1293" s="43"/>
      <c r="H1293" s="2"/>
    </row>
    <row r="1294" spans="1:8">
      <c r="A1294" s="39">
        <v>4.73660343337439</v>
      </c>
      <c r="B1294" s="40">
        <v>12.4</v>
      </c>
      <c r="D1294" s="2"/>
      <c r="E1294" s="31"/>
      <c r="G1294" s="43"/>
      <c r="H1294" s="2"/>
    </row>
    <row r="1295" spans="1:8">
      <c r="A1295" s="39">
        <v>4.73660343337439</v>
      </c>
      <c r="B1295" s="40">
        <v>8.5</v>
      </c>
      <c r="D1295" s="2"/>
      <c r="E1295" s="31"/>
      <c r="G1295" s="43"/>
      <c r="H1295" s="2"/>
    </row>
    <row r="1296" spans="1:8">
      <c r="A1296" s="39">
        <v>4.73634005611725</v>
      </c>
      <c r="B1296" s="40">
        <v>4.5</v>
      </c>
      <c r="D1296" s="2"/>
      <c r="E1296" s="31"/>
      <c r="G1296" s="43"/>
      <c r="H1296" s="2"/>
    </row>
    <row r="1297" spans="1:8">
      <c r="A1297" s="39">
        <v>4.73634005611725</v>
      </c>
      <c r="B1297" s="40">
        <v>5.5</v>
      </c>
      <c r="D1297" s="2"/>
      <c r="E1297" s="31"/>
      <c r="G1297" s="43"/>
      <c r="H1297" s="2"/>
    </row>
    <row r="1298" spans="1:8">
      <c r="A1298" s="39">
        <v>4.73451267926564</v>
      </c>
      <c r="B1298" s="40">
        <v>4.2</v>
      </c>
      <c r="D1298" s="2"/>
      <c r="E1298" s="31"/>
      <c r="G1298" s="43"/>
      <c r="H1298" s="2"/>
    </row>
    <row r="1299" spans="1:8">
      <c r="A1299" s="39">
        <v>4.73375473479977</v>
      </c>
      <c r="B1299" s="40">
        <v>8.5</v>
      </c>
      <c r="D1299" s="2"/>
      <c r="E1299" s="31"/>
      <c r="G1299" s="43"/>
      <c r="H1299" s="2"/>
    </row>
    <row r="1300" spans="1:8">
      <c r="A1300" s="39">
        <v>4.73306910303982</v>
      </c>
      <c r="B1300" s="40">
        <v>4.2</v>
      </c>
      <c r="D1300" s="2"/>
      <c r="E1300" s="31"/>
      <c r="G1300" s="43"/>
      <c r="H1300" s="2"/>
    </row>
    <row r="1301" spans="1:8">
      <c r="A1301" s="39">
        <v>4.73225136477046</v>
      </c>
      <c r="B1301" s="40">
        <v>3</v>
      </c>
      <c r="D1301" s="2"/>
      <c r="E1301" s="31"/>
      <c r="G1301" s="43"/>
      <c r="H1301" s="2"/>
    </row>
    <row r="1302" spans="1:8">
      <c r="A1302" s="39">
        <v>4.73186084841695</v>
      </c>
      <c r="B1302" s="40">
        <v>8.2</v>
      </c>
      <c r="D1302" s="2"/>
      <c r="E1302" s="31"/>
      <c r="G1302" s="43"/>
      <c r="H1302" s="2"/>
    </row>
    <row r="1303" spans="1:8">
      <c r="A1303" s="39">
        <v>4.73137654810251</v>
      </c>
      <c r="B1303" s="40">
        <v>2.8</v>
      </c>
      <c r="D1303" s="2"/>
      <c r="E1303" s="31"/>
      <c r="G1303" s="43"/>
      <c r="H1303" s="2"/>
    </row>
    <row r="1304" spans="1:8">
      <c r="A1304" s="39">
        <v>4.73061588823175</v>
      </c>
      <c r="B1304" s="40">
        <v>7.9</v>
      </c>
      <c r="D1304" s="2"/>
      <c r="E1304" s="31"/>
      <c r="G1304" s="43"/>
      <c r="H1304" s="2"/>
    </row>
    <row r="1305" spans="1:8">
      <c r="A1305" s="39">
        <v>4.72898041169304</v>
      </c>
      <c r="B1305" s="40">
        <v>4.2</v>
      </c>
      <c r="D1305" s="2"/>
      <c r="E1305" s="31"/>
      <c r="G1305" s="43"/>
      <c r="H1305" s="2"/>
    </row>
    <row r="1306" spans="1:8">
      <c r="A1306" s="39">
        <v>4.72798889468431</v>
      </c>
      <c r="B1306" s="40">
        <v>7</v>
      </c>
      <c r="D1306" s="2"/>
      <c r="E1306" s="31"/>
      <c r="G1306" s="43"/>
      <c r="H1306" s="2"/>
    </row>
    <row r="1307" spans="1:8">
      <c r="A1307" s="39">
        <v>4.72798889468431</v>
      </c>
      <c r="B1307" s="40">
        <v>7.2</v>
      </c>
      <c r="D1307" s="2"/>
      <c r="E1307" s="31"/>
      <c r="G1307" s="43"/>
      <c r="H1307" s="2"/>
    </row>
    <row r="1308" spans="1:8">
      <c r="A1308" s="39">
        <v>4.72510597462657</v>
      </c>
      <c r="B1308" s="40">
        <v>1.85</v>
      </c>
      <c r="D1308" s="2"/>
      <c r="E1308" s="31"/>
      <c r="G1308" s="43"/>
      <c r="H1308" s="2"/>
    </row>
    <row r="1309" spans="1:8">
      <c r="A1309" s="39">
        <v>4.72466546982213</v>
      </c>
      <c r="B1309" s="40">
        <v>4.6</v>
      </c>
      <c r="D1309" s="2"/>
      <c r="E1309" s="31"/>
      <c r="G1309" s="43"/>
      <c r="H1309" s="2"/>
    </row>
    <row r="1310" spans="1:8">
      <c r="A1310" s="39">
        <v>4.72414500127399</v>
      </c>
      <c r="B1310" s="40">
        <v>0.7</v>
      </c>
      <c r="D1310" s="2"/>
      <c r="E1310" s="31"/>
      <c r="G1310" s="43"/>
      <c r="H1310" s="2"/>
    </row>
    <row r="1311" spans="1:8">
      <c r="A1311" s="39">
        <v>4.72196815461314</v>
      </c>
      <c r="B1311" s="40">
        <v>5.1</v>
      </c>
      <c r="D1311" s="2"/>
      <c r="E1311" s="31"/>
      <c r="G1311" s="43"/>
      <c r="H1311" s="2"/>
    </row>
    <row r="1312" spans="1:8">
      <c r="A1312" s="39">
        <v>4.72196815461314</v>
      </c>
      <c r="B1312" s="40">
        <v>6</v>
      </c>
      <c r="D1312" s="2"/>
      <c r="E1312" s="31"/>
      <c r="G1312" s="43"/>
      <c r="H1312" s="2"/>
    </row>
    <row r="1313" spans="1:8">
      <c r="A1313" s="39">
        <v>4.72106778052472</v>
      </c>
      <c r="B1313" s="40">
        <v>1</v>
      </c>
      <c r="D1313" s="2"/>
      <c r="E1313" s="31"/>
      <c r="G1313" s="43"/>
      <c r="H1313" s="2"/>
    </row>
    <row r="1314" spans="1:8">
      <c r="A1314" s="39">
        <v>4.71747009122731</v>
      </c>
      <c r="B1314" s="40">
        <v>7</v>
      </c>
      <c r="D1314" s="2"/>
      <c r="E1314" s="31"/>
      <c r="G1314" s="43"/>
      <c r="H1314" s="2"/>
    </row>
    <row r="1315" spans="1:8">
      <c r="A1315" s="39">
        <v>4.71657066890296</v>
      </c>
      <c r="B1315" s="40">
        <v>6</v>
      </c>
      <c r="D1315" s="2"/>
      <c r="E1315" s="31"/>
      <c r="G1315" s="43"/>
      <c r="H1315" s="2"/>
    </row>
    <row r="1316" spans="1:8">
      <c r="A1316" s="39">
        <v>4.71645721445337</v>
      </c>
      <c r="B1316" s="40">
        <v>6.1</v>
      </c>
      <c r="D1316" s="2"/>
      <c r="E1316" s="31"/>
      <c r="G1316" s="43"/>
      <c r="H1316" s="2"/>
    </row>
    <row r="1317" spans="1:8">
      <c r="A1317" s="39">
        <v>4.71589659938332</v>
      </c>
      <c r="B1317" s="40">
        <v>1.85</v>
      </c>
      <c r="D1317" s="2"/>
      <c r="E1317" s="31"/>
      <c r="G1317" s="43"/>
      <c r="H1317" s="2"/>
    </row>
    <row r="1318" spans="1:8">
      <c r="A1318" s="39">
        <v>4.71589659938332</v>
      </c>
      <c r="B1318" s="40">
        <v>0</v>
      </c>
      <c r="D1318" s="2"/>
      <c r="E1318" s="31"/>
      <c r="G1318" s="43"/>
      <c r="H1318" s="2"/>
    </row>
    <row r="1319" spans="1:8">
      <c r="A1319" s="39">
        <v>4.71549624110079</v>
      </c>
      <c r="B1319" s="40">
        <v>8</v>
      </c>
      <c r="D1319" s="2"/>
      <c r="E1319" s="31"/>
      <c r="G1319" s="43"/>
      <c r="H1319" s="2"/>
    </row>
    <row r="1320" spans="1:8">
      <c r="A1320" s="39">
        <v>4.71465051523251</v>
      </c>
      <c r="B1320" s="40">
        <v>2</v>
      </c>
      <c r="D1320" s="2"/>
      <c r="E1320" s="31"/>
      <c r="G1320" s="43"/>
      <c r="H1320" s="2"/>
    </row>
    <row r="1321" spans="1:8">
      <c r="A1321" s="39">
        <v>4.71360513817813</v>
      </c>
      <c r="B1321" s="40">
        <v>3.5</v>
      </c>
      <c r="D1321" s="2"/>
      <c r="E1321" s="31"/>
      <c r="G1321" s="43"/>
      <c r="H1321" s="2"/>
    </row>
    <row r="1322" spans="1:8">
      <c r="A1322" s="39">
        <v>4.71180790803653</v>
      </c>
      <c r="B1322" s="40">
        <v>4.4</v>
      </c>
      <c r="D1322" s="2"/>
      <c r="E1322" s="31"/>
      <c r="G1322" s="43"/>
      <c r="H1322" s="2"/>
    </row>
    <row r="1323" spans="1:8">
      <c r="A1323" s="39">
        <v>4.71099016976718</v>
      </c>
      <c r="B1323" s="40">
        <v>5.7</v>
      </c>
      <c r="D1323" s="2"/>
      <c r="E1323" s="31"/>
      <c r="G1323" s="43"/>
      <c r="H1323" s="2"/>
    </row>
    <row r="1324" spans="1:8">
      <c r="A1324" s="39">
        <v>4.71027471263249</v>
      </c>
      <c r="B1324" s="40">
        <v>11</v>
      </c>
      <c r="D1324" s="2"/>
      <c r="E1324" s="31"/>
      <c r="G1324" s="43"/>
      <c r="H1324" s="2"/>
    </row>
    <row r="1325" spans="1:8">
      <c r="A1325" s="39">
        <v>4.70876942763274</v>
      </c>
      <c r="B1325" s="40">
        <v>5.5</v>
      </c>
      <c r="D1325" s="2"/>
      <c r="E1325" s="31"/>
      <c r="G1325" s="43"/>
      <c r="H1325" s="2"/>
    </row>
    <row r="1326" spans="1:8">
      <c r="A1326" s="39">
        <v>4.70876942763274</v>
      </c>
      <c r="B1326" s="40">
        <v>3.2</v>
      </c>
      <c r="D1326" s="2"/>
      <c r="E1326" s="31"/>
      <c r="G1326" s="43"/>
      <c r="H1326" s="2"/>
    </row>
    <row r="1327" spans="1:8">
      <c r="A1327" s="39">
        <v>4.7085369549591</v>
      </c>
      <c r="B1327" s="40">
        <v>7.1</v>
      </c>
      <c r="D1327" s="2"/>
      <c r="E1327" s="31"/>
      <c r="G1327" s="43"/>
      <c r="H1327" s="2"/>
    </row>
    <row r="1328" spans="1:8">
      <c r="A1328" s="39">
        <v>4.7085369549591</v>
      </c>
      <c r="B1328" s="40">
        <v>9.5</v>
      </c>
      <c r="D1328" s="2"/>
      <c r="E1328" s="31"/>
      <c r="G1328" s="43"/>
      <c r="H1328" s="2"/>
    </row>
    <row r="1329" spans="1:8">
      <c r="A1329" s="39">
        <v>4.70847586798379</v>
      </c>
      <c r="B1329" s="40">
        <v>7.1</v>
      </c>
      <c r="D1329" s="2"/>
      <c r="E1329" s="31"/>
      <c r="G1329" s="43"/>
      <c r="H1329" s="2"/>
    </row>
    <row r="1330" spans="1:8">
      <c r="A1330" s="39">
        <v>4.70690147842039</v>
      </c>
      <c r="B1330" s="40">
        <v>3.3</v>
      </c>
      <c r="D1330" s="2"/>
      <c r="E1330" s="31"/>
      <c r="G1330" s="43"/>
      <c r="H1330" s="2"/>
    </row>
    <row r="1331" spans="1:8">
      <c r="A1331" s="39">
        <v>4.70629422659471</v>
      </c>
      <c r="B1331" s="40">
        <v>11.4</v>
      </c>
      <c r="D1331" s="2"/>
      <c r="E1331" s="31"/>
      <c r="G1331" s="43"/>
      <c r="H1331" s="2"/>
    </row>
    <row r="1332" spans="1:8">
      <c r="A1332" s="39">
        <v>4.70396456086985</v>
      </c>
      <c r="B1332" s="40">
        <v>1.5</v>
      </c>
      <c r="D1332" s="2"/>
      <c r="E1332" s="31"/>
      <c r="G1332" s="43"/>
      <c r="H1332" s="2"/>
    </row>
    <row r="1333" spans="1:8">
      <c r="A1333" s="39">
        <v>4.70363052534296</v>
      </c>
      <c r="B1333" s="40">
        <v>3.2</v>
      </c>
      <c r="D1333" s="2"/>
      <c r="E1333" s="31"/>
      <c r="G1333" s="43"/>
      <c r="H1333" s="2"/>
    </row>
    <row r="1334" spans="1:8">
      <c r="A1334" s="39">
        <v>4.7028127870736</v>
      </c>
      <c r="B1334" s="40">
        <v>4.2</v>
      </c>
      <c r="D1334" s="2"/>
      <c r="E1334" s="31"/>
      <c r="G1334" s="43"/>
      <c r="H1334" s="2"/>
    </row>
    <row r="1335" spans="1:8">
      <c r="A1335" s="39">
        <v>4.70128048938897</v>
      </c>
      <c r="B1335" s="40">
        <v>6.8</v>
      </c>
      <c r="D1335" s="2"/>
      <c r="E1335" s="31"/>
      <c r="G1335" s="43"/>
      <c r="H1335" s="2"/>
    </row>
    <row r="1336" spans="1:8">
      <c r="A1336" s="39">
        <v>4.70106061352563</v>
      </c>
      <c r="B1336" s="40">
        <v>2.3</v>
      </c>
      <c r="D1336" s="2"/>
      <c r="E1336" s="31"/>
      <c r="G1336" s="43"/>
      <c r="H1336" s="2"/>
    </row>
    <row r="1337" spans="1:8">
      <c r="A1337" s="39">
        <v>4.70035957226553</v>
      </c>
      <c r="B1337" s="40">
        <v>5</v>
      </c>
      <c r="D1337" s="2"/>
      <c r="E1337" s="31"/>
      <c r="G1337" s="43"/>
      <c r="H1337" s="2"/>
    </row>
    <row r="1338" spans="1:8">
      <c r="A1338" s="39">
        <v>4.69954183399618</v>
      </c>
      <c r="B1338" s="40">
        <v>0</v>
      </c>
      <c r="D1338" s="2"/>
      <c r="E1338" s="31"/>
      <c r="G1338" s="43"/>
      <c r="H1338" s="2"/>
    </row>
    <row r="1339" spans="1:8">
      <c r="A1339" s="39">
        <v>4.69913200740951</v>
      </c>
      <c r="B1339" s="40">
        <v>5.1</v>
      </c>
      <c r="D1339" s="2"/>
      <c r="E1339" s="31"/>
      <c r="G1339" s="43"/>
      <c r="H1339" s="2"/>
    </row>
    <row r="1340" spans="1:8">
      <c r="A1340" s="39">
        <v>4.69896985941688</v>
      </c>
      <c r="B1340" s="40">
        <v>8.8</v>
      </c>
      <c r="D1340" s="2"/>
      <c r="E1340" s="31"/>
      <c r="G1340" s="43"/>
      <c r="H1340" s="2"/>
    </row>
    <row r="1341" spans="1:8">
      <c r="A1341" s="39">
        <v>4.69896985941688</v>
      </c>
      <c r="B1341" s="40">
        <v>11.5</v>
      </c>
      <c r="D1341" s="2"/>
      <c r="E1341" s="31"/>
      <c r="G1341" s="43"/>
      <c r="H1341" s="2"/>
    </row>
    <row r="1342" spans="1:8">
      <c r="A1342" s="39">
        <v>4.69531580069665</v>
      </c>
      <c r="B1342" s="40">
        <v>8</v>
      </c>
      <c r="D1342" s="2"/>
      <c r="E1342" s="31"/>
      <c r="G1342" s="43"/>
      <c r="H1342" s="2"/>
    </row>
    <row r="1343" spans="1:8">
      <c r="A1343" s="39">
        <v>4.69463540438003</v>
      </c>
      <c r="B1343" s="40">
        <v>7.4</v>
      </c>
      <c r="D1343" s="2"/>
      <c r="E1343" s="31"/>
      <c r="G1343" s="43"/>
      <c r="H1343" s="2"/>
    </row>
    <row r="1344" spans="1:8">
      <c r="A1344" s="39">
        <v>4.69243288063892</v>
      </c>
      <c r="B1344" s="40">
        <v>9</v>
      </c>
      <c r="D1344" s="2"/>
      <c r="E1344" s="31"/>
      <c r="G1344" s="43"/>
      <c r="H1344" s="2"/>
    </row>
    <row r="1345" spans="1:8">
      <c r="A1345" s="39">
        <v>4.69243288063892</v>
      </c>
      <c r="B1345" s="40">
        <v>11.4</v>
      </c>
      <c r="D1345" s="2"/>
      <c r="E1345" s="31"/>
      <c r="G1345" s="43"/>
      <c r="H1345" s="2"/>
    </row>
    <row r="1346" spans="1:8">
      <c r="A1346" s="39">
        <v>4.68778915452369</v>
      </c>
      <c r="B1346" s="40">
        <v>8.5</v>
      </c>
      <c r="D1346" s="2"/>
      <c r="E1346" s="31"/>
      <c r="G1346" s="43"/>
      <c r="H1346" s="2"/>
    </row>
    <row r="1347" spans="1:8">
      <c r="A1347" s="39">
        <v>4.68537995771</v>
      </c>
      <c r="B1347" s="40">
        <v>1.5</v>
      </c>
      <c r="D1347" s="2"/>
      <c r="E1347" s="31"/>
      <c r="G1347" s="43"/>
      <c r="H1347" s="2"/>
    </row>
    <row r="1348" spans="1:8">
      <c r="A1348" s="39">
        <v>4.68329204290193</v>
      </c>
      <c r="B1348" s="40">
        <v>10.7</v>
      </c>
      <c r="D1348" s="2"/>
      <c r="E1348" s="31"/>
      <c r="G1348" s="43"/>
      <c r="H1348" s="2"/>
    </row>
    <row r="1349" spans="1:8">
      <c r="A1349" s="39">
        <v>4.68318706860903</v>
      </c>
      <c r="B1349" s="40">
        <v>3</v>
      </c>
      <c r="D1349" s="2"/>
      <c r="E1349" s="31"/>
      <c r="G1349" s="43"/>
      <c r="H1349" s="2"/>
    </row>
    <row r="1350" spans="1:8">
      <c r="A1350" s="39">
        <v>4.67879493128017</v>
      </c>
      <c r="B1350" s="40">
        <v>12.2</v>
      </c>
      <c r="D1350" s="2"/>
      <c r="E1350" s="31"/>
      <c r="G1350" s="43"/>
      <c r="H1350" s="2"/>
    </row>
    <row r="1351" spans="1:8">
      <c r="A1351" s="39">
        <v>4.67801828035024</v>
      </c>
      <c r="B1351" s="40">
        <v>6.5</v>
      </c>
      <c r="D1351" s="2"/>
      <c r="E1351" s="31"/>
      <c r="G1351" s="43"/>
      <c r="H1351" s="2"/>
    </row>
    <row r="1352" spans="1:8">
      <c r="A1352" s="39">
        <v>4.67764534985391</v>
      </c>
      <c r="B1352" s="40">
        <v>12.8</v>
      </c>
      <c r="D1352" s="2"/>
      <c r="E1352" s="31"/>
      <c r="G1352" s="43"/>
      <c r="H1352" s="2"/>
    </row>
    <row r="1353" spans="1:8">
      <c r="A1353" s="39">
        <v>4.67582742418481</v>
      </c>
      <c r="B1353" s="40">
        <v>6.6</v>
      </c>
      <c r="D1353" s="2"/>
      <c r="E1353" s="31"/>
      <c r="G1353" s="43"/>
      <c r="H1353" s="2"/>
    </row>
    <row r="1354" spans="1:8">
      <c r="A1354" s="39">
        <v>4.67429781965841</v>
      </c>
      <c r="B1354" s="40">
        <v>0</v>
      </c>
      <c r="D1354" s="2"/>
      <c r="E1354" s="31"/>
      <c r="G1354" s="43"/>
      <c r="H1354" s="2"/>
    </row>
    <row r="1355" spans="1:8">
      <c r="A1355" s="39">
        <v>4.6712914668822</v>
      </c>
      <c r="B1355" s="40">
        <v>1</v>
      </c>
      <c r="D1355" s="2"/>
      <c r="E1355" s="31"/>
      <c r="G1355" s="43"/>
      <c r="H1355" s="2"/>
    </row>
    <row r="1356" spans="1:8">
      <c r="A1356" s="39">
        <v>4.67092099456867</v>
      </c>
      <c r="B1356" s="40">
        <v>4.4</v>
      </c>
      <c r="D1356" s="2"/>
      <c r="E1356" s="31"/>
      <c r="G1356" s="43"/>
      <c r="H1356" s="2"/>
    </row>
    <row r="1357" spans="1:8">
      <c r="A1357" s="39">
        <v>4.67092099456867</v>
      </c>
      <c r="B1357" s="40">
        <v>4</v>
      </c>
      <c r="D1357" s="2"/>
      <c r="E1357" s="31"/>
      <c r="G1357" s="43"/>
      <c r="H1357" s="2"/>
    </row>
    <row r="1358" spans="1:8">
      <c r="A1358" s="39">
        <v>4.66980070803664</v>
      </c>
      <c r="B1358" s="40">
        <v>9</v>
      </c>
      <c r="D1358" s="2"/>
      <c r="E1358" s="31"/>
      <c r="G1358" s="43"/>
      <c r="H1358" s="2"/>
    </row>
    <row r="1359" spans="1:8">
      <c r="A1359" s="39">
        <v>4.66969930189437</v>
      </c>
      <c r="B1359" s="40">
        <v>6.3</v>
      </c>
      <c r="D1359" s="2"/>
      <c r="E1359" s="31"/>
      <c r="G1359" s="43"/>
      <c r="H1359" s="2"/>
    </row>
    <row r="1360" spans="1:8">
      <c r="A1360" s="39">
        <v>4.66969930189437</v>
      </c>
      <c r="B1360" s="40">
        <v>5.7</v>
      </c>
      <c r="D1360" s="2"/>
      <c r="E1360" s="31"/>
      <c r="G1360" s="43"/>
      <c r="H1360" s="2"/>
    </row>
    <row r="1361" spans="1:8">
      <c r="A1361" s="39">
        <v>4.66890128571229</v>
      </c>
      <c r="B1361" s="40">
        <v>13</v>
      </c>
      <c r="D1361" s="2"/>
      <c r="E1361" s="31"/>
      <c r="G1361" s="43"/>
      <c r="H1361" s="2"/>
    </row>
    <row r="1362" spans="1:8">
      <c r="A1362" s="39">
        <v>4.66881933048592</v>
      </c>
      <c r="B1362" s="40">
        <v>8.9</v>
      </c>
      <c r="D1362" s="2"/>
      <c r="E1362" s="31"/>
      <c r="G1362" s="43"/>
      <c r="H1362" s="2"/>
    </row>
    <row r="1363" spans="1:8">
      <c r="A1363" s="39">
        <v>4.66865392484</v>
      </c>
      <c r="B1363" s="40">
        <v>3.5</v>
      </c>
      <c r="D1363" s="2"/>
      <c r="E1363" s="31"/>
      <c r="G1363" s="43"/>
      <c r="H1363" s="2"/>
    </row>
    <row r="1364" spans="1:8">
      <c r="A1364" s="39">
        <v>4.66765004149124</v>
      </c>
      <c r="B1364" s="40">
        <v>2</v>
      </c>
      <c r="D1364" s="2"/>
      <c r="E1364" s="31"/>
      <c r="G1364" s="43"/>
      <c r="H1364" s="2"/>
    </row>
    <row r="1365" spans="1:8">
      <c r="A1365" s="39">
        <v>4.66683230322188</v>
      </c>
      <c r="B1365" s="40">
        <v>13.6</v>
      </c>
      <c r="D1365" s="2"/>
      <c r="E1365" s="31"/>
      <c r="G1365" s="43"/>
      <c r="H1365" s="2"/>
    </row>
    <row r="1366" spans="1:8">
      <c r="A1366" s="39">
        <v>4.66552562676673</v>
      </c>
      <c r="B1366" s="40">
        <v>1.5</v>
      </c>
      <c r="D1366" s="2"/>
      <c r="E1366" s="31"/>
      <c r="G1366" s="43"/>
      <c r="H1366" s="2"/>
    </row>
    <row r="1367" spans="1:8">
      <c r="A1367" s="39">
        <v>4.6644724166225</v>
      </c>
      <c r="B1367" s="40">
        <v>0</v>
      </c>
      <c r="D1367" s="2"/>
      <c r="E1367" s="31"/>
      <c r="G1367" s="43"/>
      <c r="H1367" s="2"/>
    </row>
    <row r="1368" spans="1:8">
      <c r="A1368" s="39">
        <v>4.66332091148351</v>
      </c>
      <c r="B1368" s="40">
        <v>9.7</v>
      </c>
      <c r="D1368" s="2"/>
      <c r="E1368" s="31"/>
      <c r="G1368" s="43"/>
      <c r="H1368" s="2"/>
    </row>
    <row r="1369" spans="1:8">
      <c r="A1369" s="39">
        <v>4.66192587360574</v>
      </c>
      <c r="B1369" s="40">
        <v>4.4</v>
      </c>
      <c r="D1369" s="2"/>
      <c r="E1369" s="31"/>
      <c r="G1369" s="43"/>
      <c r="H1369" s="2"/>
    </row>
    <row r="1370" spans="1:8">
      <c r="A1370" s="39">
        <v>4.66072076000384</v>
      </c>
      <c r="B1370" s="40">
        <v>9.2</v>
      </c>
      <c r="D1370" s="2"/>
      <c r="E1370" s="31"/>
      <c r="G1370" s="43"/>
      <c r="H1370" s="2"/>
    </row>
    <row r="1371" spans="1:8">
      <c r="A1371" s="39">
        <v>4.66072076000384</v>
      </c>
      <c r="B1371" s="40">
        <v>9.7</v>
      </c>
      <c r="D1371" s="2"/>
      <c r="E1371" s="31"/>
      <c r="G1371" s="43"/>
      <c r="H1371" s="2"/>
    </row>
    <row r="1372" spans="1:8">
      <c r="A1372" s="39">
        <v>4.65947265879767</v>
      </c>
      <c r="B1372" s="40">
        <v>5.4</v>
      </c>
      <c r="D1372" s="2"/>
      <c r="E1372" s="31"/>
      <c r="G1372" s="43"/>
      <c r="H1372" s="2"/>
    </row>
    <row r="1373" spans="1:8">
      <c r="A1373" s="39">
        <v>4.65924553135062</v>
      </c>
      <c r="B1373" s="40">
        <v>5.5</v>
      </c>
      <c r="D1373" s="2"/>
      <c r="E1373" s="31"/>
      <c r="G1373" s="43"/>
      <c r="H1373" s="2"/>
    </row>
    <row r="1374" spans="1:8">
      <c r="A1374" s="39">
        <v>4.65900764014442</v>
      </c>
      <c r="B1374" s="40">
        <v>6.4</v>
      </c>
      <c r="D1374" s="2"/>
      <c r="E1374" s="31"/>
      <c r="G1374" s="43"/>
      <c r="H1374" s="2"/>
    </row>
    <row r="1375" spans="1:8">
      <c r="A1375" s="39">
        <v>4.65865492052831</v>
      </c>
      <c r="B1375" s="40">
        <v>9</v>
      </c>
      <c r="D1375" s="2"/>
      <c r="E1375" s="31"/>
      <c r="G1375" s="43"/>
      <c r="H1375" s="2"/>
    </row>
    <row r="1376" spans="1:8">
      <c r="A1376" s="39">
        <v>4.6578378399461</v>
      </c>
      <c r="B1376" s="40">
        <v>5.6</v>
      </c>
      <c r="D1376" s="2"/>
      <c r="E1376" s="31"/>
      <c r="G1376" s="43"/>
      <c r="H1376" s="2"/>
    </row>
    <row r="1377" spans="1:8">
      <c r="A1377" s="39">
        <v>4.65720879549571</v>
      </c>
      <c r="B1377" s="40">
        <v>4</v>
      </c>
      <c r="D1377" s="2"/>
      <c r="E1377" s="31"/>
      <c r="G1377" s="43"/>
      <c r="H1377" s="2"/>
    </row>
    <row r="1378" spans="1:8">
      <c r="A1378" s="39">
        <v>4.65687686659353</v>
      </c>
      <c r="B1378" s="40">
        <v>1.5</v>
      </c>
      <c r="D1378" s="2"/>
      <c r="E1378" s="31"/>
      <c r="G1378" s="43"/>
      <c r="H1378" s="2"/>
    </row>
    <row r="1379" spans="1:8">
      <c r="A1379" s="39">
        <v>4.65644677731082</v>
      </c>
      <c r="B1379" s="40">
        <v>5</v>
      </c>
      <c r="D1379" s="2"/>
      <c r="E1379" s="31"/>
      <c r="G1379" s="43"/>
      <c r="H1379" s="2"/>
    </row>
    <row r="1380" spans="1:8">
      <c r="A1380" s="39">
        <v>4.65615869229831</v>
      </c>
      <c r="B1380" s="40">
        <v>13.1</v>
      </c>
      <c r="D1380" s="2"/>
      <c r="E1380" s="31"/>
      <c r="G1380" s="43"/>
      <c r="H1380" s="2"/>
    </row>
    <row r="1381" spans="1:8">
      <c r="A1381" s="39">
        <v>4.65456622918153</v>
      </c>
      <c r="B1381" s="40">
        <v>9</v>
      </c>
      <c r="D1381" s="2"/>
      <c r="E1381" s="31"/>
      <c r="G1381" s="43"/>
      <c r="H1381" s="2"/>
    </row>
    <row r="1382" spans="1:8">
      <c r="A1382" s="39">
        <v>4.65456622918153</v>
      </c>
      <c r="B1382" s="40">
        <v>5</v>
      </c>
      <c r="D1382" s="2"/>
      <c r="E1382" s="31"/>
      <c r="G1382" s="43"/>
      <c r="H1382" s="2"/>
    </row>
    <row r="1383" spans="1:8">
      <c r="A1383" s="39">
        <v>4.65456622918153</v>
      </c>
      <c r="B1383" s="40">
        <v>4</v>
      </c>
      <c r="D1383" s="2"/>
      <c r="E1383" s="31"/>
      <c r="G1383" s="43"/>
      <c r="H1383" s="2"/>
    </row>
    <row r="1384" spans="1:8">
      <c r="A1384" s="39">
        <v>4.65192789196999</v>
      </c>
      <c r="B1384" s="40">
        <v>4.3</v>
      </c>
      <c r="D1384" s="2"/>
      <c r="E1384" s="31"/>
      <c r="G1384" s="43"/>
      <c r="H1384" s="2"/>
    </row>
    <row r="1385" spans="1:8">
      <c r="A1385" s="39">
        <v>4.6518122615496</v>
      </c>
      <c r="B1385" s="40">
        <v>4.9</v>
      </c>
      <c r="D1385" s="2"/>
      <c r="E1385" s="31"/>
      <c r="G1385" s="43"/>
      <c r="H1385" s="2"/>
    </row>
    <row r="1386" spans="1:8">
      <c r="A1386" s="39">
        <v>4.65111102647806</v>
      </c>
      <c r="B1386" s="40">
        <v>1.5</v>
      </c>
      <c r="D1386" s="2"/>
      <c r="E1386" s="31"/>
      <c r="G1386" s="43"/>
      <c r="H1386" s="2"/>
    </row>
    <row r="1387" spans="1:8">
      <c r="A1387" s="39">
        <v>4.65088251491562</v>
      </c>
      <c r="B1387" s="40">
        <v>5.7</v>
      </c>
      <c r="D1387" s="2"/>
      <c r="E1387" s="31"/>
      <c r="G1387" s="43"/>
      <c r="H1387" s="2"/>
    </row>
    <row r="1388" spans="1:8">
      <c r="A1388" s="39">
        <v>4.65047753783474</v>
      </c>
      <c r="B1388" s="40">
        <v>0</v>
      </c>
      <c r="D1388" s="2"/>
      <c r="E1388" s="31"/>
      <c r="G1388" s="43"/>
      <c r="H1388" s="2"/>
    </row>
    <row r="1389" spans="1:8">
      <c r="A1389" s="39">
        <v>4.64879176080687</v>
      </c>
      <c r="B1389" s="40">
        <v>5.6</v>
      </c>
      <c r="D1389" s="2"/>
      <c r="E1389" s="31"/>
      <c r="G1389" s="43"/>
      <c r="H1389" s="2"/>
    </row>
    <row r="1390" spans="1:8">
      <c r="A1390" s="39">
        <v>4.64821457225219</v>
      </c>
      <c r="B1390" s="40">
        <v>0</v>
      </c>
      <c r="D1390" s="2"/>
      <c r="E1390" s="31"/>
      <c r="G1390" s="43"/>
      <c r="H1390" s="2"/>
    </row>
    <row r="1391" spans="1:8">
      <c r="A1391" s="39">
        <v>4.64731514992784</v>
      </c>
      <c r="B1391" s="40">
        <v>9.2</v>
      </c>
      <c r="D1391" s="2"/>
      <c r="E1391" s="31"/>
      <c r="G1391" s="43"/>
      <c r="H1391" s="2"/>
    </row>
    <row r="1392" spans="1:8">
      <c r="A1392" s="39">
        <v>4.64371746063043</v>
      </c>
      <c r="B1392" s="40">
        <v>3</v>
      </c>
      <c r="D1392" s="2"/>
      <c r="E1392" s="31"/>
      <c r="G1392" s="43"/>
      <c r="H1392" s="2"/>
    </row>
    <row r="1393" spans="1:8">
      <c r="A1393" s="39">
        <v>4.64311789341052</v>
      </c>
      <c r="B1393" s="40">
        <v>11</v>
      </c>
      <c r="D1393" s="2"/>
      <c r="E1393" s="31"/>
      <c r="G1393" s="43"/>
      <c r="H1393" s="2"/>
    </row>
    <row r="1394" spans="1:8">
      <c r="A1394" s="39">
        <v>4.64116303515334</v>
      </c>
      <c r="B1394" s="40">
        <v>22</v>
      </c>
      <c r="D1394" s="2"/>
      <c r="E1394" s="31"/>
      <c r="G1394" s="43"/>
      <c r="H1394" s="2"/>
    </row>
    <row r="1395" spans="1:8">
      <c r="A1395" s="39">
        <v>4.63922034900867</v>
      </c>
      <c r="B1395" s="40">
        <v>4</v>
      </c>
      <c r="D1395" s="2"/>
      <c r="E1395" s="31"/>
      <c r="G1395" s="43"/>
      <c r="H1395" s="2"/>
    </row>
    <row r="1396" spans="1:8">
      <c r="A1396" s="39">
        <v>4.63902920206374</v>
      </c>
      <c r="B1396" s="40">
        <v>9</v>
      </c>
      <c r="D1396" s="2"/>
      <c r="E1396" s="31"/>
      <c r="G1396" s="43"/>
      <c r="H1396" s="2"/>
    </row>
    <row r="1397" spans="1:8">
      <c r="A1397" s="39">
        <v>4.63624723615436</v>
      </c>
      <c r="B1397" s="40">
        <v>2.7</v>
      </c>
      <c r="D1397" s="2"/>
      <c r="E1397" s="31"/>
      <c r="G1397" s="43"/>
      <c r="H1397" s="2"/>
    </row>
    <row r="1398" spans="1:8">
      <c r="A1398" s="39">
        <v>4.63206572793686</v>
      </c>
      <c r="B1398" s="40">
        <v>5.8</v>
      </c>
      <c r="D1398" s="2"/>
      <c r="E1398" s="31"/>
      <c r="G1398" s="43"/>
      <c r="H1398" s="2"/>
    </row>
    <row r="1399" spans="1:8">
      <c r="A1399" s="39">
        <v>4.63022612576515</v>
      </c>
      <c r="B1399" s="40">
        <v>0</v>
      </c>
      <c r="D1399" s="2"/>
      <c r="E1399" s="31"/>
      <c r="G1399" s="43"/>
      <c r="H1399" s="2"/>
    </row>
    <row r="1400" spans="1:8">
      <c r="A1400" s="39">
        <v>4.63022612576515</v>
      </c>
      <c r="B1400" s="40">
        <v>5.2</v>
      </c>
      <c r="D1400" s="2"/>
      <c r="E1400" s="31"/>
      <c r="G1400" s="43"/>
      <c r="H1400" s="2"/>
    </row>
    <row r="1401" spans="1:8">
      <c r="A1401" s="39">
        <v>4.6293267034408</v>
      </c>
      <c r="B1401" s="40">
        <v>0</v>
      </c>
      <c r="D1401" s="2"/>
      <c r="E1401" s="31"/>
      <c r="G1401" s="43"/>
      <c r="H1401" s="2"/>
    </row>
    <row r="1402" spans="1:8">
      <c r="A1402" s="39">
        <v>4.6293267034408</v>
      </c>
      <c r="B1402" s="40">
        <v>6</v>
      </c>
      <c r="D1402" s="2"/>
      <c r="E1402" s="31"/>
      <c r="G1402" s="43"/>
      <c r="H1402" s="2"/>
    </row>
    <row r="1403" spans="1:8">
      <c r="A1403" s="39">
        <v>4.62676312802338</v>
      </c>
      <c r="B1403" s="40">
        <v>11</v>
      </c>
      <c r="D1403" s="2"/>
      <c r="E1403" s="31"/>
      <c r="G1403" s="43"/>
      <c r="H1403" s="2"/>
    </row>
    <row r="1404" spans="1:8">
      <c r="A1404" s="39">
        <v>4.62423067466776</v>
      </c>
      <c r="B1404" s="40">
        <v>7.1</v>
      </c>
      <c r="D1404" s="2"/>
      <c r="E1404" s="31"/>
      <c r="G1404" s="43"/>
      <c r="H1404" s="2"/>
    </row>
    <row r="1405" spans="1:8">
      <c r="A1405" s="39">
        <v>4.62267443667659</v>
      </c>
      <c r="B1405" s="40">
        <v>9.3</v>
      </c>
      <c r="D1405" s="2"/>
      <c r="E1405" s="31"/>
      <c r="G1405" s="43"/>
      <c r="H1405" s="2"/>
    </row>
    <row r="1406" spans="1:8">
      <c r="A1406" s="39">
        <v>4.62213132484598</v>
      </c>
      <c r="B1406" s="40">
        <v>8</v>
      </c>
      <c r="D1406" s="2"/>
      <c r="E1406" s="31"/>
      <c r="G1406" s="43"/>
      <c r="H1406" s="2"/>
    </row>
    <row r="1407" spans="1:8">
      <c r="A1407" s="39">
        <v>4.62185669840724</v>
      </c>
      <c r="B1407" s="40">
        <v>7.1</v>
      </c>
      <c r="D1407" s="2"/>
      <c r="E1407" s="31"/>
      <c r="G1407" s="43"/>
      <c r="H1407" s="2"/>
    </row>
    <row r="1408" spans="1:8">
      <c r="A1408" s="39">
        <v>4.62185669840724</v>
      </c>
      <c r="B1408" s="40">
        <v>3</v>
      </c>
      <c r="D1408" s="2"/>
      <c r="E1408" s="31"/>
      <c r="G1408" s="43"/>
      <c r="H1408" s="2"/>
    </row>
    <row r="1409" spans="1:8">
      <c r="A1409" s="39">
        <v>4.62103896013788</v>
      </c>
      <c r="B1409" s="40">
        <v>5.2</v>
      </c>
      <c r="D1409" s="2"/>
      <c r="E1409" s="31"/>
      <c r="G1409" s="43"/>
      <c r="H1409" s="2"/>
    </row>
    <row r="1410" spans="1:8">
      <c r="A1410" s="39">
        <v>4.61858574532981</v>
      </c>
      <c r="B1410" s="40">
        <v>3.6</v>
      </c>
      <c r="D1410" s="2"/>
      <c r="E1410" s="31"/>
      <c r="G1410" s="43"/>
      <c r="H1410" s="2"/>
    </row>
    <row r="1411" spans="1:8">
      <c r="A1411" s="39">
        <v>4.6184379324904</v>
      </c>
      <c r="B1411" s="40">
        <v>2</v>
      </c>
      <c r="D1411" s="2"/>
      <c r="E1411" s="31"/>
      <c r="G1411" s="43"/>
      <c r="H1411" s="2"/>
    </row>
    <row r="1412" spans="1:8">
      <c r="A1412" s="39">
        <v>4.61776800706045</v>
      </c>
      <c r="B1412" s="40">
        <v>5.5</v>
      </c>
      <c r="D1412" s="2"/>
      <c r="E1412" s="31"/>
      <c r="G1412" s="43"/>
      <c r="H1412" s="2"/>
    </row>
    <row r="1413" spans="1:8">
      <c r="A1413" s="39">
        <v>4.61747695913782</v>
      </c>
      <c r="B1413" s="40">
        <v>1.5</v>
      </c>
      <c r="D1413" s="2"/>
      <c r="E1413" s="31"/>
      <c r="G1413" s="43"/>
      <c r="H1413" s="2"/>
    </row>
    <row r="1414" spans="1:8">
      <c r="A1414" s="39">
        <v>4.61695026879109</v>
      </c>
      <c r="B1414" s="40">
        <v>4.9</v>
      </c>
      <c r="D1414" s="2"/>
      <c r="E1414" s="31"/>
      <c r="G1414" s="43"/>
      <c r="H1414" s="2"/>
    </row>
    <row r="1415" spans="1:8">
      <c r="A1415" s="39">
        <v>4.61673479089986</v>
      </c>
      <c r="B1415" s="40">
        <v>9.5</v>
      </c>
      <c r="D1415" s="2"/>
      <c r="E1415" s="31"/>
      <c r="G1415" s="43"/>
      <c r="H1415" s="2"/>
    </row>
    <row r="1416" spans="1:8">
      <c r="A1416" s="39">
        <v>4.61533969506686</v>
      </c>
      <c r="B1416" s="40">
        <v>0.1</v>
      </c>
      <c r="D1416" s="2"/>
      <c r="E1416" s="31"/>
      <c r="G1416" s="43"/>
      <c r="H1416" s="2"/>
    </row>
    <row r="1417" spans="1:8">
      <c r="A1417" s="39">
        <v>4.61531479225238</v>
      </c>
      <c r="B1417" s="40">
        <v>2.9</v>
      </c>
      <c r="D1417" s="2"/>
      <c r="E1417" s="31"/>
      <c r="G1417" s="43"/>
      <c r="H1417" s="2"/>
    </row>
    <row r="1418" spans="1:8">
      <c r="A1418" s="39">
        <v>4.61449705398302</v>
      </c>
      <c r="B1418" s="40">
        <v>7.4</v>
      </c>
      <c r="D1418" s="2"/>
      <c r="E1418" s="31"/>
      <c r="G1418" s="43"/>
      <c r="H1418" s="2"/>
    </row>
    <row r="1419" spans="1:8">
      <c r="A1419" s="39">
        <v>4.61059555083839</v>
      </c>
      <c r="B1419" s="40">
        <v>10</v>
      </c>
      <c r="D1419" s="2"/>
      <c r="E1419" s="31"/>
      <c r="G1419" s="43"/>
      <c r="H1419" s="2"/>
    </row>
    <row r="1420" spans="1:8">
      <c r="A1420" s="39">
        <v>4.61040836263623</v>
      </c>
      <c r="B1420" s="40">
        <v>5.6</v>
      </c>
      <c r="D1420" s="2"/>
      <c r="E1420" s="31"/>
      <c r="G1420" s="43"/>
      <c r="H1420" s="2"/>
    </row>
    <row r="1421" spans="1:8">
      <c r="A1421" s="39">
        <v>4.61040836263623</v>
      </c>
      <c r="B1421" s="40">
        <v>6.7</v>
      </c>
      <c r="D1421" s="2"/>
      <c r="E1421" s="31"/>
      <c r="G1421" s="43"/>
      <c r="H1421" s="2"/>
    </row>
    <row r="1422" spans="1:8">
      <c r="A1422" s="39">
        <v>4.61040836263623</v>
      </c>
      <c r="B1422" s="40">
        <v>11</v>
      </c>
      <c r="D1422" s="2"/>
      <c r="E1422" s="31"/>
      <c r="G1422" s="43"/>
      <c r="H1422" s="2"/>
    </row>
    <row r="1423" spans="1:8">
      <c r="A1423" s="39">
        <v>4.60959062436688</v>
      </c>
      <c r="B1423" s="40">
        <v>6.7</v>
      </c>
      <c r="D1423" s="2"/>
      <c r="E1423" s="31"/>
      <c r="G1423" s="43"/>
      <c r="H1423" s="2"/>
    </row>
    <row r="1424" spans="1:8">
      <c r="A1424" s="39">
        <v>4.60959062436688</v>
      </c>
      <c r="B1424" s="40">
        <v>10</v>
      </c>
      <c r="D1424" s="2"/>
      <c r="E1424" s="31"/>
      <c r="G1424" s="43"/>
      <c r="H1424" s="2"/>
    </row>
    <row r="1425" spans="1:8">
      <c r="A1425" s="39">
        <v>4.60877288609752</v>
      </c>
      <c r="B1425" s="40">
        <v>6.1</v>
      </c>
      <c r="D1425" s="2"/>
      <c r="E1425" s="31"/>
      <c r="G1425" s="43"/>
      <c r="H1425" s="2"/>
    </row>
    <row r="1426" spans="1:8">
      <c r="A1426" s="39">
        <v>4.60877288609752</v>
      </c>
      <c r="B1426" s="40">
        <v>3.2</v>
      </c>
      <c r="D1426" s="2"/>
      <c r="E1426" s="31"/>
      <c r="G1426" s="43"/>
      <c r="H1426" s="2"/>
    </row>
    <row r="1427" spans="1:8">
      <c r="A1427" s="39">
        <v>4.6086399899807</v>
      </c>
      <c r="B1427" s="40">
        <v>11.4</v>
      </c>
      <c r="D1427" s="2"/>
      <c r="E1427" s="31"/>
      <c r="G1427" s="43"/>
      <c r="H1427" s="2"/>
    </row>
    <row r="1428" spans="1:8">
      <c r="A1428" s="39">
        <v>4.60697667863186</v>
      </c>
      <c r="B1428" s="40">
        <v>5.2</v>
      </c>
      <c r="D1428" s="2"/>
      <c r="E1428" s="31"/>
      <c r="G1428" s="43"/>
      <c r="H1428" s="2"/>
    </row>
    <row r="1429" spans="1:8">
      <c r="A1429" s="39">
        <v>4.60468419475073</v>
      </c>
      <c r="B1429" s="40">
        <v>7.2</v>
      </c>
      <c r="D1429" s="2"/>
      <c r="E1429" s="31"/>
      <c r="G1429" s="43"/>
      <c r="H1429" s="2"/>
    </row>
    <row r="1430" spans="1:8">
      <c r="A1430" s="39">
        <v>4.60306235884915</v>
      </c>
      <c r="B1430" s="40">
        <v>14.5</v>
      </c>
      <c r="D1430" s="2"/>
      <c r="E1430" s="31"/>
      <c r="G1430" s="43"/>
      <c r="H1430" s="2"/>
    </row>
    <row r="1431" spans="1:8">
      <c r="A1431" s="39">
        <v>4.60279517041436</v>
      </c>
      <c r="B1431" s="40">
        <v>9.1</v>
      </c>
      <c r="D1431" s="2"/>
      <c r="E1431" s="31"/>
      <c r="G1431" s="43"/>
      <c r="H1431" s="2"/>
    </row>
    <row r="1432" spans="1:8">
      <c r="A1432" s="39">
        <v>4.60244204840931</v>
      </c>
      <c r="B1432" s="40">
        <v>10.1</v>
      </c>
      <c r="D1432" s="2"/>
      <c r="E1432" s="31"/>
      <c r="G1432" s="43"/>
      <c r="H1432" s="2"/>
    </row>
    <row r="1433" spans="1:8">
      <c r="A1433" s="39">
        <v>4.6014132416733</v>
      </c>
      <c r="B1433" s="40">
        <v>9.4</v>
      </c>
      <c r="D1433" s="2"/>
      <c r="E1433" s="31"/>
      <c r="G1433" s="43"/>
      <c r="H1433" s="2"/>
    </row>
    <row r="1434" spans="1:8">
      <c r="A1434" s="39">
        <v>4.6014132416733</v>
      </c>
      <c r="B1434" s="40">
        <v>13.9</v>
      </c>
      <c r="D1434" s="2"/>
      <c r="E1434" s="31"/>
      <c r="G1434" s="43"/>
      <c r="H1434" s="2"/>
    </row>
    <row r="1435" spans="1:8">
      <c r="A1435" s="39">
        <v>4.6014132416733</v>
      </c>
      <c r="B1435" s="40">
        <v>6</v>
      </c>
      <c r="D1435" s="2"/>
      <c r="E1435" s="31"/>
      <c r="G1435" s="43"/>
      <c r="H1435" s="2"/>
    </row>
    <row r="1436" spans="1:8">
      <c r="A1436" s="39">
        <v>4.59896002686523</v>
      </c>
      <c r="B1436" s="40">
        <v>3.6</v>
      </c>
      <c r="D1436" s="2"/>
      <c r="E1436" s="31"/>
      <c r="G1436" s="43"/>
      <c r="H1436" s="2"/>
    </row>
    <row r="1437" spans="1:8">
      <c r="A1437" s="39">
        <v>4.59886093881671</v>
      </c>
      <c r="B1437" s="40">
        <v>6.5</v>
      </c>
      <c r="D1437" s="2"/>
      <c r="E1437" s="31"/>
      <c r="G1437" s="43"/>
      <c r="H1437" s="2"/>
    </row>
    <row r="1438" spans="1:8">
      <c r="A1438" s="39">
        <v>4.5965229080881</v>
      </c>
      <c r="B1438" s="40">
        <v>9.8</v>
      </c>
      <c r="D1438" s="2"/>
      <c r="E1438" s="31"/>
      <c r="G1438" s="43"/>
      <c r="H1438" s="2"/>
    </row>
    <row r="1439" spans="1:8">
      <c r="A1439" s="39">
        <v>4.59650681205716</v>
      </c>
      <c r="B1439" s="40">
        <v>7.2</v>
      </c>
      <c r="D1439" s="2"/>
      <c r="E1439" s="31"/>
      <c r="G1439" s="43"/>
      <c r="H1439" s="2"/>
    </row>
    <row r="1440" spans="1:8">
      <c r="A1440" s="39">
        <v>4.59604807743976</v>
      </c>
      <c r="B1440" s="40">
        <v>10.1</v>
      </c>
      <c r="D1440" s="2"/>
      <c r="E1440" s="31"/>
      <c r="G1440" s="43"/>
      <c r="H1440" s="2"/>
    </row>
    <row r="1441" spans="1:8">
      <c r="A1441" s="39">
        <v>4.5956890737878</v>
      </c>
      <c r="B1441" s="40">
        <v>0</v>
      </c>
      <c r="D1441" s="2"/>
      <c r="E1441" s="31"/>
      <c r="G1441" s="43"/>
      <c r="H1441" s="2"/>
    </row>
    <row r="1442" spans="1:8">
      <c r="A1442" s="39">
        <v>4.59537457202853</v>
      </c>
      <c r="B1442" s="40">
        <v>6.1</v>
      </c>
      <c r="D1442" s="2"/>
      <c r="E1442" s="31"/>
      <c r="G1442" s="43"/>
      <c r="H1442" s="2"/>
    </row>
    <row r="1443" spans="1:8">
      <c r="A1443" s="39">
        <v>4.59514865511541</v>
      </c>
      <c r="B1443" s="40">
        <v>1</v>
      </c>
      <c r="D1443" s="2"/>
      <c r="E1443" s="31"/>
      <c r="G1443" s="43"/>
      <c r="H1443" s="2"/>
    </row>
    <row r="1444" spans="1:8">
      <c r="A1444" s="39">
        <v>4.59458401143532</v>
      </c>
      <c r="B1444" s="40">
        <v>8.6</v>
      </c>
      <c r="D1444" s="2"/>
      <c r="E1444" s="31"/>
      <c r="G1444" s="43"/>
      <c r="H1444" s="2"/>
    </row>
    <row r="1445" spans="1:8">
      <c r="A1445" s="39">
        <v>4.59424923279106</v>
      </c>
      <c r="B1445" s="40">
        <v>0</v>
      </c>
      <c r="D1445" s="2"/>
      <c r="E1445" s="31"/>
      <c r="G1445" s="43"/>
      <c r="H1445" s="2"/>
    </row>
    <row r="1446" spans="1:8">
      <c r="A1446" s="39">
        <v>4.59345262532337</v>
      </c>
      <c r="B1446" s="40">
        <v>4.8</v>
      </c>
      <c r="D1446" s="2"/>
      <c r="E1446" s="31"/>
      <c r="G1446" s="43"/>
      <c r="H1446" s="2"/>
    </row>
    <row r="1447" spans="1:8">
      <c r="A1447" s="39">
        <v>4.59345262532337</v>
      </c>
      <c r="B1447" s="40">
        <v>8.8</v>
      </c>
      <c r="D1447" s="2"/>
      <c r="E1447" s="31"/>
      <c r="G1447" s="43"/>
      <c r="H1447" s="2"/>
    </row>
    <row r="1448" spans="1:8">
      <c r="A1448" s="39">
        <v>4.59334981046671</v>
      </c>
      <c r="B1448" s="40">
        <v>7</v>
      </c>
      <c r="D1448" s="2"/>
      <c r="E1448" s="31"/>
      <c r="G1448" s="43"/>
      <c r="H1448" s="2"/>
    </row>
    <row r="1449" spans="1:8">
      <c r="A1449" s="39">
        <v>4.59323585897973</v>
      </c>
      <c r="B1449" s="40">
        <v>16</v>
      </c>
      <c r="D1449" s="2"/>
      <c r="E1449" s="31"/>
      <c r="G1449" s="43"/>
      <c r="H1449" s="2"/>
    </row>
    <row r="1450" spans="1:8">
      <c r="A1450" s="39">
        <v>4.59153067861821</v>
      </c>
      <c r="B1450" s="40">
        <v>6.3</v>
      </c>
      <c r="D1450" s="2"/>
      <c r="E1450" s="31"/>
      <c r="G1450" s="43"/>
      <c r="H1450" s="2"/>
    </row>
    <row r="1451" spans="1:8">
      <c r="A1451" s="39">
        <v>4.59056970526564</v>
      </c>
      <c r="B1451" s="40">
        <v>9.4</v>
      </c>
      <c r="D1451" s="2"/>
      <c r="E1451" s="31"/>
      <c r="G1451" s="43"/>
      <c r="H1451" s="2"/>
    </row>
    <row r="1452" spans="1:8">
      <c r="A1452" s="39">
        <v>4.59025064576185</v>
      </c>
      <c r="B1452" s="40">
        <v>6</v>
      </c>
      <c r="D1452" s="2"/>
      <c r="E1452" s="31"/>
      <c r="G1452" s="43"/>
      <c r="H1452" s="2"/>
    </row>
    <row r="1453" spans="1:8">
      <c r="A1453" s="39">
        <v>4.5897521211693</v>
      </c>
      <c r="B1453" s="40">
        <v>0</v>
      </c>
      <c r="D1453" s="2"/>
      <c r="E1453" s="31"/>
      <c r="G1453" s="43"/>
      <c r="H1453" s="2"/>
    </row>
    <row r="1454" spans="1:8">
      <c r="A1454" s="39">
        <v>4.5897521211693</v>
      </c>
      <c r="B1454" s="40">
        <v>4.4</v>
      </c>
      <c r="D1454" s="2"/>
      <c r="E1454" s="31"/>
      <c r="G1454" s="43"/>
      <c r="H1454" s="2"/>
    </row>
    <row r="1455" spans="1:8">
      <c r="A1455" s="39">
        <v>4.5897521211693</v>
      </c>
      <c r="B1455" s="40">
        <v>4.9</v>
      </c>
      <c r="D1455" s="2"/>
      <c r="E1455" s="31"/>
      <c r="G1455" s="43"/>
      <c r="H1455" s="2"/>
    </row>
    <row r="1456" spans="1:8">
      <c r="A1456" s="39">
        <v>4.58864775856048</v>
      </c>
      <c r="B1456" s="40">
        <v>1</v>
      </c>
      <c r="D1456" s="2"/>
      <c r="E1456" s="31"/>
      <c r="G1456" s="43"/>
      <c r="H1456" s="2"/>
    </row>
    <row r="1457" spans="1:8">
      <c r="A1457" s="39">
        <v>4.58751169109423</v>
      </c>
      <c r="B1457" s="40">
        <v>7.1</v>
      </c>
      <c r="D1457" s="2"/>
      <c r="E1457" s="31"/>
      <c r="G1457" s="43"/>
      <c r="H1457" s="2"/>
    </row>
    <row r="1458" spans="1:8">
      <c r="A1458" s="39">
        <v>4.58747118121822</v>
      </c>
      <c r="B1458" s="40">
        <v>4</v>
      </c>
      <c r="D1458" s="2"/>
      <c r="E1458" s="31"/>
      <c r="G1458" s="43"/>
      <c r="H1458" s="2"/>
    </row>
    <row r="1459" spans="1:8">
      <c r="A1459" s="39">
        <v>4.58606913754435</v>
      </c>
      <c r="B1459" s="40">
        <v>1</v>
      </c>
      <c r="D1459" s="2"/>
      <c r="E1459" s="31"/>
      <c r="G1459" s="43"/>
      <c r="H1459" s="2"/>
    </row>
    <row r="1460" spans="1:8">
      <c r="A1460" s="39">
        <v>4.58435558722319</v>
      </c>
      <c r="B1460" s="40">
        <v>8</v>
      </c>
      <c r="D1460" s="2"/>
      <c r="E1460" s="31"/>
      <c r="G1460" s="43"/>
      <c r="H1460" s="2"/>
    </row>
    <row r="1461" spans="1:8">
      <c r="A1461" s="39">
        <v>4.5839783834356</v>
      </c>
      <c r="B1461" s="40">
        <v>0.1</v>
      </c>
      <c r="D1461" s="2"/>
      <c r="E1461" s="31"/>
      <c r="G1461" s="43"/>
      <c r="H1461" s="2"/>
    </row>
    <row r="1462" spans="1:8">
      <c r="A1462" s="39">
        <v>4.57985847560142</v>
      </c>
      <c r="B1462" s="40">
        <v>8.2</v>
      </c>
      <c r="D1462" s="2"/>
      <c r="E1462" s="31"/>
      <c r="G1462" s="43"/>
      <c r="H1462" s="2"/>
    </row>
    <row r="1463" spans="1:8">
      <c r="A1463" s="39">
        <v>4.57946893209146</v>
      </c>
      <c r="B1463" s="40">
        <v>21</v>
      </c>
      <c r="D1463" s="2"/>
      <c r="E1463" s="31"/>
      <c r="G1463" s="43"/>
      <c r="H1463" s="2"/>
    </row>
    <row r="1464" spans="1:8">
      <c r="A1464" s="39">
        <v>4.57737428126111</v>
      </c>
      <c r="B1464" s="40">
        <v>14.8</v>
      </c>
      <c r="D1464" s="2"/>
      <c r="E1464" s="31"/>
      <c r="G1464" s="43"/>
      <c r="H1464" s="2"/>
    </row>
    <row r="1465" spans="1:8">
      <c r="A1465" s="39">
        <v>4.57716020862837</v>
      </c>
      <c r="B1465" s="40">
        <v>1</v>
      </c>
      <c r="D1465" s="2"/>
      <c r="E1465" s="31"/>
      <c r="G1465" s="43"/>
      <c r="H1465" s="2"/>
    </row>
    <row r="1466" spans="1:8">
      <c r="A1466" s="39">
        <v>4.57688109359259</v>
      </c>
      <c r="B1466" s="40">
        <v>6</v>
      </c>
      <c r="D1466" s="2"/>
      <c r="E1466" s="31"/>
      <c r="G1466" s="43"/>
      <c r="H1466" s="2"/>
    </row>
    <row r="1467" spans="1:8">
      <c r="A1467" s="39">
        <v>4.57688109359259</v>
      </c>
      <c r="B1467" s="40">
        <v>2.5</v>
      </c>
      <c r="D1467" s="2"/>
      <c r="E1467" s="31"/>
      <c r="G1467" s="43"/>
      <c r="H1467" s="2"/>
    </row>
    <row r="1468" spans="1:8">
      <c r="A1468" s="39">
        <v>4.57536136397966</v>
      </c>
      <c r="B1468" s="40">
        <v>17</v>
      </c>
      <c r="D1468" s="2"/>
      <c r="E1468" s="31"/>
      <c r="G1468" s="43"/>
      <c r="H1468" s="2"/>
    </row>
    <row r="1469" spans="1:8">
      <c r="A1469" s="39">
        <v>4.57493348580428</v>
      </c>
      <c r="B1469" s="40">
        <v>7.8</v>
      </c>
      <c r="D1469" s="2"/>
      <c r="E1469" s="31"/>
      <c r="G1469" s="43"/>
      <c r="H1469" s="2"/>
    </row>
    <row r="1470" spans="1:8">
      <c r="A1470" s="39">
        <v>4.57456998994622</v>
      </c>
      <c r="B1470" s="40">
        <v>5.6</v>
      </c>
      <c r="D1470" s="2"/>
      <c r="E1470" s="31"/>
      <c r="G1470" s="43"/>
      <c r="H1470" s="2"/>
    </row>
    <row r="1471" spans="1:8">
      <c r="A1471" s="39">
        <v>4.57423315827181</v>
      </c>
      <c r="B1471" s="40">
        <v>5</v>
      </c>
      <c r="D1471" s="2"/>
      <c r="E1471" s="31"/>
      <c r="G1471" s="43"/>
      <c r="H1471" s="2"/>
    </row>
    <row r="1472" spans="1:8">
      <c r="A1472" s="39">
        <v>4.57361014051516</v>
      </c>
      <c r="B1472" s="40">
        <v>7.5</v>
      </c>
      <c r="D1472" s="2"/>
      <c r="E1472" s="31"/>
      <c r="G1472" s="43"/>
      <c r="H1472" s="2"/>
    </row>
    <row r="1473" spans="1:8">
      <c r="A1473" s="39">
        <v>4.57021206207591</v>
      </c>
      <c r="B1473" s="40">
        <v>10.4</v>
      </c>
      <c r="D1473" s="2"/>
      <c r="E1473" s="31"/>
      <c r="G1473" s="43"/>
      <c r="H1473" s="2"/>
    </row>
    <row r="1474" spans="1:8">
      <c r="A1474" s="39">
        <v>4.56942829150892</v>
      </c>
      <c r="B1474" s="40">
        <v>1.5</v>
      </c>
      <c r="D1474" s="2"/>
      <c r="E1474" s="31"/>
      <c r="G1474" s="43"/>
      <c r="H1474" s="2"/>
    </row>
    <row r="1475" spans="1:8">
      <c r="A1475" s="39">
        <v>4.56942829150892</v>
      </c>
      <c r="B1475" s="40">
        <v>1.5</v>
      </c>
      <c r="D1475" s="2"/>
      <c r="E1475" s="31"/>
      <c r="G1475" s="43"/>
      <c r="H1475" s="2"/>
    </row>
    <row r="1476" spans="1:8">
      <c r="A1476" s="39">
        <v>4.5690654077092</v>
      </c>
      <c r="B1476" s="40">
        <v>7</v>
      </c>
      <c r="D1476" s="2"/>
      <c r="E1476" s="31"/>
      <c r="G1476" s="43"/>
      <c r="H1476" s="2"/>
    </row>
    <row r="1477" spans="1:8">
      <c r="A1477" s="39">
        <v>4.56870371089901</v>
      </c>
      <c r="B1477" s="40">
        <v>7.8</v>
      </c>
      <c r="D1477" s="2"/>
      <c r="E1477" s="31"/>
      <c r="G1477" s="43"/>
      <c r="H1477" s="2"/>
    </row>
    <row r="1478" spans="1:8">
      <c r="A1478" s="39">
        <v>4.56782929699798</v>
      </c>
      <c r="B1478" s="40">
        <v>2.5</v>
      </c>
      <c r="D1478" s="2"/>
      <c r="E1478" s="31"/>
      <c r="G1478" s="43"/>
      <c r="H1478" s="2"/>
    </row>
    <row r="1479" spans="1:8">
      <c r="A1479" s="39">
        <v>4.56663095248331</v>
      </c>
      <c r="B1479" s="40">
        <v>12.1</v>
      </c>
      <c r="D1479" s="2"/>
      <c r="E1479" s="31"/>
      <c r="G1479" s="43"/>
      <c r="H1479" s="2"/>
    </row>
    <row r="1480" spans="1:8">
      <c r="A1480" s="39">
        <v>4.56516159645684</v>
      </c>
      <c r="B1480" s="40">
        <v>7</v>
      </c>
      <c r="D1480" s="2"/>
      <c r="E1480" s="31"/>
      <c r="G1480" s="43"/>
      <c r="H1480" s="2"/>
    </row>
    <row r="1481" spans="1:8">
      <c r="A1481" s="39">
        <v>4.56516159645684</v>
      </c>
      <c r="B1481" s="40">
        <v>4.5</v>
      </c>
      <c r="D1481" s="2"/>
      <c r="E1481" s="31"/>
      <c r="G1481" s="43"/>
      <c r="H1481" s="2"/>
    </row>
    <row r="1482" spans="1:8">
      <c r="A1482" s="39">
        <v>4.56461501955223</v>
      </c>
      <c r="B1482" s="40">
        <v>0</v>
      </c>
      <c r="D1482" s="2"/>
      <c r="E1482" s="31"/>
      <c r="G1482" s="43"/>
      <c r="H1482" s="2"/>
    </row>
    <row r="1483" spans="1:8">
      <c r="A1483" s="39">
        <v>4.56461501955223</v>
      </c>
      <c r="B1483" s="40">
        <v>1.5</v>
      </c>
      <c r="D1483" s="2"/>
      <c r="E1483" s="31"/>
      <c r="G1483" s="43"/>
      <c r="H1483" s="2"/>
    </row>
    <row r="1484" spans="1:8">
      <c r="A1484" s="39">
        <v>4.56270147804087</v>
      </c>
      <c r="B1484" s="40">
        <v>7</v>
      </c>
      <c r="D1484" s="2"/>
      <c r="E1484" s="31"/>
      <c r="G1484" s="43"/>
      <c r="H1484" s="2"/>
    </row>
    <row r="1485" spans="1:8">
      <c r="A1485" s="39">
        <v>4.561105338138</v>
      </c>
      <c r="B1485" s="40">
        <v>11.7</v>
      </c>
      <c r="D1485" s="2"/>
      <c r="E1485" s="31"/>
      <c r="G1485" s="43"/>
      <c r="H1485" s="2"/>
    </row>
    <row r="1486" spans="1:8">
      <c r="A1486" s="39">
        <v>4.56055452506455</v>
      </c>
      <c r="B1486" s="40">
        <v>14.5</v>
      </c>
      <c r="D1486" s="2"/>
      <c r="E1486" s="31"/>
      <c r="G1486" s="43"/>
      <c r="H1486" s="2"/>
    </row>
    <row r="1487" spans="1:8">
      <c r="A1487" s="39">
        <v>4.55917176214132</v>
      </c>
      <c r="B1487" s="40">
        <v>5</v>
      </c>
      <c r="D1487" s="2"/>
      <c r="E1487" s="31"/>
      <c r="G1487" s="43"/>
      <c r="H1487" s="2"/>
    </row>
    <row r="1488" spans="1:8">
      <c r="A1488" s="39">
        <v>4.55888933413059</v>
      </c>
      <c r="B1488" s="40">
        <v>11.9</v>
      </c>
      <c r="D1488" s="2"/>
      <c r="E1488" s="31"/>
      <c r="G1488" s="43"/>
      <c r="H1488" s="2"/>
    </row>
    <row r="1489" spans="1:8">
      <c r="A1489" s="39">
        <v>4.55737291749262</v>
      </c>
      <c r="B1489" s="40">
        <v>5</v>
      </c>
      <c r="D1489" s="2"/>
      <c r="E1489" s="31"/>
      <c r="G1489" s="43"/>
      <c r="H1489" s="2"/>
    </row>
    <row r="1490" spans="1:8">
      <c r="A1490" s="39">
        <v>4.5569356379254</v>
      </c>
      <c r="B1490" s="40">
        <v>7.6</v>
      </c>
      <c r="D1490" s="2"/>
      <c r="E1490" s="31"/>
      <c r="G1490" s="43"/>
      <c r="H1490" s="2"/>
    </row>
    <row r="1491" spans="1:8">
      <c r="A1491" s="39">
        <v>4.55588762370552</v>
      </c>
      <c r="B1491" s="40">
        <v>6.2</v>
      </c>
      <c r="D1491" s="2"/>
      <c r="E1491" s="31"/>
      <c r="G1491" s="43"/>
      <c r="H1491" s="2"/>
    </row>
    <row r="1492" spans="1:8">
      <c r="A1492" s="39">
        <v>4.55287580587086</v>
      </c>
      <c r="B1492" s="40">
        <v>14.1</v>
      </c>
      <c r="D1492" s="2"/>
      <c r="E1492" s="31"/>
      <c r="G1492" s="43"/>
      <c r="H1492" s="2"/>
    </row>
    <row r="1493" spans="1:8">
      <c r="A1493" s="39">
        <v>4.55230651411292</v>
      </c>
      <c r="B1493" s="40">
        <v>5.7</v>
      </c>
      <c r="D1493" s="2"/>
      <c r="E1493" s="31"/>
      <c r="G1493" s="43"/>
      <c r="H1493" s="2"/>
    </row>
    <row r="1494" spans="1:8">
      <c r="A1494" s="39">
        <v>4.55213077116251</v>
      </c>
      <c r="B1494" s="40">
        <v>8.5</v>
      </c>
      <c r="D1494" s="2"/>
      <c r="E1494" s="31"/>
      <c r="G1494" s="43"/>
      <c r="H1494" s="2"/>
    </row>
    <row r="1495" spans="1:8">
      <c r="A1495" s="39">
        <v>4.55107696122215</v>
      </c>
      <c r="B1495" s="40">
        <v>9</v>
      </c>
      <c r="D1495" s="2"/>
      <c r="E1495" s="31"/>
      <c r="G1495" s="43"/>
      <c r="H1495" s="2"/>
    </row>
    <row r="1496" spans="1:8">
      <c r="A1496" s="39">
        <v>4.54927811657345</v>
      </c>
      <c r="B1496" s="40">
        <v>0</v>
      </c>
      <c r="D1496" s="2"/>
      <c r="E1496" s="31"/>
      <c r="G1496" s="43"/>
      <c r="H1496" s="2"/>
    </row>
    <row r="1497" spans="1:8">
      <c r="A1497" s="39">
        <v>4.54907799243444</v>
      </c>
      <c r="B1497" s="40">
        <v>0</v>
      </c>
      <c r="D1497" s="2"/>
      <c r="E1497" s="31"/>
      <c r="G1497" s="43"/>
      <c r="H1497" s="2"/>
    </row>
    <row r="1498" spans="1:8">
      <c r="A1498" s="39">
        <v>4.54872540452032</v>
      </c>
      <c r="B1498" s="40">
        <v>2</v>
      </c>
      <c r="D1498" s="2"/>
      <c r="E1498" s="31"/>
      <c r="G1498" s="43"/>
      <c r="H1498" s="2"/>
    </row>
    <row r="1499" spans="1:8">
      <c r="A1499" s="39">
        <v>4.54826025416508</v>
      </c>
      <c r="B1499" s="40">
        <v>9</v>
      </c>
      <c r="D1499" s="2"/>
      <c r="E1499" s="31"/>
      <c r="G1499" s="43"/>
      <c r="H1499" s="2"/>
    </row>
    <row r="1500" spans="1:8">
      <c r="A1500" s="39">
        <v>4.54300152431302</v>
      </c>
      <c r="B1500" s="40">
        <v>12.2</v>
      </c>
      <c r="D1500" s="2"/>
      <c r="E1500" s="31"/>
      <c r="G1500" s="43"/>
      <c r="H1500" s="2"/>
    </row>
    <row r="1501" spans="1:8">
      <c r="A1501" s="39">
        <v>4.54208273797863</v>
      </c>
      <c r="B1501" s="40">
        <v>10</v>
      </c>
      <c r="D1501" s="2"/>
      <c r="E1501" s="31"/>
      <c r="G1501" s="43"/>
      <c r="H1501" s="2"/>
    </row>
    <row r="1502" spans="1:8">
      <c r="A1502" s="39">
        <v>4.54111792420621</v>
      </c>
      <c r="B1502" s="40">
        <v>3.2</v>
      </c>
      <c r="D1502" s="2"/>
      <c r="E1502" s="31"/>
      <c r="G1502" s="43"/>
      <c r="H1502" s="2"/>
    </row>
    <row r="1503" spans="1:8">
      <c r="A1503" s="39">
        <v>4.54059909093157</v>
      </c>
      <c r="B1503" s="40">
        <v>1.5</v>
      </c>
      <c r="D1503" s="2"/>
      <c r="E1503" s="31"/>
      <c r="G1503" s="43"/>
      <c r="H1503" s="2"/>
    </row>
    <row r="1504" spans="1:8">
      <c r="A1504" s="39">
        <v>4.54018516365096</v>
      </c>
      <c r="B1504" s="40">
        <v>13.7</v>
      </c>
      <c r="D1504" s="2"/>
      <c r="E1504" s="31"/>
      <c r="G1504" s="43"/>
      <c r="H1504" s="2"/>
    </row>
    <row r="1505" spans="1:8">
      <c r="A1505" s="39">
        <v>4.53844739493279</v>
      </c>
      <c r="B1505" s="40">
        <v>0</v>
      </c>
      <c r="D1505" s="2"/>
      <c r="E1505" s="31"/>
      <c r="G1505" s="43"/>
      <c r="H1505" s="2"/>
    </row>
    <row r="1506" spans="1:8">
      <c r="A1506" s="39">
        <v>4.53681191839408</v>
      </c>
      <c r="B1506" s="40">
        <v>9.1</v>
      </c>
      <c r="D1506" s="2"/>
      <c r="E1506" s="31"/>
      <c r="G1506" s="43"/>
      <c r="H1506" s="2"/>
    </row>
    <row r="1507" spans="1:8">
      <c r="A1507" s="39">
        <v>4.53599418012472</v>
      </c>
      <c r="B1507" s="40">
        <v>6</v>
      </c>
      <c r="D1507" s="2"/>
      <c r="E1507" s="31"/>
      <c r="G1507" s="43"/>
      <c r="H1507" s="2"/>
    </row>
    <row r="1508" spans="1:8">
      <c r="A1508" s="39">
        <v>4.5356324345422</v>
      </c>
      <c r="B1508" s="40">
        <v>12</v>
      </c>
      <c r="D1508" s="2"/>
      <c r="E1508" s="31"/>
      <c r="G1508" s="43"/>
      <c r="H1508" s="2"/>
    </row>
    <row r="1509" spans="1:8">
      <c r="A1509" s="39">
        <v>4.53440096614992</v>
      </c>
      <c r="B1509" s="40">
        <v>8.9</v>
      </c>
      <c r="D1509" s="2"/>
      <c r="E1509" s="31"/>
      <c r="G1509" s="43"/>
      <c r="H1509" s="2"/>
    </row>
    <row r="1510" spans="1:8">
      <c r="A1510" s="39">
        <v>4.53417684005102</v>
      </c>
      <c r="B1510" s="40">
        <v>10</v>
      </c>
      <c r="D1510" s="2"/>
      <c r="E1510" s="31"/>
      <c r="G1510" s="43"/>
      <c r="H1510" s="2"/>
    </row>
    <row r="1511" spans="1:8">
      <c r="A1511" s="39">
        <v>4.53275490777121</v>
      </c>
      <c r="B1511" s="40">
        <v>3.4</v>
      </c>
      <c r="D1511" s="2"/>
      <c r="E1511" s="31"/>
      <c r="G1511" s="43"/>
      <c r="H1511" s="2"/>
    </row>
    <row r="1512" spans="1:8">
      <c r="A1512" s="39">
        <v>4.53190548877794</v>
      </c>
      <c r="B1512" s="40">
        <v>5.5</v>
      </c>
      <c r="D1512" s="2"/>
      <c r="E1512" s="31"/>
      <c r="G1512" s="43"/>
      <c r="H1512" s="2"/>
    </row>
    <row r="1513" spans="1:8">
      <c r="A1513" s="39">
        <v>4.53098935740579</v>
      </c>
      <c r="B1513" s="40">
        <v>8.5</v>
      </c>
      <c r="D1513" s="2"/>
      <c r="E1513" s="31"/>
      <c r="G1513" s="43"/>
      <c r="H1513" s="2"/>
    </row>
    <row r="1514" spans="1:8">
      <c r="A1514" s="39">
        <v>4.52857339955371</v>
      </c>
      <c r="B1514" s="40">
        <v>2.8</v>
      </c>
      <c r="D1514" s="2"/>
      <c r="E1514" s="31"/>
      <c r="G1514" s="43"/>
      <c r="H1514" s="2"/>
    </row>
    <row r="1515" spans="1:8">
      <c r="A1515" s="39">
        <v>4.52781679743115</v>
      </c>
      <c r="B1515" s="40">
        <v>10.1</v>
      </c>
      <c r="D1515" s="2"/>
      <c r="E1515" s="31"/>
      <c r="G1515" s="43"/>
      <c r="H1515" s="2"/>
    </row>
    <row r="1516" spans="1:8">
      <c r="A1516" s="39">
        <v>4.52723874696472</v>
      </c>
      <c r="B1516" s="40">
        <v>5.6</v>
      </c>
      <c r="D1516" s="2"/>
      <c r="E1516" s="31"/>
      <c r="G1516" s="43"/>
      <c r="H1516" s="2"/>
    </row>
    <row r="1517" spans="1:8">
      <c r="A1517" s="39">
        <v>4.52699905916179</v>
      </c>
      <c r="B1517" s="40">
        <v>13.6</v>
      </c>
      <c r="D1517" s="2"/>
      <c r="E1517" s="31"/>
      <c r="G1517" s="43"/>
      <c r="H1517" s="2"/>
    </row>
    <row r="1518" spans="1:8">
      <c r="A1518" s="39">
        <v>4.5261844906429</v>
      </c>
      <c r="B1518" s="40">
        <v>6.4</v>
      </c>
      <c r="D1518" s="2"/>
      <c r="E1518" s="31"/>
      <c r="G1518" s="43"/>
      <c r="H1518" s="2"/>
    </row>
    <row r="1519" spans="1:8">
      <c r="A1519" s="39">
        <v>4.52471547585829</v>
      </c>
      <c r="B1519" s="40">
        <v>2.6</v>
      </c>
      <c r="D1519" s="2"/>
      <c r="E1519" s="31"/>
      <c r="G1519" s="43"/>
      <c r="H1519" s="2"/>
    </row>
    <row r="1520" spans="1:8">
      <c r="A1520" s="39">
        <v>4.52454584435372</v>
      </c>
      <c r="B1520" s="40">
        <v>6.2</v>
      </c>
      <c r="D1520" s="2"/>
      <c r="E1520" s="31"/>
      <c r="G1520" s="43"/>
      <c r="H1520" s="2"/>
    </row>
    <row r="1521" spans="1:8">
      <c r="A1521" s="39">
        <v>4.52319486916724</v>
      </c>
      <c r="B1521" s="40">
        <v>7.8</v>
      </c>
      <c r="D1521" s="2"/>
      <c r="E1521" s="31"/>
      <c r="G1521" s="43"/>
      <c r="H1521" s="2"/>
    </row>
    <row r="1522" spans="1:8">
      <c r="A1522" s="39">
        <v>4.52319486916724</v>
      </c>
      <c r="B1522" s="40">
        <v>8.1</v>
      </c>
      <c r="D1522" s="2"/>
      <c r="E1522" s="31"/>
      <c r="G1522" s="43"/>
      <c r="H1522" s="2"/>
    </row>
    <row r="1523" spans="1:8">
      <c r="A1523" s="39">
        <v>4.52180428687592</v>
      </c>
      <c r="B1523" s="40">
        <v>10</v>
      </c>
      <c r="D1523" s="2"/>
      <c r="E1523" s="31"/>
      <c r="G1523" s="43"/>
      <c r="H1523" s="2"/>
    </row>
    <row r="1524" spans="1:8">
      <c r="A1524" s="39">
        <v>4.52125576017308</v>
      </c>
      <c r="B1524" s="40">
        <v>7</v>
      </c>
      <c r="D1524" s="2"/>
      <c r="E1524" s="31"/>
      <c r="G1524" s="43"/>
      <c r="H1524" s="2"/>
    </row>
    <row r="1525" spans="1:8">
      <c r="A1525" s="39">
        <v>4.52045715300693</v>
      </c>
      <c r="B1525" s="40">
        <v>2</v>
      </c>
      <c r="D1525" s="2"/>
      <c r="E1525" s="31"/>
      <c r="G1525" s="43"/>
      <c r="H1525" s="2"/>
    </row>
    <row r="1526" spans="1:8">
      <c r="A1526" s="39">
        <v>4.51962089513914</v>
      </c>
      <c r="B1526" s="40">
        <v>12.2</v>
      </c>
      <c r="D1526" s="2"/>
      <c r="E1526" s="31"/>
      <c r="G1526" s="43"/>
      <c r="H1526" s="2"/>
    </row>
    <row r="1527" spans="1:8">
      <c r="A1527" s="39">
        <v>4.51849670382228</v>
      </c>
      <c r="B1527" s="40">
        <v>5.5</v>
      </c>
      <c r="D1527" s="2"/>
      <c r="E1527" s="31"/>
      <c r="G1527" s="43"/>
      <c r="H1527" s="2"/>
    </row>
    <row r="1528" spans="1:8">
      <c r="A1528" s="39">
        <v>4.51718619992951</v>
      </c>
      <c r="B1528" s="40">
        <v>6.5</v>
      </c>
      <c r="D1528" s="2"/>
      <c r="E1528" s="31"/>
      <c r="G1528" s="43"/>
      <c r="H1528" s="2"/>
    </row>
    <row r="1529" spans="1:8">
      <c r="A1529" s="39">
        <v>4.51707425195558</v>
      </c>
      <c r="B1529" s="40">
        <v>1</v>
      </c>
      <c r="D1529" s="2"/>
      <c r="E1529" s="31"/>
      <c r="G1529" s="43"/>
      <c r="H1529" s="2"/>
    </row>
    <row r="1530" spans="1:8">
      <c r="A1530" s="39">
        <v>4.51657475711712</v>
      </c>
      <c r="B1530" s="40">
        <v>10.9</v>
      </c>
      <c r="D1530" s="2"/>
      <c r="E1530" s="31"/>
      <c r="G1530" s="43"/>
      <c r="H1530" s="2"/>
    </row>
    <row r="1531" spans="1:8">
      <c r="A1531" s="39">
        <v>4.51617841627065</v>
      </c>
      <c r="B1531" s="40">
        <v>10</v>
      </c>
      <c r="D1531" s="2"/>
      <c r="E1531" s="31"/>
      <c r="G1531" s="43"/>
      <c r="H1531" s="2"/>
    </row>
    <row r="1532" spans="1:8">
      <c r="A1532" s="39">
        <v>4.51555072339079</v>
      </c>
      <c r="B1532" s="40">
        <v>1.7</v>
      </c>
      <c r="D1532" s="2"/>
      <c r="E1532" s="31"/>
      <c r="G1532" s="43"/>
      <c r="H1532" s="2"/>
    </row>
    <row r="1533" spans="1:8">
      <c r="A1533" s="39">
        <v>4.51555072339079</v>
      </c>
      <c r="B1533" s="40">
        <v>0</v>
      </c>
      <c r="D1533" s="2"/>
      <c r="E1533" s="31"/>
      <c r="G1533" s="43"/>
      <c r="H1533" s="2"/>
    </row>
    <row r="1534" spans="1:8">
      <c r="A1534" s="39">
        <v>4.51391524685208</v>
      </c>
      <c r="B1534" s="40">
        <v>2</v>
      </c>
      <c r="D1534" s="2"/>
      <c r="E1534" s="31"/>
      <c r="G1534" s="43"/>
      <c r="H1534" s="2"/>
    </row>
    <row r="1535" spans="1:8">
      <c r="A1535" s="39">
        <v>4.51289274373808</v>
      </c>
      <c r="B1535" s="40">
        <v>6.2</v>
      </c>
      <c r="D1535" s="2"/>
      <c r="E1535" s="31"/>
      <c r="G1535" s="43"/>
      <c r="H1535" s="2"/>
    </row>
    <row r="1536" spans="1:8">
      <c r="A1536" s="39">
        <v>4.51273086370681</v>
      </c>
      <c r="B1536" s="40">
        <v>10.4</v>
      </c>
      <c r="D1536" s="2"/>
      <c r="E1536" s="31"/>
      <c r="G1536" s="43"/>
      <c r="H1536" s="2"/>
    </row>
    <row r="1537" spans="1:8">
      <c r="A1537" s="39">
        <v>4.5118135531106</v>
      </c>
      <c r="B1537" s="40">
        <v>5.1</v>
      </c>
      <c r="D1537" s="2"/>
      <c r="E1537" s="31"/>
      <c r="G1537" s="43"/>
      <c r="H1537" s="2"/>
    </row>
    <row r="1538" spans="1:8">
      <c r="A1538" s="39">
        <v>4.51064429377465</v>
      </c>
      <c r="B1538" s="40">
        <v>7.4</v>
      </c>
      <c r="D1538" s="2"/>
      <c r="E1538" s="31"/>
      <c r="G1538" s="43"/>
      <c r="H1538" s="2"/>
    </row>
    <row r="1539" spans="1:8">
      <c r="A1539" s="39">
        <v>4.51015953094641</v>
      </c>
      <c r="B1539" s="40">
        <v>25</v>
      </c>
      <c r="D1539" s="2"/>
      <c r="E1539" s="31"/>
      <c r="G1539" s="43"/>
      <c r="H1539" s="2"/>
    </row>
    <row r="1540" spans="1:8">
      <c r="A1540" s="39">
        <v>4.5088869702965</v>
      </c>
      <c r="B1540" s="40">
        <v>5.5</v>
      </c>
      <c r="D1540" s="2"/>
      <c r="E1540" s="31"/>
      <c r="G1540" s="43"/>
      <c r="H1540" s="2"/>
    </row>
    <row r="1541" spans="1:8">
      <c r="A1541" s="39">
        <v>4.5076658584662</v>
      </c>
      <c r="B1541" s="40">
        <v>6.7</v>
      </c>
      <c r="D1541" s="2"/>
      <c r="E1541" s="31"/>
      <c r="G1541" s="43"/>
      <c r="H1541" s="2"/>
    </row>
    <row r="1542" spans="1:8">
      <c r="A1542" s="39">
        <v>4.50744868995054</v>
      </c>
      <c r="B1542" s="40">
        <v>6</v>
      </c>
      <c r="D1542" s="2"/>
      <c r="E1542" s="31"/>
      <c r="G1542" s="43"/>
      <c r="H1542" s="2"/>
    </row>
    <row r="1543" spans="1:8">
      <c r="A1543" s="39">
        <v>4.50696502359134</v>
      </c>
      <c r="B1543" s="40">
        <v>5.6</v>
      </c>
      <c r="D1543" s="2"/>
      <c r="E1543" s="31"/>
      <c r="G1543" s="43"/>
      <c r="H1543" s="2"/>
    </row>
    <row r="1544" spans="1:8">
      <c r="A1544" s="39">
        <v>4.50696502359134</v>
      </c>
      <c r="B1544" s="40">
        <v>8.5</v>
      </c>
      <c r="D1544" s="2"/>
      <c r="E1544" s="31"/>
      <c r="G1544" s="43"/>
      <c r="H1544" s="2"/>
    </row>
    <row r="1545" spans="1:8">
      <c r="A1545" s="39">
        <v>4.50696502359134</v>
      </c>
      <c r="B1545" s="40">
        <v>10.2</v>
      </c>
      <c r="D1545" s="2"/>
      <c r="E1545" s="31"/>
      <c r="G1545" s="43"/>
      <c r="H1545" s="2"/>
    </row>
    <row r="1546" spans="1:8">
      <c r="A1546" s="39">
        <v>4.50520642268019</v>
      </c>
      <c r="B1546" s="40">
        <v>11.9</v>
      </c>
      <c r="D1546" s="2"/>
      <c r="E1546" s="31"/>
      <c r="G1546" s="43"/>
      <c r="H1546" s="2"/>
    </row>
    <row r="1547" spans="1:8">
      <c r="A1547" s="39">
        <v>4.5045625902099</v>
      </c>
      <c r="B1547" s="40">
        <v>10.7</v>
      </c>
      <c r="D1547" s="2"/>
      <c r="E1547" s="31"/>
      <c r="G1547" s="43"/>
      <c r="H1547" s="2"/>
    </row>
    <row r="1548" spans="1:8">
      <c r="A1548" s="39">
        <v>4.50217097981652</v>
      </c>
      <c r="B1548" s="40">
        <v>13.8</v>
      </c>
      <c r="D1548" s="2"/>
      <c r="E1548" s="31"/>
      <c r="G1548" s="43"/>
      <c r="H1548" s="2"/>
    </row>
    <row r="1549" spans="1:8">
      <c r="A1549" s="39">
        <v>4.50216015682845</v>
      </c>
      <c r="B1549" s="40">
        <v>6.7</v>
      </c>
      <c r="D1549" s="2"/>
      <c r="E1549" s="31"/>
      <c r="G1549" s="43"/>
      <c r="H1549" s="2"/>
    </row>
    <row r="1550" spans="1:8">
      <c r="A1550" s="39">
        <v>4.49930609214244</v>
      </c>
      <c r="B1550" s="40">
        <v>5.3</v>
      </c>
      <c r="D1550" s="2"/>
      <c r="E1550" s="31"/>
      <c r="G1550" s="43"/>
      <c r="H1550" s="2"/>
    </row>
    <row r="1551" spans="1:8">
      <c r="A1551" s="39">
        <v>4.49858987022392</v>
      </c>
      <c r="B1551" s="40">
        <v>3.5</v>
      </c>
      <c r="D1551" s="2"/>
      <c r="E1551" s="31"/>
      <c r="G1551" s="43"/>
      <c r="H1551" s="2"/>
    </row>
    <row r="1552" spans="1:8">
      <c r="A1552" s="39">
        <v>4.49837821973429</v>
      </c>
      <c r="B1552" s="40">
        <v>8.6</v>
      </c>
      <c r="D1552" s="2"/>
      <c r="E1552" s="31"/>
      <c r="G1552" s="43"/>
      <c r="H1552" s="2"/>
    </row>
    <row r="1553" spans="1:8">
      <c r="A1553" s="39">
        <v>4.49773477644964</v>
      </c>
      <c r="B1553" s="40">
        <v>8</v>
      </c>
      <c r="D1553" s="2"/>
      <c r="E1553" s="31"/>
      <c r="G1553" s="43"/>
      <c r="H1553" s="2"/>
    </row>
    <row r="1554" spans="1:8">
      <c r="A1554" s="39">
        <v>4.49621219943667</v>
      </c>
      <c r="B1554" s="40">
        <v>11.1</v>
      </c>
      <c r="D1554" s="2"/>
      <c r="E1554" s="31"/>
      <c r="G1554" s="43"/>
      <c r="H1554" s="2"/>
    </row>
    <row r="1555" spans="1:8">
      <c r="A1555" s="39">
        <v>4.49214387295724</v>
      </c>
      <c r="B1555" s="40">
        <v>12.1</v>
      </c>
      <c r="D1555" s="2"/>
      <c r="E1555" s="31"/>
      <c r="G1555" s="43"/>
      <c r="H1555" s="2"/>
    </row>
    <row r="1556" spans="1:8">
      <c r="A1556" s="39">
        <v>4.49198520265058</v>
      </c>
      <c r="B1556" s="40">
        <v>4</v>
      </c>
      <c r="D1556" s="2"/>
      <c r="E1556" s="31"/>
      <c r="G1556" s="43"/>
      <c r="H1556" s="2"/>
    </row>
    <row r="1557" spans="1:8">
      <c r="A1557" s="39">
        <v>4.49198520265058</v>
      </c>
      <c r="B1557" s="40">
        <v>8.3</v>
      </c>
      <c r="D1557" s="2"/>
      <c r="E1557" s="31"/>
      <c r="G1557" s="43"/>
      <c r="H1557" s="2"/>
    </row>
    <row r="1558" spans="1:8">
      <c r="A1558" s="39">
        <v>4.49183631357943</v>
      </c>
      <c r="B1558" s="40">
        <v>7.1</v>
      </c>
      <c r="D1558" s="2"/>
      <c r="E1558" s="31"/>
      <c r="G1558" s="43"/>
      <c r="H1558" s="2"/>
    </row>
    <row r="1559" spans="1:8">
      <c r="A1559" s="39">
        <v>4.49142765103872</v>
      </c>
      <c r="B1559" s="40">
        <v>16.9</v>
      </c>
      <c r="D1559" s="2"/>
      <c r="E1559" s="31"/>
      <c r="G1559" s="43"/>
      <c r="H1559" s="2"/>
    </row>
    <row r="1560" spans="1:8">
      <c r="A1560" s="39">
        <v>4.49101857531007</v>
      </c>
      <c r="B1560" s="40">
        <v>2</v>
      </c>
      <c r="D1560" s="2"/>
      <c r="E1560" s="31"/>
      <c r="G1560" s="43"/>
      <c r="H1560" s="2"/>
    </row>
    <row r="1561" spans="1:8">
      <c r="A1561" s="39">
        <v>4.49020083704072</v>
      </c>
      <c r="B1561" s="40">
        <v>4</v>
      </c>
      <c r="D1561" s="2"/>
      <c r="E1561" s="31"/>
      <c r="G1561" s="43"/>
      <c r="H1561" s="2"/>
    </row>
    <row r="1562" spans="1:8">
      <c r="A1562" s="39">
        <v>4.48966750324493</v>
      </c>
      <c r="B1562" s="40">
        <v>5.5</v>
      </c>
      <c r="D1562" s="2"/>
      <c r="E1562" s="31"/>
      <c r="G1562" s="43"/>
      <c r="H1562" s="2"/>
    </row>
    <row r="1563" spans="1:8">
      <c r="A1563" s="39">
        <v>4.48774555653978</v>
      </c>
      <c r="B1563" s="40">
        <v>5.5</v>
      </c>
      <c r="D1563" s="2"/>
      <c r="E1563" s="31"/>
      <c r="G1563" s="43"/>
      <c r="H1563" s="2"/>
    </row>
    <row r="1564" spans="1:8">
      <c r="A1564" s="39">
        <v>4.48774555653978</v>
      </c>
      <c r="B1564" s="40">
        <v>12.2</v>
      </c>
      <c r="D1564" s="2"/>
      <c r="E1564" s="31"/>
      <c r="G1564" s="43"/>
      <c r="H1564" s="2"/>
    </row>
    <row r="1565" spans="1:8">
      <c r="A1565" s="39">
        <v>4.48692988396329</v>
      </c>
      <c r="B1565" s="40">
        <v>6.3</v>
      </c>
      <c r="D1565" s="2"/>
      <c r="E1565" s="31"/>
      <c r="G1565" s="43"/>
      <c r="H1565" s="2"/>
    </row>
    <row r="1566" spans="1:8">
      <c r="A1566" s="39">
        <v>4.48692988396329</v>
      </c>
      <c r="B1566" s="40">
        <v>6</v>
      </c>
      <c r="D1566" s="2"/>
      <c r="E1566" s="31"/>
      <c r="G1566" s="43"/>
      <c r="H1566" s="2"/>
    </row>
    <row r="1567" spans="1:8">
      <c r="A1567" s="39">
        <v>4.48571294032432</v>
      </c>
      <c r="B1567" s="40">
        <v>6.7</v>
      </c>
      <c r="D1567" s="2"/>
      <c r="E1567" s="31"/>
      <c r="G1567" s="43"/>
      <c r="H1567" s="2"/>
    </row>
    <row r="1568" spans="1:8">
      <c r="A1568" s="39">
        <v>4.4828411926165</v>
      </c>
      <c r="B1568" s="40">
        <v>3</v>
      </c>
      <c r="D1568" s="2"/>
      <c r="E1568" s="31"/>
      <c r="G1568" s="43"/>
      <c r="H1568" s="2"/>
    </row>
    <row r="1569" spans="1:8">
      <c r="A1569" s="39">
        <v>4.4825768091612</v>
      </c>
      <c r="B1569" s="40">
        <v>8.5</v>
      </c>
      <c r="D1569" s="2"/>
      <c r="E1569" s="31"/>
      <c r="G1569" s="43"/>
      <c r="H1569" s="2"/>
    </row>
    <row r="1570" spans="1:8">
      <c r="A1570" s="39">
        <v>4.48177543836824</v>
      </c>
      <c r="B1570" s="40">
        <v>7.5</v>
      </c>
      <c r="D1570" s="2"/>
      <c r="E1570" s="31"/>
      <c r="G1570" s="43"/>
      <c r="H1570" s="2"/>
    </row>
    <row r="1571" spans="1:8">
      <c r="A1571" s="39">
        <v>4.478135823014</v>
      </c>
      <c r="B1571" s="40">
        <v>2.5</v>
      </c>
      <c r="D1571" s="2"/>
      <c r="E1571" s="31"/>
      <c r="G1571" s="43"/>
      <c r="H1571" s="2"/>
    </row>
    <row r="1572" spans="1:8">
      <c r="A1572" s="39">
        <v>4.47710321266832</v>
      </c>
      <c r="B1572" s="40">
        <v>11.4</v>
      </c>
      <c r="D1572" s="2"/>
      <c r="E1572" s="31"/>
      <c r="G1572" s="43"/>
      <c r="H1572" s="2"/>
    </row>
    <row r="1573" spans="1:8">
      <c r="A1573" s="39">
        <v>4.47629928646164</v>
      </c>
      <c r="B1573" s="40">
        <v>3.7</v>
      </c>
      <c r="D1573" s="2"/>
      <c r="E1573" s="31"/>
      <c r="G1573" s="43"/>
      <c r="H1573" s="2"/>
    </row>
    <row r="1574" spans="1:8">
      <c r="A1574" s="39">
        <v>4.47548154819228</v>
      </c>
      <c r="B1574" s="40">
        <v>11.5</v>
      </c>
      <c r="D1574" s="2"/>
      <c r="E1574" s="31"/>
      <c r="G1574" s="43"/>
      <c r="H1574" s="2"/>
    </row>
    <row r="1575" spans="1:8">
      <c r="A1575" s="39">
        <v>4.47466380992293</v>
      </c>
      <c r="B1575" s="40">
        <v>5.3</v>
      </c>
      <c r="D1575" s="2"/>
      <c r="E1575" s="31"/>
      <c r="G1575" s="43"/>
      <c r="H1575" s="2"/>
    </row>
    <row r="1576" spans="1:8">
      <c r="A1576" s="39">
        <v>4.47466380992293</v>
      </c>
      <c r="B1576" s="40">
        <v>3.4</v>
      </c>
      <c r="D1576" s="2"/>
      <c r="E1576" s="31"/>
      <c r="G1576" s="43"/>
      <c r="H1576" s="2"/>
    </row>
    <row r="1577" spans="1:8">
      <c r="A1577" s="39">
        <v>4.47466380992293</v>
      </c>
      <c r="B1577" s="40">
        <v>5.5</v>
      </c>
      <c r="D1577" s="2"/>
      <c r="E1577" s="31"/>
      <c r="G1577" s="43"/>
      <c r="H1577" s="2"/>
    </row>
    <row r="1578" spans="1:8">
      <c r="A1578" s="39">
        <v>4.47462606365222</v>
      </c>
      <c r="B1578" s="40">
        <v>7</v>
      </c>
      <c r="D1578" s="2"/>
      <c r="E1578" s="31"/>
      <c r="G1578" s="43"/>
      <c r="H1578" s="2"/>
    </row>
    <row r="1579" spans="1:8">
      <c r="A1579" s="39">
        <v>4.47462606365222</v>
      </c>
      <c r="B1579" s="40">
        <v>6.4</v>
      </c>
      <c r="D1579" s="2"/>
      <c r="E1579" s="31"/>
      <c r="G1579" s="43"/>
      <c r="H1579" s="2"/>
    </row>
    <row r="1580" spans="1:8">
      <c r="A1580" s="39">
        <v>4.47384607165357</v>
      </c>
      <c r="B1580" s="40">
        <v>9.2</v>
      </c>
      <c r="D1580" s="2"/>
      <c r="E1580" s="31"/>
      <c r="G1580" s="43"/>
      <c r="H1580" s="2"/>
    </row>
    <row r="1581" spans="1:8">
      <c r="A1581" s="39">
        <v>4.47325726186344</v>
      </c>
      <c r="B1581" s="40">
        <v>7.2</v>
      </c>
      <c r="D1581" s="2"/>
      <c r="E1581" s="31"/>
      <c r="G1581" s="43"/>
      <c r="H1581" s="2"/>
    </row>
    <row r="1582" spans="1:8">
      <c r="A1582" s="39">
        <v>4.4713928568455</v>
      </c>
      <c r="B1582" s="40">
        <v>11</v>
      </c>
      <c r="D1582" s="2"/>
      <c r="E1582" s="31"/>
      <c r="G1582" s="43"/>
      <c r="H1582" s="2"/>
    </row>
    <row r="1583" spans="1:8">
      <c r="A1583" s="39">
        <v>4.47085847968433</v>
      </c>
      <c r="B1583" s="40">
        <v>6.8</v>
      </c>
      <c r="D1583" s="2"/>
      <c r="E1583" s="31"/>
      <c r="G1583" s="43"/>
      <c r="H1583" s="2"/>
    </row>
    <row r="1584" spans="1:8">
      <c r="A1584" s="39">
        <v>4.47044803619337</v>
      </c>
      <c r="B1584" s="40">
        <v>1</v>
      </c>
      <c r="D1584" s="2"/>
      <c r="E1584" s="31"/>
      <c r="G1584" s="43"/>
      <c r="H1584" s="2"/>
    </row>
    <row r="1585" spans="1:8">
      <c r="A1585" s="39">
        <v>4.47044803619337</v>
      </c>
      <c r="B1585" s="40">
        <v>7.2</v>
      </c>
      <c r="D1585" s="2"/>
      <c r="E1585" s="31"/>
      <c r="G1585" s="43"/>
      <c r="H1585" s="2"/>
    </row>
    <row r="1586" spans="1:8">
      <c r="A1586" s="39">
        <v>4.47044803619337</v>
      </c>
      <c r="B1586" s="40">
        <v>6</v>
      </c>
      <c r="D1586" s="2"/>
      <c r="E1586" s="31"/>
      <c r="G1586" s="43"/>
      <c r="H1586" s="2"/>
    </row>
    <row r="1587" spans="1:8">
      <c r="A1587" s="39">
        <v>4.47012895203046</v>
      </c>
      <c r="B1587" s="40">
        <v>6</v>
      </c>
      <c r="D1587" s="2"/>
      <c r="E1587" s="31"/>
      <c r="G1587" s="43"/>
      <c r="H1587" s="2"/>
    </row>
    <row r="1588" spans="1:8">
      <c r="A1588" s="39">
        <v>4.46852608948822</v>
      </c>
      <c r="B1588" s="40">
        <v>0.8</v>
      </c>
      <c r="D1588" s="2"/>
      <c r="E1588" s="31"/>
      <c r="G1588" s="43"/>
      <c r="H1588" s="2"/>
    </row>
    <row r="1589" spans="1:8">
      <c r="A1589" s="39">
        <v>4.46852608948822</v>
      </c>
      <c r="B1589" s="40">
        <v>11.5</v>
      </c>
      <c r="D1589" s="2"/>
      <c r="E1589" s="31"/>
      <c r="G1589" s="43"/>
      <c r="H1589" s="2"/>
    </row>
    <row r="1590" spans="1:8">
      <c r="A1590" s="39">
        <v>4.46852608948822</v>
      </c>
      <c r="B1590" s="40">
        <v>7.5</v>
      </c>
      <c r="D1590" s="2"/>
      <c r="E1590" s="31"/>
      <c r="G1590" s="43"/>
      <c r="H1590" s="2"/>
    </row>
    <row r="1591" spans="1:8">
      <c r="A1591" s="39">
        <v>4.4674374443167</v>
      </c>
      <c r="B1591" s="40">
        <v>14</v>
      </c>
      <c r="D1591" s="2"/>
      <c r="E1591" s="31"/>
      <c r="G1591" s="43"/>
      <c r="H1591" s="2"/>
    </row>
    <row r="1592" spans="1:8">
      <c r="A1592" s="39">
        <v>4.4674306850574</v>
      </c>
      <c r="B1592" s="40">
        <v>12</v>
      </c>
      <c r="D1592" s="2"/>
      <c r="E1592" s="31"/>
      <c r="G1592" s="43"/>
      <c r="H1592" s="2"/>
    </row>
    <row r="1593" spans="1:8">
      <c r="A1593" s="39">
        <v>4.46648642722936</v>
      </c>
      <c r="B1593" s="40">
        <v>7</v>
      </c>
      <c r="D1593" s="2"/>
      <c r="E1593" s="31"/>
      <c r="G1593" s="43"/>
      <c r="H1593" s="2"/>
    </row>
    <row r="1594" spans="1:8">
      <c r="A1594" s="39">
        <v>4.4628527099828</v>
      </c>
      <c r="B1594" s="40">
        <v>8</v>
      </c>
      <c r="D1594" s="2"/>
      <c r="E1594" s="31"/>
      <c r="G1594" s="43"/>
      <c r="H1594" s="2"/>
    </row>
    <row r="1595" spans="1:8">
      <c r="A1595" s="39">
        <v>4.46076225934385</v>
      </c>
      <c r="B1595" s="40">
        <v>9.5</v>
      </c>
      <c r="D1595" s="2"/>
      <c r="E1595" s="31"/>
      <c r="G1595" s="43"/>
      <c r="H1595" s="2"/>
    </row>
    <row r="1596" spans="1:8">
      <c r="A1596" s="39">
        <v>4.4599445210745</v>
      </c>
      <c r="B1596" s="40">
        <v>6</v>
      </c>
      <c r="D1596" s="2"/>
      <c r="E1596" s="31"/>
      <c r="G1596" s="43"/>
      <c r="H1596" s="2"/>
    </row>
    <row r="1597" spans="1:8">
      <c r="A1597" s="39">
        <v>4.45891635596243</v>
      </c>
      <c r="B1597" s="40">
        <v>10.7</v>
      </c>
      <c r="D1597" s="2"/>
      <c r="E1597" s="31"/>
      <c r="G1597" s="43"/>
      <c r="H1597" s="2"/>
    </row>
    <row r="1598" spans="1:8">
      <c r="A1598" s="39">
        <v>4.45870771799659</v>
      </c>
      <c r="B1598" s="40">
        <v>15</v>
      </c>
      <c r="D1598" s="2"/>
      <c r="E1598" s="31"/>
      <c r="G1598" s="43"/>
      <c r="H1598" s="2"/>
    </row>
    <row r="1599" spans="1:8">
      <c r="A1599" s="39">
        <v>4.45725276360991</v>
      </c>
      <c r="B1599" s="40">
        <v>20.4</v>
      </c>
      <c r="D1599" s="2"/>
      <c r="E1599" s="31"/>
      <c r="G1599" s="43"/>
      <c r="H1599" s="2"/>
    </row>
    <row r="1600" spans="1:8">
      <c r="A1600" s="39">
        <v>4.45561655511272</v>
      </c>
      <c r="B1600" s="40">
        <v>12.6</v>
      </c>
      <c r="D1600" s="2"/>
      <c r="E1600" s="31"/>
      <c r="G1600" s="43"/>
      <c r="H1600" s="2"/>
    </row>
    <row r="1601" spans="1:8">
      <c r="A1601" s="39">
        <v>4.45484694028126</v>
      </c>
      <c r="B1601" s="40">
        <v>12</v>
      </c>
      <c r="D1601" s="2"/>
      <c r="E1601" s="31"/>
      <c r="G1601" s="43"/>
      <c r="H1601" s="2"/>
    </row>
    <row r="1602" spans="1:8">
      <c r="A1602" s="39">
        <v>4.454220353189</v>
      </c>
      <c r="B1602" s="40">
        <v>7</v>
      </c>
      <c r="D1602" s="2"/>
      <c r="E1602" s="31"/>
      <c r="G1602" s="43"/>
      <c r="H1602" s="2"/>
    </row>
    <row r="1603" spans="1:8">
      <c r="A1603" s="39">
        <v>4.45411148919954</v>
      </c>
      <c r="B1603" s="40">
        <v>6.5</v>
      </c>
      <c r="D1603" s="2"/>
      <c r="E1603" s="31"/>
      <c r="G1603" s="43"/>
      <c r="H1603" s="2"/>
    </row>
    <row r="1604" spans="1:8">
      <c r="A1604" s="39">
        <v>4.45393935019212</v>
      </c>
      <c r="B1604" s="40">
        <v>0.5</v>
      </c>
      <c r="D1604" s="2"/>
      <c r="E1604" s="31"/>
      <c r="G1604" s="43"/>
      <c r="H1604" s="2"/>
    </row>
    <row r="1605" spans="1:8">
      <c r="A1605" s="39">
        <v>4.45330625163869</v>
      </c>
      <c r="B1605" s="40">
        <v>4.5</v>
      </c>
      <c r="D1605" s="2"/>
      <c r="E1605" s="31"/>
      <c r="G1605" s="43"/>
      <c r="H1605" s="2"/>
    </row>
    <row r="1606" spans="1:8">
      <c r="A1606" s="39">
        <v>4.45266354854448</v>
      </c>
      <c r="B1606" s="40">
        <v>9.7</v>
      </c>
      <c r="D1606" s="2"/>
      <c r="E1606" s="31"/>
      <c r="G1606" s="43"/>
      <c r="H1606" s="2"/>
    </row>
    <row r="1607" spans="1:8">
      <c r="A1607" s="39">
        <v>4.45193575129889</v>
      </c>
      <c r="B1607" s="40">
        <v>1</v>
      </c>
      <c r="D1607" s="2"/>
      <c r="E1607" s="31"/>
      <c r="G1607" s="43"/>
      <c r="H1607" s="2"/>
    </row>
    <row r="1608" spans="1:8">
      <c r="A1608" s="39">
        <v>4.45143294606316</v>
      </c>
      <c r="B1608" s="40">
        <v>21.5</v>
      </c>
      <c r="D1608" s="2"/>
      <c r="E1608" s="31"/>
      <c r="G1608" s="43"/>
      <c r="H1608" s="2"/>
    </row>
    <row r="1609" spans="1:8">
      <c r="A1609" s="39">
        <v>4.45017012047556</v>
      </c>
      <c r="B1609" s="40">
        <v>5.8</v>
      </c>
      <c r="D1609" s="2"/>
      <c r="E1609" s="31"/>
      <c r="G1609" s="43"/>
      <c r="H1609" s="2"/>
    </row>
    <row r="1610" spans="1:8">
      <c r="A1610" s="39">
        <v>4.45017012047556</v>
      </c>
      <c r="B1610" s="40">
        <v>4.4</v>
      </c>
      <c r="D1610" s="2"/>
      <c r="E1610" s="31"/>
      <c r="G1610" s="43"/>
      <c r="H1610" s="2"/>
    </row>
    <row r="1611" spans="1:8">
      <c r="A1611" s="39">
        <v>4.44944223857036</v>
      </c>
      <c r="B1611" s="40">
        <v>10.6</v>
      </c>
      <c r="D1611" s="2"/>
      <c r="E1611" s="31"/>
      <c r="G1611" s="43"/>
      <c r="H1611" s="2"/>
    </row>
    <row r="1612" spans="1:8">
      <c r="A1612" s="39">
        <v>4.44930662243665</v>
      </c>
      <c r="B1612" s="40">
        <v>3.3</v>
      </c>
      <c r="D1612" s="2"/>
      <c r="E1612" s="31"/>
      <c r="G1612" s="43"/>
      <c r="H1612" s="2"/>
    </row>
    <row r="1613" spans="1:8">
      <c r="A1613" s="39">
        <v>4.4484961853035</v>
      </c>
      <c r="B1613" s="40">
        <v>0</v>
      </c>
      <c r="D1613" s="2"/>
      <c r="E1613" s="31"/>
      <c r="G1613" s="43"/>
      <c r="H1613" s="2"/>
    </row>
    <row r="1614" spans="1:8">
      <c r="A1614" s="39">
        <v>4.44845433592752</v>
      </c>
      <c r="B1614" s="40">
        <v>12</v>
      </c>
      <c r="D1614" s="2"/>
      <c r="E1614" s="31"/>
      <c r="G1614" s="43"/>
      <c r="H1614" s="2"/>
    </row>
    <row r="1615" spans="1:8">
      <c r="A1615" s="39">
        <v>4.44604297049542</v>
      </c>
      <c r="B1615" s="40">
        <v>9.7</v>
      </c>
      <c r="D1615" s="2"/>
      <c r="E1615" s="31"/>
      <c r="G1615" s="43"/>
      <c r="H1615" s="2"/>
    </row>
    <row r="1616" spans="1:8">
      <c r="A1616" s="39">
        <v>4.44584454927295</v>
      </c>
      <c r="B1616" s="40">
        <v>9.5</v>
      </c>
      <c r="D1616" s="2"/>
      <c r="E1616" s="31"/>
      <c r="G1616" s="43"/>
      <c r="H1616" s="2"/>
    </row>
    <row r="1617" spans="1:8">
      <c r="A1617" s="39">
        <v>4.44285248109494</v>
      </c>
      <c r="B1617" s="40">
        <v>5.5</v>
      </c>
      <c r="D1617" s="2"/>
      <c r="E1617" s="31"/>
      <c r="G1617" s="43"/>
      <c r="H1617" s="2"/>
    </row>
    <row r="1618" spans="1:8">
      <c r="A1618" s="39">
        <v>4.44161883561603</v>
      </c>
      <c r="B1618" s="40">
        <v>7.2</v>
      </c>
      <c r="D1618" s="2"/>
      <c r="E1618" s="31"/>
      <c r="G1618" s="43"/>
      <c r="H1618" s="2"/>
    </row>
    <row r="1619" spans="1:8">
      <c r="A1619" s="39">
        <v>4.44129211674232</v>
      </c>
      <c r="B1619" s="40">
        <v>7</v>
      </c>
      <c r="D1619" s="2"/>
      <c r="E1619" s="31"/>
      <c r="G1619" s="43"/>
      <c r="H1619" s="2"/>
    </row>
    <row r="1620" spans="1:8">
      <c r="A1620" s="39">
        <v>4.44124826535637</v>
      </c>
      <c r="B1620" s="40">
        <v>20</v>
      </c>
      <c r="D1620" s="2"/>
      <c r="E1620" s="31"/>
      <c r="G1620" s="43"/>
      <c r="H1620" s="2"/>
    </row>
    <row r="1621" spans="1:8">
      <c r="A1621" s="39">
        <v>4.44109668703619</v>
      </c>
      <c r="B1621" s="40">
        <v>9.9</v>
      </c>
      <c r="D1621" s="2"/>
      <c r="E1621" s="31"/>
      <c r="G1621" s="43"/>
      <c r="H1621" s="2"/>
    </row>
    <row r="1622" spans="1:8">
      <c r="A1622" s="39">
        <v>4.44101879261498</v>
      </c>
      <c r="B1622" s="40">
        <v>9.8</v>
      </c>
      <c r="D1622" s="2"/>
      <c r="E1622" s="31"/>
      <c r="G1622" s="43"/>
      <c r="H1622" s="2"/>
    </row>
    <row r="1623" spans="1:8">
      <c r="A1623" s="39">
        <v>4.44044801532683</v>
      </c>
      <c r="B1623" s="40">
        <v>2.3</v>
      </c>
      <c r="D1623" s="2"/>
      <c r="E1623" s="31"/>
      <c r="G1623" s="43"/>
      <c r="H1623" s="2"/>
    </row>
    <row r="1624" spans="1:8">
      <c r="A1624" s="39">
        <v>4.44044801532683</v>
      </c>
      <c r="B1624" s="40">
        <v>6.5</v>
      </c>
      <c r="D1624" s="2"/>
      <c r="E1624" s="31"/>
      <c r="G1624" s="43"/>
      <c r="H1624" s="2"/>
    </row>
    <row r="1625" spans="1:8">
      <c r="A1625" s="39">
        <v>4.44044801532683</v>
      </c>
      <c r="B1625" s="40">
        <v>6</v>
      </c>
      <c r="D1625" s="2"/>
      <c r="E1625" s="31"/>
      <c r="G1625" s="43"/>
      <c r="H1625" s="2"/>
    </row>
    <row r="1626" spans="1:8">
      <c r="A1626" s="39">
        <v>4.4381076036326</v>
      </c>
      <c r="B1626" s="40">
        <v>10.5</v>
      </c>
      <c r="D1626" s="2"/>
      <c r="E1626" s="31"/>
      <c r="G1626" s="43"/>
      <c r="H1626" s="2"/>
    </row>
    <row r="1627" spans="1:8">
      <c r="A1627" s="39">
        <v>4.43786558780185</v>
      </c>
      <c r="B1627" s="40">
        <v>1.5</v>
      </c>
      <c r="D1627" s="2"/>
      <c r="E1627" s="31"/>
      <c r="G1627" s="43"/>
      <c r="H1627" s="2"/>
    </row>
    <row r="1628" spans="1:8">
      <c r="A1628" s="39">
        <v>4.43786558780185</v>
      </c>
      <c r="B1628" s="40">
        <v>8.2</v>
      </c>
      <c r="D1628" s="2"/>
      <c r="E1628" s="31"/>
      <c r="G1628" s="43"/>
      <c r="H1628" s="2"/>
    </row>
    <row r="1629" spans="1:8">
      <c r="A1629" s="39">
        <v>4.43771100714972</v>
      </c>
      <c r="B1629" s="40">
        <v>6.9</v>
      </c>
      <c r="D1629" s="2"/>
      <c r="E1629" s="31"/>
      <c r="G1629" s="43"/>
      <c r="H1629" s="2"/>
    </row>
    <row r="1630" spans="1:8">
      <c r="A1630" s="39">
        <v>4.43448946465994</v>
      </c>
      <c r="B1630" s="40">
        <v>6.2</v>
      </c>
      <c r="D1630" s="2"/>
      <c r="E1630" s="31"/>
      <c r="G1630" s="43"/>
      <c r="H1630" s="2"/>
    </row>
    <row r="1631" spans="1:8">
      <c r="A1631" s="39">
        <v>4.43106358464957</v>
      </c>
      <c r="B1631" s="40">
        <v>10.3</v>
      </c>
      <c r="D1631" s="2"/>
      <c r="E1631" s="31"/>
      <c r="G1631" s="43"/>
      <c r="H1631" s="2"/>
    </row>
    <row r="1632" spans="1:8">
      <c r="A1632" s="39">
        <v>4.43010183393107</v>
      </c>
      <c r="B1632" s="40">
        <v>25</v>
      </c>
      <c r="D1632" s="2"/>
      <c r="E1632" s="31"/>
      <c r="G1632" s="43"/>
      <c r="H1632" s="2"/>
    </row>
    <row r="1633" spans="1:8">
      <c r="A1633" s="39">
        <v>4.42968820510828</v>
      </c>
      <c r="B1633" s="40">
        <v>2</v>
      </c>
      <c r="D1633" s="2"/>
      <c r="E1633" s="31"/>
      <c r="G1633" s="43"/>
      <c r="H1633" s="2"/>
    </row>
    <row r="1634" spans="1:8">
      <c r="A1634" s="39">
        <v>4.42968820510828</v>
      </c>
      <c r="B1634" s="40">
        <v>2</v>
      </c>
      <c r="D1634" s="2"/>
      <c r="E1634" s="31"/>
      <c r="G1634" s="43"/>
      <c r="H1634" s="2"/>
    </row>
    <row r="1635" spans="1:8">
      <c r="A1635" s="39">
        <v>4.42912618203251</v>
      </c>
      <c r="B1635" s="40">
        <v>2</v>
      </c>
      <c r="D1635" s="2"/>
      <c r="E1635" s="31"/>
      <c r="G1635" s="43"/>
      <c r="H1635" s="2"/>
    </row>
    <row r="1636" spans="1:8">
      <c r="A1636" s="39">
        <v>4.42720423532736</v>
      </c>
      <c r="B1636" s="40">
        <v>8.6</v>
      </c>
      <c r="D1636" s="2"/>
      <c r="E1636" s="31"/>
      <c r="G1636" s="43"/>
      <c r="H1636" s="2"/>
    </row>
    <row r="1637" spans="1:8">
      <c r="A1637" s="39">
        <v>4.42696767837192</v>
      </c>
      <c r="B1637" s="40">
        <v>10.1</v>
      </c>
      <c r="D1637" s="2"/>
      <c r="E1637" s="31"/>
      <c r="G1637" s="43"/>
      <c r="H1637" s="2"/>
    </row>
    <row r="1638" spans="1:8">
      <c r="A1638" s="39">
        <v>4.4252822886222</v>
      </c>
      <c r="B1638" s="40">
        <v>7.9</v>
      </c>
      <c r="D1638" s="2"/>
      <c r="E1638" s="31"/>
      <c r="G1638" s="43"/>
      <c r="H1638" s="2"/>
    </row>
    <row r="1639" spans="1:8">
      <c r="A1639" s="39">
        <v>4.42515783581285</v>
      </c>
      <c r="B1639" s="40">
        <v>8</v>
      </c>
      <c r="D1639" s="2"/>
      <c r="E1639" s="31"/>
      <c r="G1639" s="43"/>
      <c r="H1639" s="2"/>
    </row>
    <row r="1640" spans="1:8">
      <c r="A1640" s="39">
        <v>4.42425841348849</v>
      </c>
      <c r="B1640" s="40">
        <v>9</v>
      </c>
      <c r="D1640" s="2"/>
      <c r="E1640" s="31"/>
      <c r="G1640" s="43"/>
      <c r="H1640" s="2"/>
    </row>
    <row r="1641" spans="1:8">
      <c r="A1641" s="39">
        <v>4.42396403722278</v>
      </c>
      <c r="B1641" s="40">
        <v>5</v>
      </c>
      <c r="D1641" s="2"/>
      <c r="E1641" s="31"/>
      <c r="G1641" s="43"/>
      <c r="H1641" s="2"/>
    </row>
    <row r="1642" spans="1:8">
      <c r="A1642" s="39">
        <v>4.42338656877932</v>
      </c>
      <c r="B1642" s="40">
        <v>14</v>
      </c>
      <c r="D1642" s="2"/>
      <c r="E1642" s="31"/>
      <c r="G1642" s="43"/>
      <c r="H1642" s="2"/>
    </row>
    <row r="1643" spans="1:8">
      <c r="A1643" s="39">
        <v>4.42299031706181</v>
      </c>
      <c r="B1643" s="40">
        <v>6.5</v>
      </c>
      <c r="D1643" s="2"/>
      <c r="E1643" s="31"/>
      <c r="G1643" s="43"/>
      <c r="H1643" s="2"/>
    </row>
    <row r="1644" spans="1:8">
      <c r="A1644" s="39">
        <v>4.42245956883979</v>
      </c>
      <c r="B1644" s="40">
        <v>11</v>
      </c>
      <c r="D1644" s="2"/>
      <c r="E1644" s="31"/>
      <c r="G1644" s="43"/>
      <c r="H1644" s="2"/>
    </row>
    <row r="1645" spans="1:8">
      <c r="A1645" s="39">
        <v>4.42239936856447</v>
      </c>
      <c r="B1645" s="40">
        <v>5.8</v>
      </c>
      <c r="D1645" s="2"/>
      <c r="E1645" s="31"/>
      <c r="G1645" s="43"/>
      <c r="H1645" s="2"/>
    </row>
    <row r="1646" spans="1:8">
      <c r="A1646" s="39">
        <v>4.42239936856447</v>
      </c>
      <c r="B1646" s="40">
        <v>2.4</v>
      </c>
      <c r="D1646" s="2"/>
      <c r="E1646" s="31"/>
      <c r="G1646" s="43"/>
      <c r="H1646" s="2"/>
    </row>
    <row r="1647" spans="1:8">
      <c r="A1647" s="39">
        <v>4.42151082241471</v>
      </c>
      <c r="B1647" s="40">
        <v>7.2</v>
      </c>
      <c r="D1647" s="2"/>
      <c r="E1647" s="31"/>
      <c r="G1647" s="43"/>
      <c r="H1647" s="2"/>
    </row>
    <row r="1648" spans="1:8">
      <c r="A1648" s="39">
        <v>4.42066072419108</v>
      </c>
      <c r="B1648" s="40">
        <v>7.6</v>
      </c>
      <c r="D1648" s="2"/>
      <c r="E1648" s="31"/>
      <c r="G1648" s="43"/>
      <c r="H1648" s="2"/>
    </row>
    <row r="1649" spans="1:8">
      <c r="A1649" s="39">
        <v>4.42066072419108</v>
      </c>
      <c r="B1649" s="40">
        <v>6.6</v>
      </c>
      <c r="D1649" s="2"/>
      <c r="E1649" s="31"/>
      <c r="G1649" s="43"/>
      <c r="H1649" s="2"/>
    </row>
    <row r="1650" spans="1:8">
      <c r="A1650" s="39">
        <v>4.42015142674943</v>
      </c>
      <c r="B1650" s="40">
        <v>4.7</v>
      </c>
      <c r="D1650" s="2"/>
      <c r="E1650" s="31"/>
      <c r="G1650" s="43"/>
      <c r="H1650" s="2"/>
    </row>
    <row r="1651" spans="1:8">
      <c r="A1651" s="39">
        <v>4.41880880884431</v>
      </c>
      <c r="B1651" s="40">
        <v>1.2</v>
      </c>
      <c r="D1651" s="2"/>
      <c r="E1651" s="31"/>
      <c r="G1651" s="43"/>
      <c r="H1651" s="2"/>
    </row>
    <row r="1652" spans="1:8">
      <c r="A1652" s="39">
        <v>4.41759450180158</v>
      </c>
      <c r="B1652" s="40">
        <v>8.5</v>
      </c>
      <c r="D1652" s="2"/>
      <c r="E1652" s="31"/>
      <c r="G1652" s="43"/>
      <c r="H1652" s="2"/>
    </row>
    <row r="1653" spans="1:8">
      <c r="A1653" s="39">
        <v>4.41627368626478</v>
      </c>
      <c r="B1653" s="40">
        <v>25</v>
      </c>
      <c r="D1653" s="2"/>
      <c r="E1653" s="31"/>
      <c r="G1653" s="43"/>
      <c r="H1653" s="2"/>
    </row>
    <row r="1654" spans="1:8">
      <c r="A1654" s="39">
        <v>4.41526419024497</v>
      </c>
      <c r="B1654" s="40">
        <v>9.4</v>
      </c>
      <c r="D1654" s="2"/>
      <c r="E1654" s="31"/>
      <c r="G1654" s="43"/>
      <c r="H1654" s="2"/>
    </row>
    <row r="1655" spans="1:8">
      <c r="A1655" s="39">
        <v>4.41433160920269</v>
      </c>
      <c r="B1655" s="40">
        <v>9</v>
      </c>
      <c r="D1655" s="2"/>
      <c r="E1655" s="31"/>
      <c r="G1655" s="43"/>
      <c r="H1655" s="2"/>
    </row>
    <row r="1656" spans="1:8">
      <c r="A1656" s="39">
        <v>4.41346534559627</v>
      </c>
      <c r="B1656" s="40">
        <v>9.8</v>
      </c>
      <c r="D1656" s="2"/>
      <c r="E1656" s="31"/>
      <c r="G1656" s="43"/>
      <c r="H1656" s="2"/>
    </row>
    <row r="1657" spans="1:8">
      <c r="A1657" s="39">
        <v>4.41333343972113</v>
      </c>
      <c r="B1657" s="40">
        <v>6.8</v>
      </c>
      <c r="D1657" s="2"/>
      <c r="E1657" s="31"/>
      <c r="G1657" s="43"/>
      <c r="H1657" s="2"/>
    </row>
    <row r="1658" spans="1:8">
      <c r="A1658" s="39">
        <v>4.41264324000152</v>
      </c>
      <c r="B1658" s="40">
        <v>14.9</v>
      </c>
      <c r="D1658" s="2"/>
      <c r="E1658" s="31"/>
      <c r="G1658" s="43"/>
      <c r="H1658" s="2"/>
    </row>
    <row r="1659" spans="1:8">
      <c r="A1659" s="39">
        <v>4.41214917762267</v>
      </c>
      <c r="B1659" s="40">
        <v>14</v>
      </c>
      <c r="D1659" s="2"/>
      <c r="E1659" s="31"/>
      <c r="G1659" s="43"/>
      <c r="H1659" s="2"/>
    </row>
    <row r="1660" spans="1:8">
      <c r="A1660" s="39">
        <v>4.41214472258159</v>
      </c>
      <c r="B1660" s="40">
        <v>10.5</v>
      </c>
      <c r="D1660" s="2"/>
      <c r="E1660" s="31"/>
      <c r="G1660" s="43"/>
      <c r="H1660" s="2"/>
    </row>
    <row r="1661" spans="1:8">
      <c r="A1661" s="39">
        <v>4.4100624866437</v>
      </c>
      <c r="B1661" s="40">
        <v>5.3</v>
      </c>
      <c r="D1661" s="2"/>
      <c r="E1661" s="31"/>
      <c r="G1661" s="43"/>
      <c r="H1661" s="2"/>
    </row>
    <row r="1662" spans="1:8">
      <c r="A1662" s="39">
        <v>4.40986765629886</v>
      </c>
      <c r="B1662" s="40">
        <v>3.4</v>
      </c>
      <c r="D1662" s="2"/>
      <c r="E1662" s="31"/>
      <c r="G1662" s="43"/>
      <c r="H1662" s="2"/>
    </row>
    <row r="1663" spans="1:8">
      <c r="A1663" s="39">
        <v>4.40972351105443</v>
      </c>
      <c r="B1663" s="40">
        <v>11.3</v>
      </c>
      <c r="D1663" s="2"/>
      <c r="E1663" s="31"/>
      <c r="G1663" s="43"/>
      <c r="H1663" s="2"/>
    </row>
    <row r="1664" spans="1:8">
      <c r="A1664" s="39">
        <v>4.4092392688493</v>
      </c>
      <c r="B1664" s="40">
        <v>17.6</v>
      </c>
      <c r="D1664" s="2"/>
      <c r="E1664" s="31"/>
      <c r="G1664" s="43"/>
      <c r="H1664" s="2"/>
    </row>
    <row r="1665" spans="1:8">
      <c r="A1665" s="39">
        <v>4.40842701010499</v>
      </c>
      <c r="B1665" s="40">
        <v>2</v>
      </c>
      <c r="D1665" s="2"/>
      <c r="E1665" s="31"/>
      <c r="G1665" s="43"/>
      <c r="H1665" s="2"/>
    </row>
    <row r="1666" spans="1:8">
      <c r="A1666" s="39">
        <v>4.40835503830055</v>
      </c>
      <c r="B1666" s="40">
        <v>7</v>
      </c>
      <c r="D1666" s="2"/>
      <c r="E1666" s="31"/>
      <c r="G1666" s="43"/>
      <c r="H1666" s="2"/>
    </row>
    <row r="1667" spans="1:8">
      <c r="A1667" s="39">
        <v>4.4071693893258</v>
      </c>
      <c r="B1667" s="40">
        <v>9</v>
      </c>
      <c r="D1667" s="2"/>
      <c r="E1667" s="31"/>
      <c r="G1667" s="43"/>
      <c r="H1667" s="2"/>
    </row>
    <row r="1668" spans="1:8">
      <c r="A1668" s="39">
        <v>4.40606282157064</v>
      </c>
      <c r="B1668" s="40">
        <v>8.6</v>
      </c>
      <c r="D1668" s="2"/>
      <c r="E1668" s="31"/>
      <c r="G1668" s="43"/>
      <c r="H1668" s="2"/>
    </row>
    <row r="1669" spans="1:8">
      <c r="A1669" s="39">
        <v>4.40548102081632</v>
      </c>
      <c r="B1669" s="40">
        <v>23.5</v>
      </c>
      <c r="D1669" s="2"/>
      <c r="E1669" s="31"/>
      <c r="G1669" s="43"/>
      <c r="H1669" s="2"/>
    </row>
    <row r="1670" spans="1:8">
      <c r="A1670" s="39">
        <v>4.40535672758087</v>
      </c>
      <c r="B1670" s="40">
        <v>4</v>
      </c>
      <c r="D1670" s="2"/>
      <c r="E1670" s="31"/>
      <c r="G1670" s="43"/>
      <c r="H1670" s="2"/>
    </row>
    <row r="1671" spans="1:8">
      <c r="A1671" s="39">
        <v>4.4043383187582</v>
      </c>
      <c r="B1671" s="40">
        <v>6.5</v>
      </c>
      <c r="D1671" s="2"/>
      <c r="E1671" s="31"/>
      <c r="G1671" s="43"/>
      <c r="H1671" s="2"/>
    </row>
    <row r="1672" spans="1:8">
      <c r="A1672" s="39">
        <v>4.40429123788787</v>
      </c>
      <c r="B1672" s="40">
        <v>10</v>
      </c>
      <c r="D1672" s="2"/>
      <c r="E1672" s="31"/>
      <c r="G1672" s="43"/>
      <c r="H1672" s="2"/>
    </row>
    <row r="1673" spans="1:8">
      <c r="A1673" s="39">
        <v>4.40404857697928</v>
      </c>
      <c r="B1673" s="40">
        <v>11.1</v>
      </c>
      <c r="D1673" s="2"/>
      <c r="E1673" s="31"/>
      <c r="G1673" s="43"/>
      <c r="H1673" s="2"/>
    </row>
    <row r="1674" spans="1:8">
      <c r="A1674" s="39">
        <v>4.40270284221949</v>
      </c>
      <c r="B1674" s="40">
        <v>3</v>
      </c>
      <c r="D1674" s="2"/>
      <c r="E1674" s="31"/>
      <c r="G1674" s="43"/>
      <c r="H1674" s="2"/>
    </row>
    <row r="1675" spans="1:8">
      <c r="A1675" s="39">
        <v>4.40125795480775</v>
      </c>
      <c r="B1675" s="40">
        <v>4.7</v>
      </c>
      <c r="D1675" s="2"/>
      <c r="E1675" s="31"/>
      <c r="G1675" s="43"/>
      <c r="H1675" s="2"/>
    </row>
    <row r="1676" spans="1:8">
      <c r="A1676" s="39">
        <v>4.40125795480775</v>
      </c>
      <c r="B1676" s="40">
        <v>8.3</v>
      </c>
      <c r="D1676" s="2"/>
      <c r="E1676" s="31"/>
      <c r="G1676" s="43"/>
      <c r="H1676" s="2"/>
    </row>
    <row r="1677" spans="1:8">
      <c r="A1677" s="39">
        <v>4.40106736568077</v>
      </c>
      <c r="B1677" s="40">
        <v>3.6</v>
      </c>
      <c r="D1677" s="2"/>
      <c r="E1677" s="31"/>
      <c r="G1677" s="43"/>
      <c r="H1677" s="2"/>
    </row>
    <row r="1678" spans="1:8">
      <c r="A1678" s="39">
        <v>4.40050954252918</v>
      </c>
      <c r="B1678" s="40">
        <v>3.3</v>
      </c>
      <c r="D1678" s="2"/>
      <c r="E1678" s="31"/>
      <c r="G1678" s="43"/>
      <c r="H1678" s="2"/>
    </row>
    <row r="1679" spans="1:8">
      <c r="A1679" s="39">
        <v>4.39953434961611</v>
      </c>
      <c r="B1679" s="40">
        <v>15.8</v>
      </c>
      <c r="D1679" s="2"/>
      <c r="E1679" s="31"/>
      <c r="G1679" s="43"/>
      <c r="H1679" s="2"/>
    </row>
    <row r="1680" spans="1:8">
      <c r="A1680" s="39">
        <v>4.3986141508727</v>
      </c>
      <c r="B1680" s="40">
        <v>3</v>
      </c>
      <c r="D1680" s="2"/>
      <c r="E1680" s="31"/>
      <c r="G1680" s="43"/>
      <c r="H1680" s="2"/>
    </row>
    <row r="1681" spans="1:8">
      <c r="A1681" s="39">
        <v>4.3986141508727</v>
      </c>
      <c r="B1681" s="40">
        <v>3</v>
      </c>
      <c r="D1681" s="2"/>
      <c r="E1681" s="31"/>
      <c r="G1681" s="43"/>
      <c r="H1681" s="2"/>
    </row>
    <row r="1682" spans="1:8">
      <c r="A1682" s="39">
        <v>4.39844162012831</v>
      </c>
      <c r="B1682" s="40">
        <v>2</v>
      </c>
      <c r="D1682" s="2"/>
      <c r="E1682" s="31"/>
      <c r="G1682" s="43"/>
      <c r="H1682" s="2"/>
    </row>
    <row r="1683" spans="1:8">
      <c r="A1683" s="39">
        <v>4.39832711094916</v>
      </c>
      <c r="B1683" s="40">
        <v>6.9</v>
      </c>
      <c r="D1683" s="2"/>
      <c r="E1683" s="31"/>
      <c r="G1683" s="43"/>
      <c r="H1683" s="2"/>
    </row>
    <row r="1684" spans="1:8">
      <c r="A1684" s="39">
        <v>4.39779641260335</v>
      </c>
      <c r="B1684" s="40">
        <v>7.2</v>
      </c>
      <c r="D1684" s="2"/>
      <c r="E1684" s="31"/>
      <c r="G1684" s="43"/>
      <c r="H1684" s="2"/>
    </row>
    <row r="1685" spans="1:8">
      <c r="A1685" s="39">
        <v>4.39727574375793</v>
      </c>
      <c r="B1685" s="40">
        <v>10.2</v>
      </c>
      <c r="D1685" s="2"/>
      <c r="E1685" s="31"/>
      <c r="G1685" s="43"/>
      <c r="H1685" s="2"/>
    </row>
    <row r="1686" spans="1:8">
      <c r="A1686" s="39">
        <v>4.39727574375793</v>
      </c>
      <c r="B1686" s="40">
        <v>6.9</v>
      </c>
      <c r="D1686" s="2"/>
      <c r="E1686" s="31"/>
      <c r="G1686" s="43"/>
      <c r="H1686" s="2"/>
    </row>
    <row r="1687" spans="1:8">
      <c r="A1687" s="39">
        <v>4.39697867433399</v>
      </c>
      <c r="B1687" s="40">
        <v>5.5</v>
      </c>
      <c r="D1687" s="2"/>
      <c r="E1687" s="31"/>
      <c r="G1687" s="43"/>
      <c r="H1687" s="2"/>
    </row>
    <row r="1688" spans="1:8">
      <c r="A1688" s="39">
        <v>4.39547689910922</v>
      </c>
      <c r="B1688" s="40">
        <v>0</v>
      </c>
      <c r="D1688" s="2"/>
      <c r="E1688" s="31"/>
      <c r="G1688" s="43"/>
      <c r="H1688" s="2"/>
    </row>
    <row r="1689" spans="1:8">
      <c r="A1689" s="39">
        <v>4.39473769203852</v>
      </c>
      <c r="B1689" s="40">
        <v>8.5</v>
      </c>
      <c r="D1689" s="2"/>
      <c r="E1689" s="31"/>
      <c r="G1689" s="43"/>
      <c r="H1689" s="2"/>
    </row>
    <row r="1690" spans="1:8">
      <c r="A1690" s="39">
        <v>4.39452545952592</v>
      </c>
      <c r="B1690" s="40">
        <v>8</v>
      </c>
      <c r="D1690" s="2"/>
      <c r="E1690" s="31"/>
      <c r="G1690" s="43"/>
      <c r="H1690" s="2"/>
    </row>
    <row r="1691" spans="1:8">
      <c r="A1691" s="39">
        <v>4.39357016798712</v>
      </c>
      <c r="B1691" s="40">
        <v>4.8</v>
      </c>
      <c r="D1691" s="2"/>
      <c r="E1691" s="31"/>
      <c r="G1691" s="43"/>
      <c r="H1691" s="2"/>
    </row>
    <row r="1692" spans="1:8">
      <c r="A1692" s="39">
        <v>4.39164822128197</v>
      </c>
      <c r="B1692" s="40">
        <v>4</v>
      </c>
      <c r="D1692" s="2"/>
      <c r="E1692" s="31"/>
      <c r="G1692" s="43"/>
      <c r="H1692" s="2"/>
    </row>
    <row r="1693" spans="1:8">
      <c r="A1693" s="39">
        <v>4.38961902990977</v>
      </c>
      <c r="B1693" s="40">
        <v>10.9</v>
      </c>
      <c r="D1693" s="2"/>
      <c r="E1693" s="31"/>
      <c r="G1693" s="43"/>
      <c r="H1693" s="2"/>
    </row>
    <row r="1694" spans="1:8">
      <c r="A1694" s="39">
        <v>4.38829169477184</v>
      </c>
      <c r="B1694" s="40">
        <v>11.8</v>
      </c>
      <c r="D1694" s="2"/>
      <c r="E1694" s="31"/>
      <c r="G1694" s="43"/>
      <c r="H1694" s="2"/>
    </row>
    <row r="1695" spans="1:8">
      <c r="A1695" s="39">
        <v>4.38744749721305</v>
      </c>
      <c r="B1695" s="40">
        <v>5</v>
      </c>
      <c r="D1695" s="2"/>
      <c r="E1695" s="31"/>
      <c r="G1695" s="43"/>
      <c r="H1695" s="2"/>
    </row>
    <row r="1696" spans="1:8">
      <c r="A1696" s="39">
        <v>4.3871658151017</v>
      </c>
      <c r="B1696" s="40">
        <v>8.4</v>
      </c>
      <c r="D1696" s="2"/>
      <c r="E1696" s="31"/>
      <c r="G1696" s="43"/>
      <c r="H1696" s="2"/>
    </row>
    <row r="1697" spans="1:8">
      <c r="A1697" s="39">
        <v>4.38684335451908</v>
      </c>
      <c r="B1697" s="40">
        <v>1</v>
      </c>
      <c r="D1697" s="2"/>
      <c r="E1697" s="31"/>
      <c r="G1697" s="43"/>
      <c r="H1697" s="2"/>
    </row>
    <row r="1698" spans="1:8">
      <c r="A1698" s="39">
        <v>4.38643399919542</v>
      </c>
      <c r="B1698" s="40">
        <v>28</v>
      </c>
      <c r="D1698" s="2"/>
      <c r="E1698" s="31"/>
      <c r="G1698" s="43"/>
      <c r="H1698" s="2"/>
    </row>
    <row r="1699" spans="1:8">
      <c r="A1699" s="39">
        <v>4.38643399919542</v>
      </c>
      <c r="B1699" s="40">
        <v>7.8</v>
      </c>
      <c r="D1699" s="2"/>
      <c r="E1699" s="31"/>
      <c r="G1699" s="43"/>
      <c r="H1699" s="2"/>
    </row>
    <row r="1700" spans="1:8">
      <c r="A1700" s="39">
        <v>4.38553033856299</v>
      </c>
      <c r="B1700" s="40">
        <v>8.2</v>
      </c>
      <c r="D1700" s="2"/>
      <c r="E1700" s="31"/>
      <c r="G1700" s="43"/>
      <c r="H1700" s="2"/>
    </row>
    <row r="1701" spans="1:8">
      <c r="A1701" s="39">
        <v>4.38471260029363</v>
      </c>
      <c r="B1701" s="40">
        <v>5.5</v>
      </c>
      <c r="D1701" s="2"/>
      <c r="E1701" s="31"/>
      <c r="G1701" s="43"/>
      <c r="H1701" s="2"/>
    </row>
    <row r="1702" spans="1:8">
      <c r="A1702" s="39">
        <v>4.38399436326072</v>
      </c>
      <c r="B1702" s="40">
        <v>7</v>
      </c>
      <c r="D1702" s="2"/>
      <c r="E1702" s="31"/>
      <c r="G1702" s="43"/>
      <c r="H1702" s="2"/>
    </row>
    <row r="1703" spans="1:8">
      <c r="A1703" s="39">
        <v>4.38399436326072</v>
      </c>
      <c r="B1703" s="40">
        <v>9.9</v>
      </c>
      <c r="D1703" s="2"/>
      <c r="E1703" s="31"/>
      <c r="G1703" s="43"/>
      <c r="H1703" s="2"/>
    </row>
    <row r="1704" spans="1:8">
      <c r="A1704" s="39">
        <v>4.38396043446134</v>
      </c>
      <c r="B1704" s="40">
        <v>1</v>
      </c>
      <c r="D1704" s="2"/>
      <c r="E1704" s="31"/>
      <c r="G1704" s="43"/>
      <c r="H1704" s="2"/>
    </row>
    <row r="1705" spans="1:8">
      <c r="A1705" s="39">
        <v>4.38256191942368</v>
      </c>
      <c r="B1705" s="40">
        <v>10.7</v>
      </c>
      <c r="D1705" s="2"/>
      <c r="E1705" s="31"/>
      <c r="G1705" s="43"/>
      <c r="H1705" s="2"/>
    </row>
    <row r="1706" spans="1:8">
      <c r="A1706" s="39">
        <v>4.38206721572186</v>
      </c>
      <c r="B1706" s="40">
        <v>21.5</v>
      </c>
      <c r="D1706" s="2"/>
      <c r="E1706" s="31"/>
      <c r="G1706" s="43"/>
      <c r="H1706" s="2"/>
    </row>
    <row r="1707" spans="1:8">
      <c r="A1707" s="39">
        <v>4.38203848775619</v>
      </c>
      <c r="B1707" s="40">
        <v>7.5</v>
      </c>
      <c r="D1707" s="2"/>
      <c r="E1707" s="31"/>
      <c r="G1707" s="43"/>
      <c r="H1707" s="2"/>
    </row>
    <row r="1708" spans="1:8">
      <c r="A1708" s="39">
        <v>4.38198556424394</v>
      </c>
      <c r="B1708" s="40">
        <v>6</v>
      </c>
      <c r="D1708" s="2"/>
      <c r="E1708" s="31"/>
      <c r="G1708" s="43"/>
      <c r="H1708" s="2"/>
    </row>
    <row r="1709" spans="1:8">
      <c r="A1709" s="39">
        <v>4.3814416472162</v>
      </c>
      <c r="B1709" s="40">
        <v>8.35</v>
      </c>
      <c r="D1709" s="2"/>
      <c r="E1709" s="31"/>
      <c r="G1709" s="43"/>
      <c r="H1709" s="2"/>
    </row>
    <row r="1710" spans="1:8">
      <c r="A1710" s="39">
        <v>4.38133941847626</v>
      </c>
      <c r="B1710" s="40">
        <v>3</v>
      </c>
      <c r="D1710" s="2"/>
      <c r="E1710" s="31"/>
      <c r="G1710" s="43"/>
      <c r="H1710" s="2"/>
    </row>
    <row r="1711" spans="1:8">
      <c r="A1711" s="39">
        <v>4.3811752348868</v>
      </c>
      <c r="B1711" s="40">
        <v>7.9</v>
      </c>
      <c r="D1711" s="2"/>
      <c r="E1711" s="31"/>
      <c r="G1711" s="43"/>
      <c r="H1711" s="2"/>
    </row>
    <row r="1712" spans="1:8">
      <c r="A1712" s="39">
        <v>4.38062390894684</v>
      </c>
      <c r="B1712" s="40">
        <v>9</v>
      </c>
      <c r="D1712" s="2"/>
      <c r="E1712" s="31"/>
      <c r="G1712" s="43"/>
      <c r="H1712" s="2"/>
    </row>
    <row r="1713" spans="1:8">
      <c r="A1713" s="39">
        <v>4.38041325366812</v>
      </c>
      <c r="B1713" s="40">
        <v>4.7</v>
      </c>
      <c r="D1713" s="2"/>
      <c r="E1713" s="31"/>
      <c r="G1713" s="43"/>
      <c r="H1713" s="2"/>
    </row>
    <row r="1714" spans="1:8">
      <c r="A1714" s="39">
        <v>4.38012985783242</v>
      </c>
      <c r="B1714" s="40">
        <v>12</v>
      </c>
      <c r="D1714" s="2"/>
      <c r="E1714" s="31"/>
      <c r="G1714" s="43"/>
      <c r="H1714" s="2"/>
    </row>
    <row r="1715" spans="1:8">
      <c r="A1715" s="39">
        <v>4.37928729727088</v>
      </c>
      <c r="B1715" s="40">
        <v>8</v>
      </c>
      <c r="D1715" s="2"/>
      <c r="E1715" s="31"/>
      <c r="G1715" s="43"/>
      <c r="H1715" s="2"/>
    </row>
    <row r="1716" spans="1:8">
      <c r="A1716" s="39">
        <v>4.37915556769845</v>
      </c>
      <c r="B1716" s="40">
        <v>7.7</v>
      </c>
      <c r="D1716" s="2"/>
      <c r="E1716" s="31"/>
      <c r="G1716" s="43"/>
      <c r="H1716" s="2"/>
    </row>
    <row r="1717" spans="1:8">
      <c r="A1717" s="39">
        <v>4.37915556769845</v>
      </c>
      <c r="B1717" s="40">
        <v>8.5</v>
      </c>
      <c r="D1717" s="2"/>
      <c r="E1717" s="31"/>
      <c r="G1717" s="43"/>
      <c r="H1717" s="2"/>
    </row>
    <row r="1718" spans="1:8">
      <c r="A1718" s="39">
        <v>4.37838787494653</v>
      </c>
      <c r="B1718" s="40">
        <v>3.825</v>
      </c>
      <c r="D1718" s="2"/>
      <c r="E1718" s="31"/>
      <c r="G1718" s="43"/>
      <c r="H1718" s="2"/>
    </row>
    <row r="1719" spans="1:8">
      <c r="A1719" s="39">
        <v>4.37748845262218</v>
      </c>
      <c r="B1719" s="40">
        <v>7.5</v>
      </c>
      <c r="D1719" s="2"/>
      <c r="E1719" s="31"/>
      <c r="G1719" s="43"/>
      <c r="H1719" s="2"/>
    </row>
    <row r="1720" spans="1:8">
      <c r="A1720" s="39">
        <v>4.37748845262218</v>
      </c>
      <c r="B1720" s="40">
        <v>6</v>
      </c>
      <c r="D1720" s="2"/>
      <c r="E1720" s="31"/>
      <c r="G1720" s="43"/>
      <c r="H1720" s="2"/>
    </row>
    <row r="1721" spans="1:8">
      <c r="A1721" s="39">
        <v>4.3772336209933</v>
      </c>
      <c r="B1721" s="40">
        <v>2.5</v>
      </c>
      <c r="D1721" s="2"/>
      <c r="E1721" s="31"/>
      <c r="G1721" s="43"/>
      <c r="H1721" s="2"/>
    </row>
    <row r="1722" spans="1:8">
      <c r="A1722" s="39">
        <v>4.3769937266693</v>
      </c>
      <c r="B1722" s="40">
        <v>4.1</v>
      </c>
      <c r="D1722" s="2"/>
      <c r="E1722" s="31"/>
      <c r="G1722" s="43"/>
      <c r="H1722" s="2"/>
    </row>
    <row r="1723" spans="1:8">
      <c r="A1723" s="39">
        <v>4.37653521760006</v>
      </c>
      <c r="B1723" s="40">
        <v>13.3</v>
      </c>
      <c r="D1723" s="2"/>
      <c r="E1723" s="31"/>
      <c r="G1723" s="43"/>
      <c r="H1723" s="2"/>
    </row>
    <row r="1724" spans="1:8">
      <c r="A1724" s="39">
        <v>4.37531167428814</v>
      </c>
      <c r="B1724" s="40">
        <v>5.1</v>
      </c>
      <c r="D1724" s="2"/>
      <c r="E1724" s="31"/>
      <c r="G1724" s="43"/>
      <c r="H1724" s="2"/>
    </row>
    <row r="1725" spans="1:8">
      <c r="A1725" s="39">
        <v>4.37359288637551</v>
      </c>
      <c r="B1725" s="40">
        <v>15</v>
      </c>
      <c r="D1725" s="2"/>
      <c r="E1725" s="31"/>
      <c r="G1725" s="43"/>
      <c r="H1725" s="2"/>
    </row>
    <row r="1726" spans="1:8">
      <c r="A1726" s="39">
        <v>4.37326426452263</v>
      </c>
      <c r="B1726" s="40">
        <v>2.7</v>
      </c>
      <c r="D1726" s="2"/>
      <c r="E1726" s="31"/>
      <c r="G1726" s="43"/>
      <c r="H1726" s="2"/>
    </row>
    <row r="1727" spans="1:8">
      <c r="A1727" s="39">
        <v>4.37299134100042</v>
      </c>
      <c r="B1727" s="40">
        <v>14</v>
      </c>
      <c r="D1727" s="2"/>
      <c r="E1727" s="31"/>
      <c r="G1727" s="43"/>
      <c r="H1727" s="2"/>
    </row>
    <row r="1728" spans="1:8">
      <c r="A1728" s="39">
        <v>4.37260585152913</v>
      </c>
      <c r="B1728" s="40">
        <v>6.6</v>
      </c>
      <c r="D1728" s="2"/>
      <c r="E1728" s="31"/>
      <c r="G1728" s="43"/>
      <c r="H1728" s="2"/>
    </row>
    <row r="1729" spans="1:8">
      <c r="A1729" s="39">
        <v>4.37244652625327</v>
      </c>
      <c r="B1729" s="40">
        <v>8.2</v>
      </c>
      <c r="D1729" s="2"/>
      <c r="E1729" s="31"/>
      <c r="G1729" s="43"/>
      <c r="H1729" s="2"/>
    </row>
    <row r="1730" spans="1:8">
      <c r="A1730" s="39">
        <v>4.37187805428354</v>
      </c>
      <c r="B1730" s="40">
        <v>11.7</v>
      </c>
      <c r="D1730" s="2"/>
      <c r="E1730" s="31"/>
      <c r="G1730" s="43"/>
      <c r="H1730" s="2"/>
    </row>
    <row r="1731" spans="1:8">
      <c r="A1731" s="39">
        <v>4.37119249635171</v>
      </c>
      <c r="B1731" s="40">
        <v>6.4</v>
      </c>
      <c r="D1731" s="2"/>
      <c r="E1731" s="31"/>
      <c r="G1731" s="43"/>
      <c r="H1731" s="2"/>
    </row>
    <row r="1732" spans="1:8">
      <c r="A1732" s="39">
        <v>4.37115025703795</v>
      </c>
      <c r="B1732" s="40">
        <v>6</v>
      </c>
      <c r="D1732" s="2"/>
      <c r="E1732" s="31"/>
      <c r="G1732" s="43"/>
      <c r="H1732" s="2"/>
    </row>
    <row r="1733" spans="1:8">
      <c r="A1733" s="39">
        <v>4.37115025703795</v>
      </c>
      <c r="B1733" s="40">
        <v>2</v>
      </c>
      <c r="D1733" s="2"/>
      <c r="E1733" s="31"/>
      <c r="G1733" s="43"/>
      <c r="H1733" s="2"/>
    </row>
    <row r="1734" spans="1:8">
      <c r="A1734" s="39">
        <v>4.37050680752525</v>
      </c>
      <c r="B1734" s="40">
        <v>7.2</v>
      </c>
      <c r="D1734" s="2"/>
      <c r="E1734" s="31"/>
      <c r="G1734" s="43"/>
      <c r="H1734" s="2"/>
    </row>
    <row r="1735" spans="1:8">
      <c r="A1735" s="39">
        <v>4.37042245979235</v>
      </c>
      <c r="B1735" s="40">
        <v>2</v>
      </c>
      <c r="D1735" s="2"/>
      <c r="E1735" s="31"/>
      <c r="G1735" s="43"/>
      <c r="H1735" s="2"/>
    </row>
    <row r="1736" spans="1:8">
      <c r="A1736" s="39">
        <v>4.3699933114452</v>
      </c>
      <c r="B1736" s="40">
        <v>7</v>
      </c>
      <c r="D1736" s="2"/>
      <c r="E1736" s="31"/>
      <c r="G1736" s="43"/>
      <c r="H1736" s="2"/>
    </row>
    <row r="1737" spans="1:8">
      <c r="A1737" s="39">
        <v>4.36966992489032</v>
      </c>
      <c r="B1737" s="40">
        <v>3.6</v>
      </c>
      <c r="D1737" s="2"/>
      <c r="E1737" s="31"/>
      <c r="G1737" s="43"/>
      <c r="H1737" s="2"/>
    </row>
    <row r="1738" spans="1:8">
      <c r="A1738" s="39">
        <v>4.36966992489032</v>
      </c>
      <c r="B1738" s="40">
        <v>13</v>
      </c>
      <c r="D1738" s="2"/>
      <c r="E1738" s="31"/>
      <c r="G1738" s="43"/>
      <c r="H1738" s="2"/>
    </row>
    <row r="1739" spans="1:8">
      <c r="A1739" s="39">
        <v>4.36896686530116</v>
      </c>
      <c r="B1739" s="40">
        <v>10.5</v>
      </c>
      <c r="D1739" s="2"/>
      <c r="E1739" s="31"/>
      <c r="G1739" s="43"/>
      <c r="H1739" s="2"/>
    </row>
    <row r="1740" spans="1:8">
      <c r="A1740" s="39">
        <v>4.36849422937866</v>
      </c>
      <c r="B1740" s="40">
        <v>2</v>
      </c>
      <c r="D1740" s="2"/>
      <c r="E1740" s="31"/>
      <c r="G1740" s="43"/>
      <c r="H1740" s="2"/>
    </row>
    <row r="1741" spans="1:8">
      <c r="A1741" s="39">
        <v>4.36849422937866</v>
      </c>
      <c r="B1741" s="40">
        <v>12</v>
      </c>
      <c r="D1741" s="2"/>
      <c r="E1741" s="31"/>
      <c r="G1741" s="43"/>
      <c r="H1741" s="2"/>
    </row>
    <row r="1742" spans="1:8">
      <c r="A1742" s="39">
        <v>4.36835783490648</v>
      </c>
      <c r="B1742" s="40">
        <v>13.2</v>
      </c>
      <c r="D1742" s="2"/>
      <c r="E1742" s="31"/>
      <c r="G1742" s="43"/>
      <c r="H1742" s="2"/>
    </row>
    <row r="1743" spans="1:8">
      <c r="A1743" s="39">
        <v>4.36835783490648</v>
      </c>
      <c r="B1743" s="40">
        <v>2.5</v>
      </c>
      <c r="D1743" s="2"/>
      <c r="E1743" s="31"/>
      <c r="G1743" s="43"/>
      <c r="H1743" s="2"/>
    </row>
    <row r="1744" spans="1:8">
      <c r="A1744" s="39">
        <v>4.36669538472995</v>
      </c>
      <c r="B1744" s="40">
        <v>7.2</v>
      </c>
      <c r="D1744" s="2"/>
      <c r="E1744" s="31"/>
      <c r="G1744" s="43"/>
      <c r="H1744" s="2"/>
    </row>
    <row r="1745" spans="1:8">
      <c r="A1745" s="39">
        <v>4.3646000818276</v>
      </c>
      <c r="B1745" s="40">
        <v>25</v>
      </c>
      <c r="D1745" s="2"/>
      <c r="E1745" s="31"/>
      <c r="G1745" s="43"/>
      <c r="H1745" s="2"/>
    </row>
    <row r="1746" spans="1:8">
      <c r="A1746" s="39">
        <v>4.36434031615655</v>
      </c>
      <c r="B1746" s="40">
        <v>6.1</v>
      </c>
      <c r="D1746" s="2"/>
      <c r="E1746" s="31"/>
      <c r="G1746" s="43"/>
      <c r="H1746" s="2"/>
    </row>
    <row r="1747" spans="1:8">
      <c r="A1747" s="39">
        <v>4.3637799940572</v>
      </c>
      <c r="B1747" s="40">
        <v>2.2</v>
      </c>
      <c r="D1747" s="2"/>
      <c r="E1747" s="31"/>
      <c r="G1747" s="43"/>
      <c r="H1747" s="2"/>
    </row>
    <row r="1748" spans="1:8">
      <c r="A1748" s="39">
        <v>4.36340820566871</v>
      </c>
      <c r="B1748" s="40">
        <v>5.7</v>
      </c>
      <c r="D1748" s="2"/>
      <c r="E1748" s="31"/>
      <c r="G1748" s="43"/>
      <c r="H1748" s="2"/>
    </row>
    <row r="1749" spans="1:8">
      <c r="A1749" s="39">
        <v>4.36039942845949</v>
      </c>
      <c r="B1749" s="40">
        <v>4</v>
      </c>
      <c r="D1749" s="2"/>
      <c r="E1749" s="31"/>
      <c r="G1749" s="43"/>
      <c r="H1749" s="2"/>
    </row>
    <row r="1750" spans="1:8">
      <c r="A1750" s="39">
        <v>4.36026769379929</v>
      </c>
      <c r="B1750" s="40">
        <v>4.5</v>
      </c>
      <c r="D1750" s="2"/>
      <c r="E1750" s="31"/>
      <c r="G1750" s="43"/>
      <c r="H1750" s="2"/>
    </row>
    <row r="1751" spans="1:8">
      <c r="A1751" s="39">
        <v>4.36018045221291</v>
      </c>
      <c r="B1751" s="40">
        <v>5.5</v>
      </c>
      <c r="D1751" s="2"/>
      <c r="E1751" s="31"/>
      <c r="G1751" s="43"/>
      <c r="H1751" s="2"/>
    </row>
    <row r="1752" spans="1:8">
      <c r="A1752" s="39">
        <v>4.35936271394355</v>
      </c>
      <c r="B1752" s="40">
        <v>8</v>
      </c>
      <c r="D1752" s="2"/>
      <c r="E1752" s="31"/>
      <c r="G1752" s="43"/>
      <c r="H1752" s="2"/>
    </row>
    <row r="1753" spans="1:8">
      <c r="A1753" s="39">
        <v>4.35732210937166</v>
      </c>
      <c r="B1753" s="40">
        <v>14</v>
      </c>
      <c r="D1753" s="2"/>
      <c r="E1753" s="31"/>
      <c r="G1753" s="43"/>
      <c r="H1753" s="2"/>
    </row>
    <row r="1754" spans="1:8">
      <c r="A1754" s="39">
        <v>4.35659431212606</v>
      </c>
      <c r="B1754" s="40">
        <v>2</v>
      </c>
      <c r="D1754" s="2"/>
      <c r="E1754" s="31"/>
      <c r="G1754" s="43"/>
      <c r="H1754" s="2"/>
    </row>
    <row r="1755" spans="1:8">
      <c r="A1755" s="39">
        <v>4.35608618558179</v>
      </c>
      <c r="B1755" s="40">
        <v>4.2</v>
      </c>
      <c r="D1755" s="2"/>
      <c r="E1755" s="31"/>
      <c r="G1755" s="43"/>
      <c r="H1755" s="2"/>
    </row>
    <row r="1756" spans="1:8">
      <c r="A1756" s="39">
        <v>4.35527402259677</v>
      </c>
      <c r="B1756" s="40">
        <v>8.3</v>
      </c>
      <c r="D1756" s="2"/>
      <c r="E1756" s="31"/>
      <c r="G1756" s="43"/>
      <c r="H1756" s="2"/>
    </row>
    <row r="1757" spans="1:8">
      <c r="A1757" s="39">
        <v>4.355131233884</v>
      </c>
      <c r="B1757" s="40">
        <v>7.9</v>
      </c>
      <c r="D1757" s="2"/>
      <c r="E1757" s="31"/>
      <c r="G1757" s="43"/>
      <c r="H1757" s="2"/>
    </row>
    <row r="1758" spans="1:8">
      <c r="A1758" s="39">
        <v>4.35491409517133</v>
      </c>
      <c r="B1758" s="40">
        <v>11.4</v>
      </c>
      <c r="D1758" s="2"/>
      <c r="E1758" s="31"/>
      <c r="G1758" s="43"/>
      <c r="H1758" s="2"/>
    </row>
    <row r="1759" spans="1:8">
      <c r="A1759" s="39">
        <v>4.35319682076436</v>
      </c>
      <c r="B1759" s="40">
        <v>9</v>
      </c>
      <c r="D1759" s="2"/>
      <c r="E1759" s="31"/>
      <c r="G1759" s="43"/>
      <c r="H1759" s="2"/>
    </row>
    <row r="1760" spans="1:8">
      <c r="A1760" s="39">
        <v>4.35249604776858</v>
      </c>
      <c r="B1760" s="40">
        <v>16.9</v>
      </c>
      <c r="D1760" s="2"/>
      <c r="E1760" s="31"/>
      <c r="G1760" s="43"/>
      <c r="H1760" s="2"/>
    </row>
    <row r="1761" spans="1:8">
      <c r="A1761" s="39">
        <v>4.35230462754032</v>
      </c>
      <c r="B1761" s="40">
        <v>6</v>
      </c>
      <c r="D1761" s="2"/>
      <c r="E1761" s="31"/>
      <c r="G1761" s="43"/>
      <c r="H1761" s="2"/>
    </row>
    <row r="1762" spans="1:8">
      <c r="A1762" s="39">
        <v>4.35200306951934</v>
      </c>
      <c r="B1762" s="40">
        <v>3.7</v>
      </c>
      <c r="D1762" s="2"/>
      <c r="E1762" s="31"/>
      <c r="G1762" s="43"/>
      <c r="H1762" s="2"/>
    </row>
    <row r="1763" spans="1:8">
      <c r="A1763" s="39">
        <v>4.35140520521596</v>
      </c>
      <c r="B1763" s="40">
        <v>3.4</v>
      </c>
      <c r="D1763" s="2"/>
      <c r="E1763" s="31"/>
      <c r="G1763" s="43"/>
      <c r="H1763" s="2"/>
    </row>
    <row r="1764" spans="1:8">
      <c r="A1764" s="39">
        <v>4.35104109338189</v>
      </c>
      <c r="B1764" s="40">
        <v>9.8</v>
      </c>
      <c r="D1764" s="2"/>
      <c r="E1764" s="31"/>
      <c r="G1764" s="43"/>
      <c r="H1764" s="2"/>
    </row>
    <row r="1765" spans="1:8">
      <c r="A1765" s="39">
        <v>4.35077193416131</v>
      </c>
      <c r="B1765" s="40">
        <v>9.6</v>
      </c>
      <c r="D1765" s="2"/>
      <c r="E1765" s="31"/>
      <c r="G1765" s="43"/>
      <c r="H1765" s="2"/>
    </row>
    <row r="1766" spans="1:8">
      <c r="A1766" s="39">
        <v>4.35077193416131</v>
      </c>
      <c r="B1766" s="40">
        <v>13.2</v>
      </c>
      <c r="D1766" s="2"/>
      <c r="E1766" s="31"/>
      <c r="G1766" s="43"/>
      <c r="H1766" s="2"/>
    </row>
    <row r="1767" spans="1:8">
      <c r="A1767" s="39">
        <v>4.350445554794</v>
      </c>
      <c r="B1767" s="40">
        <v>8</v>
      </c>
      <c r="D1767" s="2"/>
      <c r="E1767" s="31"/>
      <c r="G1767" s="43"/>
      <c r="H1767" s="2"/>
    </row>
    <row r="1768" spans="1:8">
      <c r="A1768" s="39">
        <v>4.35036759298062</v>
      </c>
      <c r="B1768" s="40">
        <v>0</v>
      </c>
      <c r="D1768" s="2"/>
      <c r="E1768" s="31"/>
      <c r="G1768" s="43"/>
      <c r="H1768" s="2"/>
    </row>
    <row r="1769" spans="1:8">
      <c r="A1769" s="39">
        <v>4.35004413691572</v>
      </c>
      <c r="B1769" s="40">
        <v>0</v>
      </c>
      <c r="D1769" s="2"/>
      <c r="E1769" s="31"/>
      <c r="G1769" s="43"/>
      <c r="H1769" s="2"/>
    </row>
    <row r="1770" spans="1:8">
      <c r="A1770" s="39">
        <v>4.34931633967012</v>
      </c>
      <c r="B1770" s="40">
        <v>8</v>
      </c>
      <c r="D1770" s="2"/>
      <c r="E1770" s="31"/>
      <c r="G1770" s="43"/>
      <c r="H1770" s="2"/>
    </row>
    <row r="1771" spans="1:8">
      <c r="A1771" s="39">
        <v>4.34840442041595</v>
      </c>
      <c r="B1771" s="40">
        <v>8.5</v>
      </c>
      <c r="D1771" s="44"/>
      <c r="E1771" s="31"/>
      <c r="G1771" s="43"/>
      <c r="H1771" s="2"/>
    </row>
    <row r="1772" spans="1:8">
      <c r="A1772" s="39">
        <v>4.34791437817255</v>
      </c>
      <c r="B1772" s="40">
        <v>5.2</v>
      </c>
      <c r="D1772" s="2"/>
      <c r="E1772" s="31"/>
      <c r="G1772" s="43"/>
      <c r="H1772" s="2"/>
    </row>
    <row r="1773" spans="1:8">
      <c r="A1773" s="39">
        <v>4.34706782200522</v>
      </c>
      <c r="B1773" s="40">
        <v>6</v>
      </c>
      <c r="D1773" s="2"/>
      <c r="E1773" s="31"/>
      <c r="G1773" s="43"/>
      <c r="H1773" s="2"/>
    </row>
    <row r="1774" spans="1:8">
      <c r="A1774" s="39">
        <v>4.34563241503804</v>
      </c>
      <c r="B1774" s="40">
        <v>6.1</v>
      </c>
      <c r="D1774" s="2"/>
      <c r="E1774" s="31"/>
      <c r="G1774" s="43"/>
      <c r="H1774" s="2"/>
    </row>
    <row r="1775" spans="1:8">
      <c r="A1775" s="39">
        <v>4.34414127118822</v>
      </c>
      <c r="B1775" s="40">
        <v>10.6</v>
      </c>
      <c r="D1775" s="2"/>
      <c r="E1775" s="31"/>
      <c r="G1775" s="43"/>
      <c r="H1775" s="2"/>
    </row>
    <row r="1776" spans="1:8">
      <c r="A1776" s="39">
        <v>4.34382568682577</v>
      </c>
      <c r="B1776" s="40">
        <v>3.9</v>
      </c>
      <c r="D1776" s="2"/>
      <c r="E1776" s="31"/>
      <c r="G1776" s="43"/>
      <c r="H1776" s="2"/>
    </row>
    <row r="1777" spans="1:8">
      <c r="A1777" s="39">
        <v>4.34354906870911</v>
      </c>
      <c r="B1777" s="40">
        <v>20</v>
      </c>
      <c r="D1777" s="2"/>
      <c r="E1777" s="31"/>
      <c r="G1777" s="43"/>
      <c r="H1777" s="2"/>
    </row>
    <row r="1778" spans="1:8">
      <c r="A1778" s="39">
        <v>4.34300794855641</v>
      </c>
      <c r="B1778" s="40">
        <v>9.9</v>
      </c>
      <c r="D1778" s="2"/>
      <c r="E1778" s="31"/>
      <c r="G1778" s="43"/>
      <c r="H1778" s="2"/>
    </row>
    <row r="1779" spans="1:8">
      <c r="A1779" s="39">
        <v>4.34300794855641</v>
      </c>
      <c r="B1779" s="40">
        <v>2.5</v>
      </c>
      <c r="D1779" s="2"/>
      <c r="E1779" s="31"/>
      <c r="G1779" s="43"/>
      <c r="H1779" s="2"/>
    </row>
    <row r="1780" spans="1:8">
      <c r="A1780" s="39">
        <v>4.34102104814952</v>
      </c>
      <c r="B1780" s="40">
        <v>4</v>
      </c>
      <c r="D1780" s="2"/>
      <c r="E1780" s="31"/>
      <c r="G1780" s="43"/>
      <c r="H1780" s="2"/>
    </row>
    <row r="1781" spans="1:8">
      <c r="A1781" s="39">
        <v>4.34102104814952</v>
      </c>
      <c r="B1781" s="40">
        <v>21.5</v>
      </c>
      <c r="D1781" s="2"/>
      <c r="E1781" s="31"/>
      <c r="G1781" s="43"/>
      <c r="H1781" s="2"/>
    </row>
    <row r="1782" spans="1:8">
      <c r="A1782" s="39">
        <v>4.34055473374834</v>
      </c>
      <c r="B1782" s="40">
        <v>10.4</v>
      </c>
      <c r="D1782" s="2"/>
      <c r="E1782" s="31"/>
      <c r="G1782" s="43"/>
      <c r="H1782" s="2"/>
    </row>
    <row r="1783" spans="1:8">
      <c r="A1783" s="39">
        <v>4.33975566024275</v>
      </c>
      <c r="B1783" s="40">
        <v>1</v>
      </c>
      <c r="D1783" s="2"/>
      <c r="E1783" s="31"/>
      <c r="G1783" s="43"/>
      <c r="H1783" s="2"/>
    </row>
    <row r="1784" spans="1:8">
      <c r="A1784" s="39">
        <v>4.33808155769772</v>
      </c>
      <c r="B1784" s="40">
        <v>9.5</v>
      </c>
      <c r="D1784" s="2"/>
      <c r="E1784" s="31"/>
      <c r="G1784" s="43"/>
      <c r="H1784" s="2"/>
    </row>
    <row r="1785" spans="1:8">
      <c r="A1785" s="39">
        <v>4.33767158374062</v>
      </c>
      <c r="B1785" s="40">
        <v>11.3</v>
      </c>
      <c r="D1785" s="2"/>
      <c r="E1785" s="31"/>
      <c r="G1785" s="43"/>
      <c r="H1785" s="2"/>
    </row>
    <row r="1786" spans="1:8">
      <c r="A1786" s="39">
        <v>4.33743993855693</v>
      </c>
      <c r="B1786" s="40">
        <v>14.7</v>
      </c>
      <c r="D1786" s="2"/>
      <c r="E1786" s="31"/>
      <c r="G1786" s="43"/>
      <c r="H1786" s="2"/>
    </row>
    <row r="1787" spans="1:8">
      <c r="A1787" s="39">
        <v>4.33517864449428</v>
      </c>
      <c r="B1787" s="40">
        <v>5</v>
      </c>
      <c r="D1787" s="2"/>
      <c r="E1787" s="31"/>
      <c r="G1787" s="43"/>
      <c r="H1787" s="2"/>
    </row>
    <row r="1788" spans="1:8">
      <c r="A1788" s="39">
        <v>4.33483056586284</v>
      </c>
      <c r="B1788" s="40">
        <v>11.6</v>
      </c>
      <c r="D1788" s="2"/>
      <c r="E1788" s="31"/>
      <c r="G1788" s="43"/>
      <c r="H1788" s="2"/>
    </row>
    <row r="1789" spans="1:8">
      <c r="A1789" s="39">
        <v>4.33483056586284</v>
      </c>
      <c r="B1789" s="40">
        <v>8</v>
      </c>
      <c r="D1789" s="2"/>
      <c r="E1789" s="31"/>
      <c r="G1789" s="43"/>
      <c r="H1789" s="2"/>
    </row>
    <row r="1790" spans="1:8">
      <c r="A1790" s="39">
        <v>4.33483056586284</v>
      </c>
      <c r="B1790" s="40">
        <v>2.9</v>
      </c>
      <c r="D1790" s="2"/>
      <c r="E1790" s="31"/>
      <c r="G1790" s="43"/>
      <c r="H1790" s="2"/>
    </row>
    <row r="1791" spans="1:8">
      <c r="A1791" s="39">
        <v>4.334715050203</v>
      </c>
      <c r="B1791" s="40">
        <v>21</v>
      </c>
      <c r="D1791" s="2"/>
      <c r="E1791" s="31"/>
      <c r="G1791" s="43"/>
      <c r="H1791" s="2"/>
    </row>
    <row r="1792" spans="1:8">
      <c r="A1792" s="39">
        <v>4.334715050203</v>
      </c>
      <c r="B1792" s="40">
        <v>9.9</v>
      </c>
      <c r="D1792" s="2"/>
      <c r="E1792" s="31"/>
      <c r="G1792" s="43"/>
      <c r="H1792" s="2"/>
    </row>
    <row r="1793" spans="1:8">
      <c r="A1793" s="39">
        <v>4.33403259751265</v>
      </c>
      <c r="B1793" s="40">
        <v>9.8</v>
      </c>
      <c r="D1793" s="2"/>
      <c r="E1793" s="31"/>
      <c r="G1793" s="43"/>
      <c r="H1793" s="2"/>
    </row>
    <row r="1794" spans="1:8">
      <c r="A1794" s="39">
        <v>4.33336844720511</v>
      </c>
      <c r="B1794" s="40">
        <v>7.9</v>
      </c>
      <c r="D1794" s="2"/>
      <c r="E1794" s="31"/>
      <c r="G1794" s="43"/>
      <c r="H1794" s="2"/>
    </row>
    <row r="1795" spans="1:8">
      <c r="A1795" s="39">
        <v>4.33308789038553</v>
      </c>
      <c r="B1795" s="40">
        <v>8</v>
      </c>
      <c r="D1795" s="2"/>
      <c r="E1795" s="31"/>
      <c r="G1795" s="43"/>
      <c r="H1795" s="2"/>
    </row>
    <row r="1796" spans="1:8">
      <c r="A1796" s="39">
        <v>4.33237735105476</v>
      </c>
      <c r="B1796" s="40">
        <v>6.96</v>
      </c>
      <c r="D1796" s="2"/>
      <c r="E1796" s="31"/>
      <c r="G1796" s="43"/>
      <c r="H1796" s="2"/>
    </row>
    <row r="1797" spans="1:8">
      <c r="A1797" s="39">
        <v>4.33155961278541</v>
      </c>
      <c r="B1797" s="40">
        <v>6.2</v>
      </c>
      <c r="D1797" s="2"/>
      <c r="E1797" s="31"/>
      <c r="G1797" s="43"/>
      <c r="H1797" s="2"/>
    </row>
    <row r="1798" spans="1:8">
      <c r="A1798" s="39">
        <v>4.33074187451605</v>
      </c>
      <c r="B1798" s="40">
        <v>4.2</v>
      </c>
      <c r="D1798" s="2"/>
      <c r="E1798" s="31"/>
      <c r="G1798" s="43"/>
      <c r="H1798" s="2"/>
    </row>
    <row r="1799" spans="1:8">
      <c r="A1799" s="39">
        <v>4.33000193971039</v>
      </c>
      <c r="B1799" s="40">
        <v>4.5</v>
      </c>
      <c r="D1799" s="2"/>
      <c r="E1799" s="31"/>
      <c r="G1799" s="43"/>
      <c r="H1799" s="2"/>
    </row>
    <row r="1800" spans="1:8">
      <c r="A1800" s="39">
        <v>4.32918495336439</v>
      </c>
      <c r="B1800" s="40">
        <v>2</v>
      </c>
      <c r="D1800" s="2"/>
      <c r="E1800" s="31"/>
      <c r="G1800" s="43"/>
      <c r="H1800" s="2"/>
    </row>
    <row r="1801" spans="1:8">
      <c r="A1801" s="39">
        <v>4.3282102195479</v>
      </c>
      <c r="B1801" s="40">
        <v>9.1</v>
      </c>
      <c r="D1801" s="2"/>
      <c r="E1801" s="31"/>
      <c r="G1801" s="43"/>
      <c r="H1801" s="2"/>
    </row>
    <row r="1802" spans="1:8">
      <c r="A1802" s="39">
        <v>4.3282102195479</v>
      </c>
      <c r="B1802" s="40">
        <v>12</v>
      </c>
      <c r="D1802" s="2"/>
      <c r="E1802" s="31"/>
      <c r="G1802" s="43"/>
      <c r="H1802" s="2"/>
    </row>
    <row r="1803" spans="1:8">
      <c r="A1803" s="39">
        <v>4.3282102195479</v>
      </c>
      <c r="B1803" s="40">
        <v>13.2</v>
      </c>
      <c r="D1803" s="2"/>
      <c r="E1803" s="31"/>
      <c r="G1803" s="43"/>
      <c r="H1803" s="2"/>
    </row>
    <row r="1804" spans="1:8">
      <c r="A1804" s="39">
        <v>4.32747092143862</v>
      </c>
      <c r="B1804" s="40">
        <v>7.5</v>
      </c>
      <c r="D1804" s="2"/>
      <c r="E1804" s="31"/>
      <c r="G1804" s="43"/>
      <c r="H1804" s="2"/>
    </row>
    <row r="1805" spans="1:8">
      <c r="A1805" s="39">
        <v>4.32741283169765</v>
      </c>
      <c r="B1805" s="40">
        <v>5.3</v>
      </c>
      <c r="D1805" s="2"/>
      <c r="E1805" s="31"/>
      <c r="G1805" s="43"/>
      <c r="H1805" s="2"/>
    </row>
    <row r="1806" spans="1:8">
      <c r="A1806" s="39">
        <v>4.32665318316926</v>
      </c>
      <c r="B1806" s="40">
        <v>7</v>
      </c>
      <c r="D1806" s="2"/>
      <c r="E1806" s="31"/>
      <c r="G1806" s="43"/>
      <c r="H1806" s="2"/>
    </row>
    <row r="1807" spans="1:8">
      <c r="A1807" s="39">
        <v>4.3259553022286</v>
      </c>
      <c r="B1807" s="40">
        <v>13</v>
      </c>
      <c r="D1807" s="2"/>
      <c r="E1807" s="31"/>
      <c r="G1807" s="43"/>
      <c r="H1807" s="2"/>
    </row>
    <row r="1808" spans="1:8">
      <c r="A1808" s="39">
        <v>4.32501770663055</v>
      </c>
      <c r="B1808" s="40">
        <v>9.2</v>
      </c>
      <c r="D1808" s="2"/>
      <c r="E1808" s="31"/>
      <c r="G1808" s="43"/>
      <c r="H1808" s="2"/>
    </row>
    <row r="1809" spans="1:8">
      <c r="A1809" s="39">
        <v>4.32461552771884</v>
      </c>
      <c r="B1809" s="40">
        <v>8</v>
      </c>
      <c r="D1809" s="2"/>
      <c r="E1809" s="31"/>
      <c r="G1809" s="43"/>
      <c r="H1809" s="2"/>
    </row>
    <row r="1810" spans="1:8">
      <c r="A1810" s="39">
        <v>4.32461552771884</v>
      </c>
      <c r="B1810" s="40">
        <v>10.85</v>
      </c>
      <c r="D1810" s="2"/>
      <c r="E1810" s="31"/>
      <c r="G1810" s="43"/>
      <c r="H1810" s="2"/>
    </row>
    <row r="1811" spans="1:8">
      <c r="A1811" s="39">
        <v>4.3243800866015</v>
      </c>
      <c r="B1811" s="40">
        <v>2.5</v>
      </c>
      <c r="D1811" s="2"/>
      <c r="E1811" s="31"/>
      <c r="G1811" s="43"/>
      <c r="H1811" s="2"/>
    </row>
    <row r="1812" spans="1:8">
      <c r="A1812" s="39">
        <v>4.3243800866015</v>
      </c>
      <c r="B1812" s="40">
        <v>7.8</v>
      </c>
      <c r="D1812" s="2"/>
      <c r="E1812" s="31"/>
      <c r="G1812" s="43"/>
      <c r="H1812" s="2"/>
    </row>
    <row r="1813" spans="1:8">
      <c r="A1813" s="39">
        <v>4.32338223009183</v>
      </c>
      <c r="B1813" s="40">
        <v>1.9</v>
      </c>
      <c r="D1813" s="2"/>
      <c r="E1813" s="31"/>
      <c r="G1813" s="43"/>
      <c r="H1813" s="2"/>
    </row>
    <row r="1814" spans="1:8">
      <c r="A1814" s="39">
        <v>4.32311563882874</v>
      </c>
      <c r="B1814" s="40">
        <v>7</v>
      </c>
      <c r="D1814" s="2"/>
      <c r="E1814" s="31"/>
      <c r="G1814" s="43"/>
      <c r="H1814" s="2"/>
    </row>
    <row r="1815" spans="1:8">
      <c r="A1815" s="39">
        <v>4.32263411984178</v>
      </c>
      <c r="B1815" s="40">
        <v>11.4</v>
      </c>
      <c r="D1815" s="2"/>
      <c r="E1815" s="31"/>
      <c r="G1815" s="43"/>
      <c r="H1815" s="2"/>
    </row>
    <row r="1816" spans="1:8">
      <c r="A1816" s="39">
        <v>4.32256449182248</v>
      </c>
      <c r="B1816" s="40">
        <v>4.5</v>
      </c>
      <c r="D1816" s="2"/>
      <c r="E1816" s="31"/>
      <c r="G1816" s="43"/>
      <c r="H1816" s="2"/>
    </row>
    <row r="1817" spans="1:8">
      <c r="A1817" s="39">
        <v>4.32093224709196</v>
      </c>
      <c r="B1817" s="40">
        <v>5.1</v>
      </c>
      <c r="D1817" s="2"/>
      <c r="E1817" s="31"/>
      <c r="G1817" s="43"/>
      <c r="H1817" s="2"/>
    </row>
    <row r="1818" spans="1:8">
      <c r="A1818" s="39">
        <v>4.31957521983861</v>
      </c>
      <c r="B1818" s="40">
        <v>3.5</v>
      </c>
      <c r="D1818" s="2"/>
      <c r="E1818" s="31"/>
      <c r="G1818" s="43"/>
      <c r="H1818" s="2"/>
    </row>
    <row r="1819" spans="1:8">
      <c r="A1819" s="39">
        <v>4.31929353874505</v>
      </c>
      <c r="B1819" s="40">
        <v>3.8</v>
      </c>
      <c r="D1819" s="2"/>
      <c r="E1819" s="31"/>
      <c r="G1819" s="43"/>
      <c r="H1819" s="2"/>
    </row>
    <row r="1820" spans="1:8">
      <c r="A1820" s="39">
        <v>4.31929353874505</v>
      </c>
      <c r="B1820" s="40">
        <v>13.4</v>
      </c>
      <c r="D1820" s="2"/>
      <c r="E1820" s="31"/>
      <c r="G1820" s="43"/>
      <c r="H1820" s="2"/>
    </row>
    <row r="1821" spans="1:8">
      <c r="A1821" s="39">
        <v>4.31847580047569</v>
      </c>
      <c r="B1821" s="40">
        <v>3.6</v>
      </c>
      <c r="D1821" s="2"/>
      <c r="E1821" s="31"/>
      <c r="G1821" s="43"/>
      <c r="H1821" s="2"/>
    </row>
    <row r="1822" spans="1:8">
      <c r="A1822" s="39">
        <v>4.31830461968147</v>
      </c>
      <c r="B1822" s="40">
        <v>1</v>
      </c>
      <c r="D1822" s="2"/>
      <c r="E1822" s="31"/>
      <c r="G1822" s="43"/>
      <c r="H1822" s="2"/>
    </row>
    <row r="1823" spans="1:8">
      <c r="A1823" s="39">
        <v>4.31774383579762</v>
      </c>
      <c r="B1823" s="40">
        <v>6.5</v>
      </c>
      <c r="D1823" s="2"/>
      <c r="E1823" s="31"/>
      <c r="G1823" s="43"/>
      <c r="H1823" s="2"/>
    </row>
    <row r="1824" spans="1:8">
      <c r="A1824" s="39">
        <v>4.31602258566762</v>
      </c>
      <c r="B1824" s="40">
        <v>9.9</v>
      </c>
      <c r="D1824" s="2"/>
      <c r="E1824" s="31"/>
      <c r="G1824" s="43"/>
      <c r="H1824" s="2"/>
    </row>
    <row r="1825" spans="1:8">
      <c r="A1825" s="39">
        <v>4.3158376663728</v>
      </c>
      <c r="B1825" s="40">
        <v>11</v>
      </c>
      <c r="D1825" s="2"/>
      <c r="E1825" s="31"/>
      <c r="G1825" s="43"/>
      <c r="H1825" s="2"/>
    </row>
    <row r="1826" spans="1:8">
      <c r="A1826" s="39">
        <v>4.31542831224188</v>
      </c>
      <c r="B1826" s="40">
        <v>8.8</v>
      </c>
      <c r="D1826" s="2"/>
      <c r="E1826" s="31"/>
      <c r="G1826" s="43"/>
      <c r="H1826" s="2"/>
    </row>
    <row r="1827" spans="1:8">
      <c r="A1827" s="39">
        <v>4.31452888991752</v>
      </c>
      <c r="B1827" s="40">
        <v>0</v>
      </c>
      <c r="D1827" s="2"/>
      <c r="E1827" s="31"/>
      <c r="G1827" s="43"/>
      <c r="H1827" s="2"/>
    </row>
    <row r="1828" spans="1:8">
      <c r="A1828" s="39">
        <v>4.3143871091289</v>
      </c>
      <c r="B1828" s="40">
        <v>2.4</v>
      </c>
      <c r="D1828" s="2"/>
      <c r="E1828" s="31"/>
      <c r="G1828" s="43"/>
      <c r="H1828" s="2"/>
    </row>
    <row r="1829" spans="1:8">
      <c r="A1829" s="39">
        <v>4.31438207188161</v>
      </c>
      <c r="B1829" s="40">
        <v>11.2</v>
      </c>
      <c r="D1829" s="2"/>
      <c r="E1829" s="31"/>
      <c r="G1829" s="43"/>
      <c r="H1829" s="2"/>
    </row>
    <row r="1830" spans="1:8">
      <c r="A1830" s="39">
        <v>4.31427110340678</v>
      </c>
      <c r="B1830" s="40">
        <v>4.5</v>
      </c>
      <c r="D1830" s="2"/>
      <c r="E1830" s="31"/>
      <c r="G1830" s="43"/>
      <c r="H1830" s="2"/>
    </row>
    <row r="1831" spans="1:8">
      <c r="A1831" s="39">
        <v>4.31365427463601</v>
      </c>
      <c r="B1831" s="40">
        <v>8</v>
      </c>
      <c r="D1831" s="2"/>
      <c r="E1831" s="31"/>
      <c r="G1831" s="43"/>
      <c r="H1831" s="2"/>
    </row>
    <row r="1832" spans="1:8">
      <c r="A1832" s="39">
        <v>4.31365427463601</v>
      </c>
      <c r="B1832" s="40">
        <v>13</v>
      </c>
      <c r="D1832" s="2"/>
      <c r="E1832" s="31"/>
      <c r="G1832" s="43"/>
      <c r="H1832" s="2"/>
    </row>
    <row r="1833" spans="1:8">
      <c r="A1833" s="39">
        <v>4.31292647739042</v>
      </c>
      <c r="B1833" s="40">
        <v>2</v>
      </c>
      <c r="D1833" s="2"/>
      <c r="E1833" s="31"/>
      <c r="G1833" s="43"/>
      <c r="H1833" s="2"/>
    </row>
    <row r="1834" spans="1:8">
      <c r="A1834" s="39">
        <v>4.31292647739042</v>
      </c>
      <c r="B1834" s="40">
        <v>10</v>
      </c>
      <c r="D1834" s="2"/>
      <c r="E1834" s="31"/>
      <c r="G1834" s="43"/>
      <c r="H1834" s="2"/>
    </row>
    <row r="1835" spans="1:8">
      <c r="A1835" s="39">
        <v>4.31284840637056</v>
      </c>
      <c r="B1835" s="40">
        <v>2.6</v>
      </c>
      <c r="D1835" s="2"/>
      <c r="E1835" s="31"/>
      <c r="G1835" s="43"/>
      <c r="H1835" s="2"/>
    </row>
    <row r="1836" spans="1:8">
      <c r="A1836" s="39">
        <v>4.31237217140873</v>
      </c>
      <c r="B1836" s="40">
        <v>24.9</v>
      </c>
      <c r="D1836" s="2"/>
      <c r="E1836" s="31"/>
      <c r="G1836" s="43"/>
      <c r="H1836" s="2"/>
    </row>
    <row r="1837" spans="1:8">
      <c r="A1837" s="39">
        <v>4.31219868014483</v>
      </c>
      <c r="B1837" s="40">
        <v>3</v>
      </c>
      <c r="D1837" s="2"/>
      <c r="E1837" s="31"/>
      <c r="G1837" s="43"/>
      <c r="H1837" s="2"/>
    </row>
    <row r="1838" spans="1:8">
      <c r="A1838" s="39">
        <v>4.31188743301798</v>
      </c>
      <c r="B1838" s="40">
        <v>1</v>
      </c>
      <c r="D1838" s="2"/>
      <c r="E1838" s="31"/>
      <c r="G1838" s="43"/>
      <c r="H1838" s="2"/>
    </row>
    <row r="1839" spans="1:8">
      <c r="A1839" s="39">
        <v>4.31175732494139</v>
      </c>
      <c r="B1839" s="40">
        <v>5</v>
      </c>
      <c r="D1839" s="2"/>
      <c r="E1839" s="31"/>
      <c r="G1839" s="43"/>
      <c r="H1839" s="2"/>
    </row>
    <row r="1840" spans="1:8">
      <c r="A1840" s="39">
        <v>4.31074308565364</v>
      </c>
      <c r="B1840" s="40">
        <v>7.4</v>
      </c>
      <c r="D1840" s="2"/>
      <c r="E1840" s="31"/>
      <c r="G1840" s="43"/>
      <c r="H1840" s="2"/>
    </row>
    <row r="1841" spans="1:8">
      <c r="A1841" s="39">
        <v>4.31029841778212</v>
      </c>
      <c r="B1841" s="40">
        <v>6.5</v>
      </c>
      <c r="D1841" s="2"/>
      <c r="E1841" s="31"/>
      <c r="G1841" s="43"/>
      <c r="H1841" s="2"/>
    </row>
    <row r="1842" spans="1:8">
      <c r="A1842" s="39">
        <v>4.31001528840804</v>
      </c>
      <c r="B1842" s="40">
        <v>10</v>
      </c>
      <c r="D1842" s="2"/>
      <c r="E1842" s="31"/>
      <c r="G1842" s="43"/>
      <c r="H1842" s="2"/>
    </row>
    <row r="1843" spans="1:8">
      <c r="A1843" s="39">
        <v>4.30980289474206</v>
      </c>
      <c r="B1843" s="40">
        <v>14.7</v>
      </c>
      <c r="D1843" s="2"/>
      <c r="E1843" s="31"/>
      <c r="G1843" s="43"/>
      <c r="H1843" s="2"/>
    </row>
    <row r="1844" spans="1:8">
      <c r="A1844" s="39">
        <v>4.30928749116245</v>
      </c>
      <c r="B1844" s="40">
        <v>2</v>
      </c>
      <c r="D1844" s="2"/>
      <c r="E1844" s="31"/>
      <c r="G1844" s="43"/>
      <c r="H1844" s="2"/>
    </row>
    <row r="1845" spans="1:8">
      <c r="A1845" s="39">
        <v>4.30804353960767</v>
      </c>
      <c r="B1845" s="40">
        <v>8.5</v>
      </c>
      <c r="D1845" s="2"/>
      <c r="E1845" s="31"/>
      <c r="G1845" s="43"/>
      <c r="H1845" s="2"/>
    </row>
    <row r="1846" spans="1:8">
      <c r="A1846" s="39">
        <v>4.30784520297405</v>
      </c>
      <c r="B1846" s="40">
        <v>5.7</v>
      </c>
      <c r="D1846" s="2"/>
      <c r="E1846" s="31"/>
      <c r="G1846" s="43"/>
      <c r="H1846" s="2"/>
    </row>
    <row r="1847" spans="1:8">
      <c r="A1847" s="39">
        <v>4.30702746470469</v>
      </c>
      <c r="B1847" s="40">
        <v>8.6</v>
      </c>
      <c r="D1847" s="2"/>
      <c r="E1847" s="31"/>
      <c r="G1847" s="43"/>
      <c r="H1847" s="2"/>
    </row>
    <row r="1848" spans="1:8">
      <c r="A1848" s="39">
        <v>4.30643408899836</v>
      </c>
      <c r="B1848" s="40">
        <v>11.9</v>
      </c>
      <c r="D1848" s="2"/>
      <c r="E1848" s="31"/>
      <c r="G1848" s="43"/>
      <c r="H1848" s="2"/>
    </row>
    <row r="1849" spans="1:8">
      <c r="A1849" s="39">
        <v>4.30637630218007</v>
      </c>
      <c r="B1849" s="40">
        <v>10.5</v>
      </c>
      <c r="D1849" s="2"/>
      <c r="E1849" s="31"/>
      <c r="G1849" s="43"/>
      <c r="H1849" s="2"/>
    </row>
    <row r="1850" spans="1:8">
      <c r="A1850" s="39">
        <v>4.30593750739465</v>
      </c>
      <c r="B1850" s="40">
        <v>9.5</v>
      </c>
      <c r="D1850" s="2"/>
      <c r="E1850" s="31"/>
      <c r="G1850" s="43"/>
      <c r="H1850" s="2"/>
    </row>
    <row r="1851" spans="1:8">
      <c r="A1851" s="39">
        <v>4.305534666674</v>
      </c>
      <c r="B1851" s="40">
        <v>0</v>
      </c>
      <c r="D1851" s="2"/>
      <c r="E1851" s="31"/>
      <c r="G1851" s="43"/>
      <c r="H1851" s="2"/>
    </row>
    <row r="1852" spans="1:8">
      <c r="A1852" s="39">
        <v>4.305534666674</v>
      </c>
      <c r="B1852" s="40">
        <v>15</v>
      </c>
      <c r="D1852" s="2"/>
      <c r="E1852" s="31"/>
      <c r="G1852" s="43"/>
      <c r="H1852" s="2"/>
    </row>
    <row r="1853" spans="1:8">
      <c r="A1853" s="39">
        <v>4.30457424989662</v>
      </c>
      <c r="B1853" s="40">
        <v>3</v>
      </c>
      <c r="D1853" s="2"/>
      <c r="E1853" s="31"/>
      <c r="G1853" s="43"/>
      <c r="H1853" s="2"/>
    </row>
    <row r="1854" spans="1:8">
      <c r="A1854" s="39">
        <v>4.30448255300797</v>
      </c>
      <c r="B1854" s="40">
        <v>6.5</v>
      </c>
      <c r="D1854" s="2"/>
      <c r="E1854" s="31"/>
      <c r="G1854" s="43"/>
      <c r="H1854" s="2"/>
    </row>
    <row r="1855" spans="1:8">
      <c r="A1855" s="39">
        <v>4.30374318125157</v>
      </c>
      <c r="B1855" s="40">
        <v>9.9</v>
      </c>
      <c r="D1855" s="2"/>
      <c r="E1855" s="31"/>
      <c r="G1855" s="43"/>
      <c r="H1855" s="2"/>
    </row>
    <row r="1856" spans="1:8">
      <c r="A1856" s="39">
        <v>4.3034651131977</v>
      </c>
      <c r="B1856" s="40">
        <v>7</v>
      </c>
      <c r="D1856" s="2"/>
      <c r="E1856" s="31"/>
      <c r="G1856" s="43"/>
      <c r="H1856" s="2"/>
    </row>
    <row r="1857" spans="1:8">
      <c r="A1857" s="39">
        <v>4.30323867284478</v>
      </c>
      <c r="B1857" s="40">
        <v>9</v>
      </c>
      <c r="D1857" s="2"/>
      <c r="E1857" s="31"/>
      <c r="G1857" s="43"/>
      <c r="H1857" s="2"/>
    </row>
    <row r="1858" spans="1:8">
      <c r="A1858" s="39">
        <v>4.3029387733579</v>
      </c>
      <c r="B1858" s="40">
        <v>0</v>
      </c>
      <c r="D1858" s="2"/>
      <c r="E1858" s="31"/>
      <c r="G1858" s="43"/>
      <c r="H1858" s="2"/>
    </row>
    <row r="1859" spans="1:8">
      <c r="A1859" s="39">
        <v>4.3029387733579</v>
      </c>
      <c r="B1859" s="40">
        <v>9.05</v>
      </c>
      <c r="D1859" s="2"/>
      <c r="E1859" s="31"/>
      <c r="G1859" s="43"/>
      <c r="H1859" s="2"/>
    </row>
    <row r="1860" spans="1:8">
      <c r="A1860" s="39">
        <v>4.30035575278705</v>
      </c>
      <c r="B1860" s="40">
        <v>5.3</v>
      </c>
      <c r="D1860" s="2"/>
      <c r="E1860" s="31"/>
      <c r="G1860" s="43"/>
      <c r="H1860" s="2"/>
    </row>
    <row r="1861" spans="1:8">
      <c r="A1861" s="39">
        <v>4.30035575278705</v>
      </c>
      <c r="B1861" s="40">
        <v>6.5</v>
      </c>
      <c r="D1861" s="2"/>
      <c r="E1861" s="31"/>
      <c r="G1861" s="43"/>
      <c r="H1861" s="2"/>
    </row>
    <row r="1862" spans="1:8">
      <c r="A1862" s="39">
        <v>4.29982612696973</v>
      </c>
      <c r="B1862" s="40">
        <v>6</v>
      </c>
      <c r="D1862" s="2"/>
      <c r="E1862" s="31"/>
      <c r="G1862" s="43"/>
      <c r="H1862" s="2"/>
    </row>
    <row r="1863" spans="1:8">
      <c r="A1863" s="39">
        <v>4.29966782028047</v>
      </c>
      <c r="B1863" s="40">
        <v>10</v>
      </c>
      <c r="D1863" s="2"/>
      <c r="E1863" s="31"/>
      <c r="G1863" s="43"/>
      <c r="H1863" s="2"/>
    </row>
    <row r="1864" spans="1:8">
      <c r="A1864" s="39">
        <v>4.29837053247854</v>
      </c>
      <c r="B1864" s="40">
        <v>9</v>
      </c>
      <c r="D1864" s="2"/>
      <c r="E1864" s="31"/>
      <c r="G1864" s="43"/>
      <c r="H1864" s="2"/>
    </row>
    <row r="1865" spans="1:8">
      <c r="A1865" s="39">
        <v>4.29804773303833</v>
      </c>
      <c r="B1865" s="40">
        <v>11.8</v>
      </c>
      <c r="D1865" s="2"/>
      <c r="E1865" s="31"/>
      <c r="G1865" s="43"/>
      <c r="H1865" s="2"/>
    </row>
    <row r="1866" spans="1:8">
      <c r="A1866" s="39">
        <v>4.29747283272931</v>
      </c>
      <c r="B1866" s="40">
        <v>4.2</v>
      </c>
      <c r="D1866" s="2"/>
      <c r="E1866" s="31"/>
      <c r="G1866" s="43"/>
      <c r="H1866" s="2"/>
    </row>
    <row r="1867" spans="1:8">
      <c r="A1867" s="39">
        <v>4.29654044343048</v>
      </c>
      <c r="B1867" s="40">
        <v>0</v>
      </c>
      <c r="D1867" s="2"/>
      <c r="E1867" s="31"/>
      <c r="G1867" s="43"/>
      <c r="H1867" s="2"/>
    </row>
    <row r="1868" spans="1:8">
      <c r="A1868" s="39">
        <v>4.29654044343048</v>
      </c>
      <c r="B1868" s="40">
        <v>10</v>
      </c>
      <c r="D1868" s="2"/>
      <c r="E1868" s="31"/>
      <c r="G1868" s="43"/>
      <c r="H1868" s="2"/>
    </row>
    <row r="1869" spans="1:8">
      <c r="A1869" s="39">
        <v>4.29633686476318</v>
      </c>
      <c r="B1869" s="40">
        <v>16.6</v>
      </c>
      <c r="D1869" s="2"/>
      <c r="E1869" s="31"/>
      <c r="G1869" s="43"/>
      <c r="H1869" s="2"/>
    </row>
    <row r="1870" spans="1:8">
      <c r="A1870" s="39">
        <v>4.29555088602416</v>
      </c>
      <c r="B1870" s="40">
        <v>7.3</v>
      </c>
      <c r="D1870" s="2"/>
      <c r="E1870" s="31"/>
      <c r="G1870" s="43"/>
      <c r="H1870" s="2"/>
    </row>
    <row r="1871" spans="1:8">
      <c r="A1871" s="39">
        <v>4.29476139066433</v>
      </c>
      <c r="B1871" s="40">
        <v>6</v>
      </c>
      <c r="D1871" s="2"/>
      <c r="E1871" s="31"/>
      <c r="G1871" s="43"/>
      <c r="H1871" s="2"/>
    </row>
    <row r="1872" spans="1:8">
      <c r="A1872" s="39">
        <v>4.29476139066433</v>
      </c>
      <c r="B1872" s="40">
        <v>10.75</v>
      </c>
      <c r="D1872" s="2"/>
      <c r="E1872" s="31"/>
      <c r="G1872" s="43"/>
      <c r="H1872" s="2"/>
    </row>
    <row r="1873" spans="1:8">
      <c r="A1873" s="39">
        <v>4.29474159878178</v>
      </c>
      <c r="B1873" s="40">
        <v>5</v>
      </c>
      <c r="D1873" s="2"/>
      <c r="E1873" s="31"/>
      <c r="G1873" s="43"/>
      <c r="H1873" s="2"/>
    </row>
    <row r="1874" spans="1:8">
      <c r="A1874" s="39">
        <v>4.29474159878178</v>
      </c>
      <c r="B1874" s="40">
        <v>2.025</v>
      </c>
      <c r="D1874" s="2"/>
      <c r="E1874" s="31"/>
      <c r="G1874" s="43"/>
      <c r="H1874" s="2"/>
    </row>
    <row r="1875" spans="1:8">
      <c r="A1875" s="39">
        <v>4.2936436587674</v>
      </c>
      <c r="B1875" s="40">
        <v>7.5</v>
      </c>
      <c r="D1875" s="2"/>
      <c r="E1875" s="31"/>
      <c r="G1875" s="43"/>
      <c r="H1875" s="2"/>
    </row>
    <row r="1876" spans="1:8">
      <c r="A1876" s="39">
        <v>4.29204333180872</v>
      </c>
      <c r="B1876" s="40">
        <v>15</v>
      </c>
      <c r="D1876" s="2"/>
      <c r="E1876" s="31"/>
      <c r="G1876" s="43"/>
      <c r="H1876" s="2"/>
    </row>
    <row r="1877" spans="1:8">
      <c r="A1877" s="39">
        <v>4.29182035726819</v>
      </c>
      <c r="B1877" s="40">
        <v>6</v>
      </c>
      <c r="D1877" s="2"/>
      <c r="E1877" s="31"/>
      <c r="G1877" s="43"/>
      <c r="H1877" s="2"/>
    </row>
    <row r="1878" spans="1:8">
      <c r="A1878" s="39">
        <v>4.2913879635278</v>
      </c>
      <c r="B1878" s="40">
        <v>15</v>
      </c>
      <c r="D1878" s="2"/>
      <c r="E1878" s="31"/>
      <c r="G1878" s="43"/>
      <c r="H1878" s="2"/>
    </row>
    <row r="1879" spans="1:8">
      <c r="A1879" s="39">
        <v>4.29027715127268</v>
      </c>
      <c r="B1879" s="40">
        <v>6</v>
      </c>
      <c r="D1879" s="2"/>
      <c r="E1879" s="31"/>
      <c r="G1879" s="43"/>
      <c r="H1879" s="2"/>
    </row>
    <row r="1880" spans="1:8">
      <c r="A1880" s="39">
        <v>4.28985496104819</v>
      </c>
      <c r="B1880" s="40">
        <v>6.1</v>
      </c>
      <c r="D1880" s="2"/>
      <c r="E1880" s="31"/>
      <c r="G1880" s="43"/>
      <c r="H1880" s="2"/>
    </row>
    <row r="1881" spans="1:8">
      <c r="A1881" s="39">
        <v>4.28934506483566</v>
      </c>
      <c r="B1881" s="40">
        <v>9.2</v>
      </c>
      <c r="D1881" s="2"/>
      <c r="E1881" s="31"/>
      <c r="G1881" s="43"/>
      <c r="H1881" s="2"/>
    </row>
    <row r="1882" spans="1:8">
      <c r="A1882" s="39">
        <v>4.28934506483566</v>
      </c>
      <c r="B1882" s="40">
        <v>10.4</v>
      </c>
      <c r="D1882" s="2"/>
      <c r="E1882" s="31"/>
      <c r="G1882" s="43"/>
      <c r="H1882" s="2"/>
    </row>
    <row r="1883" spans="1:8">
      <c r="A1883" s="39">
        <v>4.28934506483566</v>
      </c>
      <c r="B1883" s="40">
        <v>13.8</v>
      </c>
      <c r="D1883" s="2"/>
      <c r="E1883" s="31"/>
      <c r="G1883" s="43"/>
      <c r="H1883" s="2"/>
    </row>
    <row r="1884" spans="1:8">
      <c r="A1884" s="39">
        <v>4.28890916828582</v>
      </c>
      <c r="B1884" s="40">
        <v>7.6</v>
      </c>
      <c r="D1884" s="2"/>
      <c r="E1884" s="31"/>
      <c r="G1884" s="43"/>
      <c r="H1884" s="2"/>
    </row>
    <row r="1885" spans="1:8">
      <c r="A1885" s="39">
        <v>4.2881366770474</v>
      </c>
      <c r="B1885" s="40">
        <v>6.1</v>
      </c>
      <c r="D1885" s="2"/>
      <c r="E1885" s="31"/>
      <c r="G1885" s="43"/>
      <c r="H1885" s="2"/>
    </row>
    <row r="1886" spans="1:8">
      <c r="A1886" s="39">
        <v>4.28795276663069</v>
      </c>
      <c r="B1886" s="40">
        <v>12.7</v>
      </c>
      <c r="D1886" s="2"/>
      <c r="E1886" s="31"/>
      <c r="G1886" s="43"/>
      <c r="H1886" s="2"/>
    </row>
    <row r="1887" spans="1:8">
      <c r="A1887" s="39">
        <v>4.28786309920353</v>
      </c>
      <c r="B1887" s="40">
        <v>3</v>
      </c>
      <c r="D1887" s="2"/>
      <c r="E1887" s="31"/>
      <c r="G1887" s="43"/>
      <c r="H1887" s="2"/>
    </row>
    <row r="1888" spans="1:8">
      <c r="A1888" s="39">
        <v>4.28745357379463</v>
      </c>
      <c r="B1888" s="40">
        <v>10</v>
      </c>
      <c r="D1888" s="2"/>
      <c r="E1888" s="31"/>
      <c r="G1888" s="43"/>
      <c r="H1888" s="2"/>
    </row>
    <row r="1889" spans="1:8">
      <c r="A1889" s="39">
        <v>4.28654526531225</v>
      </c>
      <c r="B1889" s="40">
        <v>16.5</v>
      </c>
      <c r="D1889" s="2"/>
      <c r="E1889" s="31"/>
      <c r="G1889" s="43"/>
      <c r="H1889" s="2"/>
    </row>
    <row r="1890" spans="1:8">
      <c r="A1890" s="39">
        <v>4.28594115249838</v>
      </c>
      <c r="B1890" s="40">
        <v>8</v>
      </c>
      <c r="D1890" s="2"/>
      <c r="E1890" s="31"/>
      <c r="G1890" s="43"/>
      <c r="H1890" s="2"/>
    </row>
    <row r="1891" spans="1:8">
      <c r="A1891" s="39">
        <v>4.28574737553825</v>
      </c>
      <c r="B1891" s="40">
        <v>5</v>
      </c>
      <c r="D1891" s="2"/>
      <c r="E1891" s="31"/>
      <c r="G1891" s="43"/>
      <c r="H1891" s="2"/>
    </row>
    <row r="1892" spans="1:8">
      <c r="A1892" s="39">
        <v>4.28556814598106</v>
      </c>
      <c r="B1892" s="40">
        <v>11</v>
      </c>
      <c r="D1892" s="2"/>
      <c r="E1892" s="31"/>
      <c r="G1892" s="43"/>
      <c r="H1892" s="2"/>
    </row>
    <row r="1893" spans="1:8">
      <c r="A1893" s="39">
        <v>4.28484066878772</v>
      </c>
      <c r="B1893" s="40">
        <v>13</v>
      </c>
      <c r="D1893" s="2"/>
      <c r="E1893" s="31"/>
      <c r="G1893" s="43"/>
      <c r="H1893" s="2"/>
    </row>
    <row r="1894" spans="1:8">
      <c r="A1894" s="39">
        <v>4.28454238481225</v>
      </c>
      <c r="B1894" s="40">
        <v>11.6</v>
      </c>
      <c r="D1894" s="2"/>
      <c r="E1894" s="31"/>
      <c r="G1894" s="43"/>
      <c r="H1894" s="2"/>
    </row>
    <row r="1895" spans="1:8">
      <c r="A1895" s="39">
        <v>4.28411319159437</v>
      </c>
      <c r="B1895" s="40">
        <v>20.5</v>
      </c>
      <c r="D1895" s="2"/>
      <c r="E1895" s="31"/>
      <c r="G1895" s="43"/>
      <c r="H1895" s="2"/>
    </row>
    <row r="1896" spans="1:8">
      <c r="A1896" s="39">
        <v>4.28381458756666</v>
      </c>
      <c r="B1896" s="40">
        <v>2</v>
      </c>
      <c r="D1896" s="2"/>
      <c r="E1896" s="31"/>
      <c r="G1896" s="43"/>
      <c r="H1896" s="2"/>
    </row>
    <row r="1897" spans="1:8">
      <c r="A1897" s="39">
        <v>4.28331305489333</v>
      </c>
      <c r="B1897" s="40">
        <v>7.7</v>
      </c>
      <c r="D1897" s="2"/>
      <c r="E1897" s="31"/>
      <c r="G1897" s="43"/>
      <c r="H1897" s="2"/>
    </row>
    <row r="1898" spans="1:8">
      <c r="A1898" s="39">
        <v>4.28113628573548</v>
      </c>
      <c r="B1898" s="40">
        <v>6.5</v>
      </c>
      <c r="D1898" s="2"/>
      <c r="E1898" s="31"/>
      <c r="G1898" s="43"/>
      <c r="H1898" s="2"/>
    </row>
    <row r="1899" spans="1:8">
      <c r="A1899" s="39">
        <v>4.28113628573548</v>
      </c>
      <c r="B1899" s="40">
        <v>8.5</v>
      </c>
      <c r="D1899" s="2"/>
      <c r="E1899" s="31"/>
      <c r="G1899" s="43"/>
      <c r="H1899" s="2"/>
    </row>
    <row r="1900" spans="1:8">
      <c r="A1900" s="39">
        <v>4.28090339858428</v>
      </c>
      <c r="B1900" s="40">
        <v>11.8</v>
      </c>
      <c r="D1900" s="2"/>
      <c r="E1900" s="31"/>
      <c r="G1900" s="43"/>
      <c r="H1900" s="2"/>
    </row>
    <row r="1901" spans="1:8">
      <c r="A1901" s="39">
        <v>4.28014218507533</v>
      </c>
      <c r="B1901" s="40">
        <v>8.9</v>
      </c>
      <c r="D1901" s="2"/>
      <c r="E1901" s="31"/>
      <c r="G1901" s="43"/>
      <c r="H1901" s="2"/>
    </row>
    <row r="1902" spans="1:8">
      <c r="A1902" s="39">
        <v>4.27922436354654</v>
      </c>
      <c r="B1902" s="40">
        <v>0</v>
      </c>
      <c r="D1902" s="2"/>
      <c r="E1902" s="31"/>
      <c r="G1902" s="43"/>
      <c r="H1902" s="2"/>
    </row>
    <row r="1903" spans="1:8">
      <c r="A1903" s="39">
        <v>4.27825336567775</v>
      </c>
      <c r="B1903" s="40">
        <v>5.5</v>
      </c>
      <c r="D1903" s="2"/>
      <c r="E1903" s="31"/>
      <c r="G1903" s="43"/>
      <c r="H1903" s="2"/>
    </row>
    <row r="1904" spans="1:8">
      <c r="A1904" s="39">
        <v>4.27799220960191</v>
      </c>
      <c r="B1904" s="40">
        <v>8</v>
      </c>
      <c r="D1904" s="2"/>
      <c r="E1904" s="31"/>
      <c r="G1904" s="43"/>
      <c r="H1904" s="2"/>
    </row>
    <row r="1905" spans="1:8">
      <c r="A1905" s="39">
        <v>4.27768290650364</v>
      </c>
      <c r="B1905" s="40">
        <v>3</v>
      </c>
      <c r="D1905" s="2"/>
      <c r="E1905" s="31"/>
      <c r="G1905" s="43"/>
      <c r="H1905" s="2"/>
    </row>
    <row r="1906" spans="1:8">
      <c r="A1906" s="39">
        <v>4.27765257461908</v>
      </c>
      <c r="B1906" s="40">
        <v>7</v>
      </c>
      <c r="D1906" s="2"/>
      <c r="E1906" s="31"/>
      <c r="G1906" s="43"/>
      <c r="H1906" s="2"/>
    </row>
    <row r="1907" spans="1:8">
      <c r="A1907" s="39">
        <v>4.27633141897259</v>
      </c>
      <c r="B1907" s="40">
        <v>7.7</v>
      </c>
      <c r="D1907" s="2"/>
      <c r="E1907" s="31"/>
      <c r="G1907" s="43"/>
      <c r="H1907" s="2"/>
    </row>
    <row r="1908" spans="1:8">
      <c r="A1908" s="39">
        <v>4.27611094246761</v>
      </c>
      <c r="B1908" s="40">
        <v>14.6</v>
      </c>
      <c r="D1908" s="2"/>
      <c r="E1908" s="31"/>
      <c r="G1908" s="43"/>
      <c r="H1908" s="2"/>
    </row>
    <row r="1909" spans="1:8">
      <c r="A1909" s="39">
        <v>4.27598900542394</v>
      </c>
      <c r="B1909" s="40">
        <v>5</v>
      </c>
      <c r="D1909" s="2"/>
      <c r="E1909" s="31"/>
      <c r="G1909" s="43"/>
      <c r="H1909" s="2"/>
    </row>
    <row r="1910" spans="1:8">
      <c r="A1910" s="39">
        <v>4.27559215239489</v>
      </c>
      <c r="B1910" s="40">
        <v>7.2</v>
      </c>
      <c r="D1910" s="2"/>
      <c r="E1910" s="31"/>
      <c r="G1910" s="43"/>
      <c r="H1910" s="2"/>
    </row>
    <row r="1911" spans="1:8">
      <c r="A1911" s="39">
        <v>4.2743179339304</v>
      </c>
      <c r="B1911" s="40">
        <v>9.6</v>
      </c>
      <c r="D1911" s="2"/>
      <c r="E1911" s="31"/>
      <c r="G1911" s="43"/>
      <c r="H1911" s="2"/>
    </row>
    <row r="1912" spans="1:8">
      <c r="A1912" s="39">
        <v>4.27411791529802</v>
      </c>
      <c r="B1912" s="40">
        <v>9.2</v>
      </c>
      <c r="D1912" s="2"/>
      <c r="E1912" s="31"/>
      <c r="G1912" s="43"/>
      <c r="H1912" s="2"/>
    </row>
    <row r="1913" spans="1:8">
      <c r="A1913" s="39">
        <v>4.27387775344628</v>
      </c>
      <c r="B1913" s="40">
        <v>11.3</v>
      </c>
      <c r="D1913" s="2"/>
      <c r="E1913" s="31"/>
      <c r="G1913" s="43"/>
      <c r="H1913" s="2"/>
    </row>
    <row r="1914" spans="1:8">
      <c r="A1914" s="39">
        <v>4.27362542612834</v>
      </c>
      <c r="B1914" s="40">
        <v>9.5</v>
      </c>
      <c r="D1914" s="2"/>
      <c r="E1914" s="31"/>
      <c r="G1914" s="43"/>
      <c r="H1914" s="2"/>
    </row>
    <row r="1915" spans="1:8">
      <c r="A1915" s="39">
        <v>4.27350019566104</v>
      </c>
      <c r="B1915" s="40">
        <v>4.2</v>
      </c>
      <c r="D1915" s="2"/>
      <c r="E1915" s="31"/>
      <c r="G1915" s="43"/>
      <c r="H1915" s="2"/>
    </row>
    <row r="1916" spans="1:8">
      <c r="A1916" s="39">
        <v>4.27297996589013</v>
      </c>
      <c r="B1916" s="40">
        <v>3.3</v>
      </c>
      <c r="D1916" s="2"/>
      <c r="E1916" s="31"/>
      <c r="G1916" s="43"/>
      <c r="H1916" s="2"/>
    </row>
    <row r="1917" spans="1:8">
      <c r="A1917" s="39">
        <v>4.27101860211421</v>
      </c>
      <c r="B1917" s="40">
        <v>10.8</v>
      </c>
      <c r="D1917" s="2"/>
      <c r="E1917" s="31"/>
      <c r="G1917" s="43"/>
      <c r="H1917" s="2"/>
    </row>
    <row r="1918" spans="1:8">
      <c r="A1918" s="39">
        <v>4.2708879556502</v>
      </c>
      <c r="B1918" s="40">
        <v>5</v>
      </c>
      <c r="D1918" s="2"/>
      <c r="E1918" s="31"/>
      <c r="G1918" s="43"/>
      <c r="H1918" s="2"/>
    </row>
    <row r="1919" spans="1:8">
      <c r="A1919" s="39">
        <v>4.27083130013457</v>
      </c>
      <c r="B1919" s="40">
        <v>10</v>
      </c>
      <c r="D1919" s="2"/>
      <c r="E1919" s="31"/>
      <c r="G1919" s="43"/>
      <c r="H1919" s="2"/>
    </row>
    <row r="1920" spans="1:8">
      <c r="A1920" s="39">
        <v>4.26939885629753</v>
      </c>
      <c r="B1920" s="40">
        <v>15.4</v>
      </c>
      <c r="D1920" s="2"/>
      <c r="E1920" s="31"/>
      <c r="G1920" s="43"/>
      <c r="H1920" s="2"/>
    </row>
    <row r="1921" spans="1:8">
      <c r="A1921" s="39">
        <v>4.26925864265478</v>
      </c>
      <c r="B1921" s="40">
        <v>2</v>
      </c>
      <c r="D1921" s="2"/>
      <c r="E1921" s="31"/>
      <c r="G1921" s="43"/>
      <c r="H1921" s="2"/>
    </row>
    <row r="1922" spans="1:8">
      <c r="A1922" s="39">
        <v>4.2685937660449</v>
      </c>
      <c r="B1922" s="40">
        <v>6.5</v>
      </c>
      <c r="D1922" s="2"/>
      <c r="E1922" s="31"/>
      <c r="G1922" s="43"/>
      <c r="H1922" s="2"/>
    </row>
    <row r="1923" spans="1:8">
      <c r="A1923" s="39">
        <v>4.26796641246049</v>
      </c>
      <c r="B1923" s="40">
        <v>12.5</v>
      </c>
      <c r="D1923" s="2"/>
      <c r="E1923" s="31"/>
      <c r="G1923" s="43"/>
      <c r="H1923" s="2"/>
    </row>
    <row r="1924" spans="1:8">
      <c r="A1924" s="39">
        <v>4.26768265879939</v>
      </c>
      <c r="B1924" s="40">
        <v>6.5</v>
      </c>
      <c r="D1924" s="2"/>
      <c r="E1924" s="31"/>
      <c r="G1924" s="43"/>
      <c r="H1924" s="2"/>
    </row>
    <row r="1925" spans="1:8">
      <c r="A1925" s="39">
        <v>4.26722913595989</v>
      </c>
      <c r="B1925" s="40">
        <v>6.6</v>
      </c>
      <c r="D1925" s="2"/>
      <c r="E1925" s="31"/>
      <c r="G1925" s="43"/>
      <c r="H1925" s="2"/>
    </row>
    <row r="1926" spans="1:8">
      <c r="A1926" s="39">
        <v>4.26722913595989</v>
      </c>
      <c r="B1926" s="40">
        <v>5.3</v>
      </c>
      <c r="D1926" s="2"/>
      <c r="E1926" s="31"/>
      <c r="G1926" s="43"/>
      <c r="H1926" s="2"/>
    </row>
    <row r="1927" spans="1:8">
      <c r="A1927" s="39">
        <v>4.26695828950618</v>
      </c>
      <c r="B1927" s="40">
        <v>4</v>
      </c>
      <c r="D1927" s="2"/>
      <c r="E1927" s="31"/>
      <c r="G1927" s="43"/>
      <c r="H1927" s="2"/>
    </row>
    <row r="1928" spans="1:8">
      <c r="A1928" s="39">
        <v>4.26684024685408</v>
      </c>
      <c r="B1928" s="40">
        <v>6.5</v>
      </c>
      <c r="D1928" s="2"/>
      <c r="E1928" s="31"/>
      <c r="G1928" s="43"/>
      <c r="H1928" s="2"/>
    </row>
    <row r="1929" spans="1:8">
      <c r="A1929" s="39">
        <v>4.26653396862345</v>
      </c>
      <c r="B1929" s="40">
        <v>12.4</v>
      </c>
      <c r="D1929" s="2"/>
      <c r="E1929" s="31"/>
      <c r="G1929" s="43"/>
      <c r="H1929" s="2"/>
    </row>
    <row r="1930" spans="1:8">
      <c r="A1930" s="39">
        <v>4.26618375890552</v>
      </c>
      <c r="B1930" s="40">
        <v>8</v>
      </c>
      <c r="D1930" s="2"/>
      <c r="E1930" s="31"/>
      <c r="G1930" s="43"/>
      <c r="H1930" s="2"/>
    </row>
    <row r="1931" spans="1:8">
      <c r="A1931" s="39">
        <v>4.26614055123683</v>
      </c>
      <c r="B1931" s="40">
        <v>3</v>
      </c>
      <c r="D1931" s="2"/>
      <c r="E1931" s="31"/>
      <c r="G1931" s="43"/>
      <c r="H1931" s="2"/>
    </row>
    <row r="1932" spans="1:8">
      <c r="A1932" s="39">
        <v>4.26581774670493</v>
      </c>
      <c r="B1932" s="40">
        <v>10.6</v>
      </c>
      <c r="D1932" s="2"/>
      <c r="E1932" s="31"/>
      <c r="G1932" s="43"/>
      <c r="H1932" s="2"/>
    </row>
    <row r="1933" spans="1:8">
      <c r="A1933" s="39">
        <v>4.26532281296747</v>
      </c>
      <c r="B1933" s="40">
        <v>4.2</v>
      </c>
      <c r="D1933" s="2"/>
      <c r="E1933" s="31"/>
      <c r="G1933" s="43"/>
      <c r="H1933" s="2"/>
    </row>
    <row r="1934" spans="1:8">
      <c r="A1934" s="39">
        <v>4.26401839281386</v>
      </c>
      <c r="B1934" s="40">
        <v>9</v>
      </c>
      <c r="D1934" s="2"/>
      <c r="E1934" s="31"/>
      <c r="G1934" s="43"/>
      <c r="H1934" s="2"/>
    </row>
    <row r="1935" spans="1:8">
      <c r="A1935" s="39">
        <v>4.26383876538908</v>
      </c>
      <c r="B1935" s="40">
        <v>2.1</v>
      </c>
      <c r="D1935" s="2"/>
      <c r="E1935" s="31"/>
      <c r="G1935" s="43"/>
      <c r="H1935" s="2"/>
    </row>
    <row r="1936" spans="1:8">
      <c r="A1936" s="39">
        <v>4.26326181742945</v>
      </c>
      <c r="B1936" s="40">
        <v>9</v>
      </c>
      <c r="D1936" s="2"/>
      <c r="E1936" s="31"/>
      <c r="G1936" s="43"/>
      <c r="H1936" s="2"/>
    </row>
    <row r="1937" spans="1:8">
      <c r="A1937" s="39">
        <v>4.26223663711233</v>
      </c>
      <c r="B1937" s="40">
        <v>4</v>
      </c>
      <c r="D1937" s="2"/>
      <c r="E1937" s="31"/>
      <c r="G1937" s="43"/>
      <c r="H1937" s="2"/>
    </row>
    <row r="1938" spans="1:8">
      <c r="A1938" s="39">
        <v>4.26205185989004</v>
      </c>
      <c r="B1938" s="40">
        <v>9.4</v>
      </c>
      <c r="D1938" s="2"/>
      <c r="E1938" s="31"/>
      <c r="G1938" s="43"/>
      <c r="H1938" s="2"/>
    </row>
    <row r="1939" spans="1:8">
      <c r="A1939" s="39">
        <v>4.26200225068801</v>
      </c>
      <c r="B1939" s="40">
        <v>7</v>
      </c>
      <c r="D1939" s="2"/>
      <c r="E1939" s="31"/>
      <c r="G1939" s="43"/>
      <c r="H1939" s="2"/>
    </row>
    <row r="1940" spans="1:8">
      <c r="A1940" s="39">
        <v>4.26125287295324</v>
      </c>
      <c r="B1940" s="40">
        <v>14.3</v>
      </c>
      <c r="D1940" s="2"/>
      <c r="E1940" s="31"/>
      <c r="G1940" s="43"/>
      <c r="H1940" s="2"/>
    </row>
    <row r="1941" spans="1:8">
      <c r="A1941" s="39">
        <v>4.26125287295324</v>
      </c>
      <c r="B1941" s="40">
        <v>14.9</v>
      </c>
      <c r="D1941" s="2"/>
      <c r="E1941" s="31"/>
      <c r="G1941" s="43"/>
      <c r="H1941" s="2"/>
    </row>
    <row r="1942" spans="1:8">
      <c r="A1942" s="39">
        <v>4.26125287295324</v>
      </c>
      <c r="B1942" s="40">
        <v>8</v>
      </c>
      <c r="D1942" s="2"/>
      <c r="E1942" s="31"/>
      <c r="G1942" s="43"/>
      <c r="H1942" s="2"/>
    </row>
    <row r="1943" spans="1:8">
      <c r="A1943" s="39">
        <v>4.26123412162068</v>
      </c>
      <c r="B1943" s="40">
        <v>3.4</v>
      </c>
      <c r="D1943" s="2"/>
      <c r="E1943" s="31"/>
      <c r="G1943" s="43"/>
      <c r="H1943" s="2"/>
    </row>
    <row r="1944" spans="1:8">
      <c r="A1944" s="39">
        <v>4.26080419327529</v>
      </c>
      <c r="B1944" s="40">
        <v>11.9</v>
      </c>
      <c r="D1944" s="2"/>
      <c r="E1944" s="31"/>
      <c r="G1944" s="43"/>
      <c r="H1944" s="2"/>
    </row>
    <row r="1945" spans="1:8">
      <c r="A1945" s="39">
        <v>4.25966412813204</v>
      </c>
      <c r="B1945" s="40">
        <v>7.3</v>
      </c>
      <c r="D1945" s="2"/>
      <c r="E1945" s="31"/>
      <c r="G1945" s="43"/>
      <c r="H1945" s="2"/>
    </row>
    <row r="1946" spans="1:8">
      <c r="A1946" s="39">
        <v>4.25938110509189</v>
      </c>
      <c r="B1946" s="40">
        <v>20.3</v>
      </c>
      <c r="D1946" s="2"/>
      <c r="E1946" s="31"/>
      <c r="G1946" s="43"/>
      <c r="H1946" s="2"/>
    </row>
    <row r="1947" spans="1:8">
      <c r="A1947" s="39">
        <v>4.25909898960265</v>
      </c>
      <c r="B1947" s="40">
        <v>10.6</v>
      </c>
      <c r="D1947" s="2"/>
      <c r="E1947" s="31"/>
      <c r="G1947" s="43"/>
      <c r="H1947" s="2"/>
    </row>
    <row r="1948" spans="1:8">
      <c r="A1948" s="39">
        <v>4.25711195192103</v>
      </c>
      <c r="B1948" s="40">
        <v>7.4</v>
      </c>
      <c r="D1948" s="2"/>
      <c r="E1948" s="31"/>
      <c r="G1948" s="43"/>
      <c r="H1948" s="2"/>
    </row>
    <row r="1949" spans="1:8">
      <c r="A1949" s="39">
        <v>4.25646905824736</v>
      </c>
      <c r="B1949" s="40">
        <v>4</v>
      </c>
      <c r="D1949" s="2"/>
      <c r="E1949" s="31"/>
      <c r="G1949" s="43"/>
      <c r="H1949" s="2"/>
    </row>
    <row r="1950" spans="1:8">
      <c r="A1950" s="39">
        <v>4.25632769200454</v>
      </c>
      <c r="B1950" s="40">
        <v>9.7</v>
      </c>
      <c r="D1950" s="2"/>
      <c r="E1950" s="31"/>
      <c r="G1950" s="43"/>
      <c r="H1950" s="2"/>
    </row>
    <row r="1951" spans="1:8">
      <c r="A1951" s="39">
        <v>4.25615829223408</v>
      </c>
      <c r="B1951" s="40">
        <v>6.5</v>
      </c>
      <c r="D1951" s="2"/>
      <c r="E1951" s="31"/>
      <c r="G1951" s="43"/>
      <c r="H1951" s="2"/>
    </row>
    <row r="1952" spans="1:8">
      <c r="A1952" s="39">
        <v>4.25550995373518</v>
      </c>
      <c r="B1952" s="40">
        <v>3</v>
      </c>
      <c r="D1952" s="2"/>
      <c r="E1952" s="31"/>
      <c r="G1952" s="43"/>
      <c r="H1952" s="2"/>
    </row>
    <row r="1953" spans="1:8">
      <c r="A1953" s="39">
        <v>4.25543049498849</v>
      </c>
      <c r="B1953" s="40">
        <v>13.2</v>
      </c>
      <c r="D1953" s="2"/>
      <c r="E1953" s="31"/>
      <c r="G1953" s="43"/>
      <c r="H1953" s="2"/>
    </row>
    <row r="1954" spans="1:8">
      <c r="A1954" s="39">
        <v>4.25469221546583</v>
      </c>
      <c r="B1954" s="40">
        <v>5.5</v>
      </c>
      <c r="D1954" s="2"/>
      <c r="E1954" s="31"/>
      <c r="G1954" s="43"/>
      <c r="H1954" s="2"/>
    </row>
    <row r="1955" spans="1:8">
      <c r="A1955" s="39">
        <v>4.25426759418593</v>
      </c>
      <c r="B1955" s="40">
        <v>8.8</v>
      </c>
      <c r="D1955" s="2"/>
      <c r="E1955" s="31"/>
      <c r="G1955" s="43"/>
      <c r="H1955" s="2"/>
    </row>
    <row r="1956" spans="1:8">
      <c r="A1956" s="39">
        <v>4.25391887032969</v>
      </c>
      <c r="B1956" s="40">
        <v>9.3</v>
      </c>
      <c r="D1956" s="2"/>
      <c r="E1956" s="31"/>
      <c r="G1956" s="43"/>
      <c r="H1956" s="2"/>
    </row>
    <row r="1957" spans="1:8">
      <c r="A1957" s="39">
        <v>4.25364197409009</v>
      </c>
      <c r="B1957" s="40">
        <v>14.3</v>
      </c>
      <c r="D1957" s="2"/>
      <c r="E1957" s="31"/>
      <c r="G1957" s="43"/>
      <c r="H1957" s="2"/>
    </row>
    <row r="1958" spans="1:8">
      <c r="A1958" s="39">
        <v>4.25336817186157</v>
      </c>
      <c r="B1958" s="40">
        <v>12.5</v>
      </c>
      <c r="D1958" s="2"/>
      <c r="E1958" s="31"/>
      <c r="G1958" s="43"/>
      <c r="H1958" s="2"/>
    </row>
    <row r="1959" spans="1:8">
      <c r="A1959" s="39">
        <v>4.25230708515814</v>
      </c>
      <c r="B1959" s="40">
        <v>3.5</v>
      </c>
      <c r="D1959" s="2"/>
      <c r="E1959" s="31"/>
      <c r="G1959" s="43"/>
      <c r="H1959" s="2"/>
    </row>
    <row r="1960" spans="1:8">
      <c r="A1960" s="39">
        <v>4.25230708515814</v>
      </c>
      <c r="B1960" s="40">
        <v>2.5</v>
      </c>
      <c r="D1960" s="2"/>
      <c r="E1960" s="31"/>
      <c r="G1960" s="43"/>
      <c r="H1960" s="2"/>
    </row>
    <row r="1961" spans="1:8">
      <c r="A1961" s="39">
        <v>4.25220953025305</v>
      </c>
      <c r="B1961" s="40">
        <v>12.4</v>
      </c>
      <c r="D1961" s="2"/>
      <c r="E1961" s="31"/>
      <c r="G1961" s="43"/>
      <c r="H1961" s="2"/>
    </row>
    <row r="1962" spans="1:8">
      <c r="A1962" s="39">
        <v>4.25206148301044</v>
      </c>
      <c r="B1962" s="40">
        <v>18.1</v>
      </c>
      <c r="D1962" s="2"/>
      <c r="E1962" s="31"/>
      <c r="G1962" s="43"/>
      <c r="H1962" s="2"/>
    </row>
    <row r="1963" spans="1:8">
      <c r="A1963" s="39">
        <v>4.25156932721287</v>
      </c>
      <c r="B1963" s="40">
        <v>7.5</v>
      </c>
      <c r="D1963" s="2"/>
      <c r="E1963" s="31"/>
      <c r="G1963" s="43"/>
      <c r="H1963" s="2"/>
    </row>
    <row r="1964" spans="1:8">
      <c r="A1964" s="39">
        <v>4.25154848014426</v>
      </c>
      <c r="B1964" s="40">
        <v>4.1</v>
      </c>
      <c r="D1964" s="2"/>
      <c r="E1964" s="31"/>
      <c r="G1964" s="43"/>
      <c r="H1964" s="2"/>
    </row>
    <row r="1965" spans="1:8">
      <c r="A1965" s="39">
        <v>4.25106371151493</v>
      </c>
      <c r="B1965" s="40">
        <v>23</v>
      </c>
      <c r="D1965" s="2"/>
      <c r="E1965" s="31"/>
      <c r="G1965" s="43"/>
      <c r="H1965" s="2"/>
    </row>
    <row r="1966" spans="1:8">
      <c r="A1966" s="39">
        <v>4.25066990488852</v>
      </c>
      <c r="B1966" s="40">
        <v>4.2</v>
      </c>
      <c r="D1966" s="2"/>
      <c r="E1966" s="31"/>
      <c r="G1966" s="43"/>
      <c r="H1966" s="2"/>
    </row>
    <row r="1967" spans="1:8">
      <c r="A1967" s="39">
        <v>4.25033591426933</v>
      </c>
      <c r="B1967" s="40">
        <v>12.3</v>
      </c>
      <c r="D1967" s="2"/>
      <c r="E1967" s="31"/>
      <c r="G1967" s="43"/>
      <c r="H1967" s="2"/>
    </row>
    <row r="1968" spans="1:8">
      <c r="A1968" s="39">
        <v>4.24978578584968</v>
      </c>
      <c r="B1968" s="40">
        <v>5.4</v>
      </c>
      <c r="D1968" s="2"/>
      <c r="E1968" s="31"/>
      <c r="G1968" s="43"/>
      <c r="H1968" s="2"/>
    </row>
    <row r="1969" spans="1:8">
      <c r="A1969" s="39">
        <v>4.24942416510041</v>
      </c>
      <c r="B1969" s="40">
        <v>1.1</v>
      </c>
      <c r="D1969" s="2"/>
      <c r="E1969" s="31"/>
      <c r="G1969" s="43"/>
      <c r="H1969" s="2"/>
    </row>
    <row r="1970" spans="1:8">
      <c r="A1970" s="39">
        <v>4.24919428631393</v>
      </c>
      <c r="B1970" s="40">
        <v>6.4</v>
      </c>
      <c r="D1970" s="2"/>
      <c r="E1970" s="31"/>
      <c r="G1970" s="43"/>
      <c r="H1970" s="2"/>
    </row>
    <row r="1971" spans="1:8">
      <c r="A1971" s="39">
        <v>4.24896804758032</v>
      </c>
      <c r="B1971" s="40">
        <v>3.2</v>
      </c>
      <c r="D1971" s="2"/>
      <c r="E1971" s="31"/>
      <c r="G1971" s="43"/>
      <c r="H1971" s="2"/>
    </row>
    <row r="1972" spans="1:8">
      <c r="A1972" s="39">
        <v>4.24888031977814</v>
      </c>
      <c r="B1972" s="40">
        <v>1</v>
      </c>
      <c r="D1972" s="2"/>
      <c r="E1972" s="31"/>
      <c r="G1972" s="43"/>
      <c r="H1972" s="2"/>
    </row>
    <row r="1973" spans="1:8">
      <c r="A1973" s="39">
        <v>4.24791219874193</v>
      </c>
      <c r="B1973" s="40">
        <v>7.1</v>
      </c>
      <c r="D1973" s="2"/>
      <c r="E1973" s="31"/>
      <c r="G1973" s="43"/>
      <c r="H1973" s="2"/>
    </row>
    <row r="1974" spans="1:8">
      <c r="A1974" s="39">
        <v>4.24750221839525</v>
      </c>
      <c r="B1974" s="40">
        <v>1.4</v>
      </c>
      <c r="D1974" s="2"/>
      <c r="E1974" s="31"/>
      <c r="G1974" s="43"/>
      <c r="H1974" s="2"/>
    </row>
    <row r="1975" spans="1:8">
      <c r="A1975" s="39">
        <v>4.24718585534025</v>
      </c>
      <c r="B1975" s="40">
        <v>22</v>
      </c>
      <c r="D1975" s="2"/>
      <c r="E1975" s="31"/>
      <c r="G1975" s="43"/>
      <c r="H1975" s="2"/>
    </row>
    <row r="1976" spans="1:8">
      <c r="A1976" s="39">
        <v>4.24647975490489</v>
      </c>
      <c r="B1976" s="40">
        <v>14.3</v>
      </c>
      <c r="D1976" s="2"/>
      <c r="E1976" s="31"/>
      <c r="G1976" s="43"/>
      <c r="H1976" s="2"/>
    </row>
    <row r="1977" spans="1:8">
      <c r="A1977" s="39">
        <v>4.2456970945029</v>
      </c>
      <c r="B1977" s="40">
        <v>8</v>
      </c>
      <c r="D1977" s="2"/>
      <c r="E1977" s="31"/>
      <c r="G1977" s="43"/>
      <c r="H1977" s="2"/>
    </row>
    <row r="1978" spans="1:8">
      <c r="A1978" s="39">
        <v>4.24527621781801</v>
      </c>
      <c r="B1978" s="40">
        <v>12.2</v>
      </c>
      <c r="D1978" s="2"/>
      <c r="E1978" s="31"/>
      <c r="G1978" s="43"/>
      <c r="H1978" s="2"/>
    </row>
    <row r="1979" spans="1:8">
      <c r="A1979" s="39">
        <v>4.24524133355017</v>
      </c>
      <c r="B1979" s="40">
        <v>12.5</v>
      </c>
      <c r="D1979" s="2"/>
      <c r="E1979" s="31"/>
      <c r="G1979" s="43"/>
      <c r="H1979" s="2"/>
    </row>
    <row r="1980" spans="1:8">
      <c r="A1980" s="39">
        <v>4.24524133355017</v>
      </c>
      <c r="B1980" s="40">
        <v>0</v>
      </c>
      <c r="D1980" s="2"/>
      <c r="E1980" s="31"/>
      <c r="G1980" s="43"/>
      <c r="H1980" s="2"/>
    </row>
    <row r="1981" spans="1:8">
      <c r="A1981" s="39">
        <v>4.24461929833752</v>
      </c>
      <c r="B1981" s="40">
        <v>1</v>
      </c>
      <c r="D1981" s="2"/>
      <c r="E1981" s="31"/>
      <c r="G1981" s="43"/>
      <c r="H1981" s="2"/>
    </row>
    <row r="1982" spans="1:8">
      <c r="A1982" s="39">
        <v>4.24269735163236</v>
      </c>
      <c r="B1982" s="40">
        <v>7.35</v>
      </c>
      <c r="D1982" s="2"/>
      <c r="E1982" s="31"/>
      <c r="G1982" s="43"/>
      <c r="H1982" s="2"/>
    </row>
    <row r="1983" spans="1:8">
      <c r="A1983" s="39">
        <v>4.24220897378136</v>
      </c>
      <c r="B1983" s="40">
        <v>4.5</v>
      </c>
      <c r="D1983" s="2"/>
      <c r="E1983" s="31"/>
      <c r="G1983" s="43"/>
      <c r="H1983" s="2"/>
    </row>
    <row r="1984" spans="1:8">
      <c r="A1984" s="39">
        <v>4.24160840315611</v>
      </c>
      <c r="B1984" s="40">
        <v>6</v>
      </c>
      <c r="D1984" s="2"/>
      <c r="E1984" s="31"/>
      <c r="G1984" s="43"/>
      <c r="H1984" s="2"/>
    </row>
    <row r="1985" spans="1:8">
      <c r="A1985" s="39">
        <v>4.2416023473222</v>
      </c>
      <c r="B1985" s="40">
        <v>1</v>
      </c>
      <c r="D1985" s="2"/>
      <c r="E1985" s="31"/>
      <c r="G1985" s="43"/>
      <c r="H1985" s="2"/>
    </row>
    <row r="1986" spans="1:8">
      <c r="A1986" s="39">
        <v>4.2416023473222</v>
      </c>
      <c r="B1986" s="40">
        <v>8</v>
      </c>
      <c r="D1986" s="2"/>
      <c r="E1986" s="31"/>
      <c r="G1986" s="43"/>
      <c r="H1986" s="2"/>
    </row>
    <row r="1987" spans="1:8">
      <c r="A1987" s="39">
        <v>4.24087455007661</v>
      </c>
      <c r="B1987" s="40">
        <v>2</v>
      </c>
      <c r="D1987" s="2"/>
      <c r="E1987" s="31"/>
      <c r="G1987" s="43"/>
      <c r="H1987" s="2"/>
    </row>
    <row r="1988" spans="1:8">
      <c r="A1988" s="39">
        <v>4.24080147246292</v>
      </c>
      <c r="B1988" s="40">
        <v>22</v>
      </c>
      <c r="D1988" s="2"/>
      <c r="E1988" s="31"/>
      <c r="G1988" s="43"/>
      <c r="H1988" s="2"/>
    </row>
    <row r="1989" spans="1:8">
      <c r="A1989" s="39">
        <v>4.24074997955673</v>
      </c>
      <c r="B1989" s="40">
        <v>8.6</v>
      </c>
      <c r="D1989" s="2"/>
      <c r="E1989" s="31"/>
      <c r="G1989" s="43"/>
      <c r="H1989" s="2"/>
    </row>
    <row r="1990" spans="1:8">
      <c r="A1990" s="39">
        <v>4.24014675283101</v>
      </c>
      <c r="B1990" s="40">
        <v>22</v>
      </c>
      <c r="D1990" s="2"/>
      <c r="E1990" s="31"/>
      <c r="G1990" s="43"/>
      <c r="H1990" s="2"/>
    </row>
    <row r="1991" spans="1:8">
      <c r="A1991" s="39">
        <v>4.23900960560713</v>
      </c>
      <c r="B1991" s="40">
        <v>8.6</v>
      </c>
      <c r="D1991" s="2"/>
      <c r="E1991" s="31"/>
      <c r="G1991" s="43"/>
      <c r="H1991" s="2"/>
    </row>
    <row r="1992" spans="1:8">
      <c r="A1992" s="39">
        <v>4.23828212841379</v>
      </c>
      <c r="B1992" s="40">
        <v>0</v>
      </c>
      <c r="D1992" s="2"/>
      <c r="E1992" s="31"/>
      <c r="G1992" s="43"/>
      <c r="H1992" s="2"/>
    </row>
    <row r="1993" spans="1:8">
      <c r="A1993" s="39">
        <v>4.23828212841379</v>
      </c>
      <c r="B1993" s="40">
        <v>1</v>
      </c>
      <c r="D1993" s="2"/>
      <c r="E1993" s="31"/>
      <c r="G1993" s="43"/>
      <c r="H1993" s="2"/>
    </row>
    <row r="1994" spans="1:8">
      <c r="A1994" s="39">
        <v>4.23789248486947</v>
      </c>
      <c r="B1994" s="40">
        <v>3.6</v>
      </c>
      <c r="D1994" s="2"/>
      <c r="E1994" s="31"/>
      <c r="G1994" s="43"/>
      <c r="H1994" s="2"/>
    </row>
    <row r="1995" spans="1:8">
      <c r="A1995" s="39">
        <v>4.23716886996413</v>
      </c>
      <c r="B1995" s="40">
        <v>14</v>
      </c>
      <c r="D1995" s="2"/>
      <c r="E1995" s="31"/>
      <c r="G1995" s="43"/>
      <c r="H1995" s="2"/>
    </row>
    <row r="1996" spans="1:8">
      <c r="A1996" s="39">
        <v>4.23691320138301</v>
      </c>
      <c r="B1996" s="40">
        <v>10.3</v>
      </c>
      <c r="D1996" s="2"/>
      <c r="E1996" s="31"/>
      <c r="G1996" s="43"/>
      <c r="H1996" s="2"/>
    </row>
    <row r="1997" spans="1:8">
      <c r="A1997" s="39">
        <v>4.23670197353997</v>
      </c>
      <c r="B1997" s="40">
        <v>8.7</v>
      </c>
      <c r="D1997" s="2"/>
      <c r="E1997" s="31"/>
      <c r="G1997" s="43"/>
      <c r="H1997" s="2"/>
    </row>
    <row r="1998" spans="1:8">
      <c r="A1998" s="39">
        <v>4.23650776660304</v>
      </c>
      <c r="B1998" s="40">
        <v>21</v>
      </c>
      <c r="D1998" s="2"/>
      <c r="E1998" s="31"/>
      <c r="G1998" s="43"/>
      <c r="H1998" s="2"/>
    </row>
    <row r="1999" spans="1:8">
      <c r="A1999" s="39">
        <v>4.23650580377561</v>
      </c>
      <c r="B1999" s="40">
        <v>6</v>
      </c>
      <c r="D1999" s="2"/>
      <c r="E1999" s="31"/>
      <c r="G1999" s="43"/>
      <c r="H1999" s="2"/>
    </row>
    <row r="2000" spans="1:8">
      <c r="A2000" s="39">
        <v>4.2357397298582</v>
      </c>
      <c r="B2000" s="40">
        <v>14.1</v>
      </c>
      <c r="D2000" s="2"/>
      <c r="E2000" s="31"/>
      <c r="G2000" s="43"/>
      <c r="H2000" s="2"/>
    </row>
    <row r="2001" spans="1:8">
      <c r="A2001" s="39">
        <v>4.23424875873189</v>
      </c>
      <c r="B2001" s="40">
        <v>3.7</v>
      </c>
      <c r="D2001" s="2"/>
      <c r="E2001" s="31"/>
      <c r="G2001" s="43"/>
      <c r="H2001" s="2"/>
    </row>
    <row r="2002" spans="1:8">
      <c r="A2002" s="39">
        <v>4.23424875873189</v>
      </c>
      <c r="B2002" s="45">
        <v>3.9</v>
      </c>
      <c r="D2002" s="2"/>
      <c r="E2002" s="31"/>
      <c r="G2002" s="43"/>
      <c r="H2002" s="2"/>
    </row>
    <row r="2003" spans="1:8">
      <c r="A2003" s="39">
        <v>4.23376396587071</v>
      </c>
      <c r="B2003" s="45">
        <v>14.5</v>
      </c>
      <c r="D2003" s="2"/>
      <c r="E2003" s="31"/>
      <c r="G2003" s="43"/>
      <c r="H2003" s="2"/>
    </row>
    <row r="2004" spans="1:8">
      <c r="A2004" s="39">
        <v>4.23359657762067</v>
      </c>
      <c r="B2004" s="45">
        <v>0</v>
      </c>
      <c r="D2004" s="2"/>
      <c r="E2004" s="31"/>
      <c r="G2004" s="43"/>
      <c r="H2004" s="2"/>
    </row>
    <row r="2005" spans="1:8">
      <c r="A2005" s="39">
        <v>4.23359657762067</v>
      </c>
      <c r="B2005" s="45">
        <v>2</v>
      </c>
      <c r="D2005" s="2"/>
      <c r="E2005" s="31"/>
      <c r="G2005" s="43"/>
      <c r="H2005" s="2"/>
    </row>
    <row r="2006" spans="1:8">
      <c r="A2006" s="39">
        <v>4.23358776037153</v>
      </c>
      <c r="B2006" s="45">
        <v>9.3</v>
      </c>
      <c r="D2006" s="2"/>
      <c r="E2006" s="31"/>
      <c r="G2006" s="43"/>
      <c r="H2006" s="2"/>
    </row>
    <row r="2007" spans="1:8">
      <c r="A2007" s="39">
        <v>4.23358776037153</v>
      </c>
      <c r="B2007" s="45">
        <v>0.7</v>
      </c>
      <c r="D2007" s="2"/>
      <c r="E2007" s="31"/>
      <c r="G2007" s="43"/>
      <c r="H2007" s="2"/>
    </row>
    <row r="2008" spans="1:8">
      <c r="A2008" s="39">
        <v>4.23304652386242</v>
      </c>
      <c r="B2008" s="45">
        <v>6.5</v>
      </c>
      <c r="D2008" s="2"/>
      <c r="E2008" s="31"/>
      <c r="G2008" s="43"/>
      <c r="H2008" s="2"/>
    </row>
    <row r="2009" spans="1:8">
      <c r="A2009" s="39">
        <v>4.23235646455227</v>
      </c>
      <c r="B2009" s="45">
        <v>12.7</v>
      </c>
      <c r="D2009" s="2"/>
      <c r="E2009" s="31"/>
      <c r="G2009" s="43"/>
      <c r="H2009" s="2"/>
    </row>
    <row r="2010" spans="1:8">
      <c r="A2010" s="39">
        <v>4.23068538863829</v>
      </c>
      <c r="B2010" s="45">
        <v>7</v>
      </c>
      <c r="D2010" s="2"/>
      <c r="E2010" s="31"/>
      <c r="G2010" s="43"/>
      <c r="H2010" s="2"/>
    </row>
    <row r="2011" spans="1:8">
      <c r="A2011" s="39">
        <v>4.23064093905676</v>
      </c>
      <c r="B2011" s="45">
        <v>4</v>
      </c>
      <c r="D2011" s="2"/>
      <c r="E2011" s="31"/>
      <c r="G2011" s="43"/>
      <c r="H2011" s="2"/>
    </row>
    <row r="2012" spans="1:8">
      <c r="A2012" s="39">
        <v>4.23064093905676</v>
      </c>
      <c r="B2012" s="45">
        <v>5</v>
      </c>
      <c r="D2012" s="2"/>
      <c r="E2012" s="31"/>
      <c r="G2012" s="43"/>
      <c r="H2012" s="2"/>
    </row>
    <row r="2013" spans="1:8">
      <c r="A2013" s="39">
        <v>4.23020469804884</v>
      </c>
      <c r="B2013" s="45">
        <v>1</v>
      </c>
      <c r="D2013" s="2"/>
      <c r="E2013" s="31"/>
      <c r="G2013" s="43"/>
      <c r="H2013" s="2"/>
    </row>
    <row r="2014" spans="1:8">
      <c r="A2014" s="39">
        <v>4.23020469804884</v>
      </c>
      <c r="B2014" s="45">
        <v>5</v>
      </c>
      <c r="D2014" s="2"/>
      <c r="E2014" s="31"/>
      <c r="G2014" s="43"/>
      <c r="H2014" s="2"/>
    </row>
    <row r="2015" spans="1:8">
      <c r="A2015" s="39">
        <v>4.22934232911575</v>
      </c>
      <c r="B2015" s="45">
        <v>3</v>
      </c>
      <c r="D2015" s="2"/>
      <c r="E2015" s="31"/>
      <c r="G2015" s="43"/>
      <c r="H2015" s="2"/>
    </row>
    <row r="2016" spans="1:8">
      <c r="A2016" s="39">
        <v>4.22934232911575</v>
      </c>
      <c r="B2016" s="45">
        <v>7</v>
      </c>
      <c r="D2016" s="2"/>
      <c r="E2016" s="31"/>
      <c r="G2016" s="43"/>
      <c r="H2016" s="2"/>
    </row>
    <row r="2017" spans="1:8">
      <c r="A2017" s="39">
        <v>4.22924372469627</v>
      </c>
      <c r="B2017" s="45">
        <v>1</v>
      </c>
      <c r="D2017" s="2"/>
      <c r="E2017" s="31"/>
      <c r="G2017" s="43"/>
      <c r="H2017" s="2"/>
    </row>
    <row r="2018" spans="1:8">
      <c r="A2018" s="39">
        <v>4.22855018494801</v>
      </c>
      <c r="B2018" s="45">
        <v>3.7</v>
      </c>
      <c r="D2018" s="2"/>
      <c r="E2018" s="31"/>
      <c r="G2018" s="43"/>
      <c r="H2018" s="2"/>
    </row>
    <row r="2019" spans="1:8">
      <c r="A2019" s="39">
        <v>4.22850199690151</v>
      </c>
      <c r="B2019" s="45">
        <v>12.2</v>
      </c>
      <c r="D2019" s="2"/>
      <c r="E2019" s="31"/>
      <c r="G2019" s="43"/>
      <c r="H2019" s="2"/>
    </row>
    <row r="2020" spans="1:8">
      <c r="A2020" s="39">
        <v>4.22777419965592</v>
      </c>
      <c r="B2020" s="45">
        <v>5.6</v>
      </c>
      <c r="D2020" s="2"/>
      <c r="E2020" s="31"/>
      <c r="G2020" s="43"/>
      <c r="H2020" s="2"/>
    </row>
    <row r="2021" spans="1:8">
      <c r="A2021" s="39">
        <v>4.22642554118633</v>
      </c>
      <c r="B2021" s="45">
        <v>2</v>
      </c>
      <c r="D2021" s="2"/>
      <c r="E2021" s="31"/>
      <c r="G2021" s="43"/>
      <c r="H2021" s="2"/>
    </row>
    <row r="2022" spans="1:8">
      <c r="A2022" s="39">
        <v>4.22638550213101</v>
      </c>
      <c r="B2022" s="45">
        <v>9.5</v>
      </c>
      <c r="D2022" s="2"/>
      <c r="E2022" s="31"/>
      <c r="G2022" s="43"/>
      <c r="H2022" s="2"/>
    </row>
    <row r="2023" spans="1:8">
      <c r="A2023" s="39">
        <v>4.22638550213101</v>
      </c>
      <c r="B2023" s="45">
        <v>2.5</v>
      </c>
      <c r="D2023" s="2"/>
      <c r="E2023" s="31"/>
      <c r="G2023" s="43"/>
      <c r="H2023" s="2"/>
    </row>
    <row r="2024" spans="1:8">
      <c r="A2024" s="39">
        <v>4.22631860516473</v>
      </c>
      <c r="B2024" s="45">
        <v>13</v>
      </c>
      <c r="D2024" s="2"/>
      <c r="E2024" s="31"/>
      <c r="G2024" s="43"/>
      <c r="H2024" s="2"/>
    </row>
    <row r="2025" spans="1:8">
      <c r="A2025" s="39">
        <v>4.22548607980666</v>
      </c>
      <c r="B2025" s="45">
        <v>8</v>
      </c>
      <c r="D2025" s="2"/>
      <c r="E2025" s="31"/>
      <c r="G2025" s="43"/>
      <c r="H2025" s="2"/>
    </row>
    <row r="2026" spans="1:8">
      <c r="A2026" s="39">
        <v>4.22541405378488</v>
      </c>
      <c r="B2026" s="45">
        <v>5.3</v>
      </c>
      <c r="D2026" s="2"/>
      <c r="E2026" s="31"/>
      <c r="G2026" s="43"/>
      <c r="H2026" s="2"/>
    </row>
    <row r="2027" spans="1:8">
      <c r="A2027" s="39">
        <v>4.22539983128595</v>
      </c>
      <c r="B2027" s="45">
        <v>7.7</v>
      </c>
      <c r="D2027" s="2"/>
      <c r="E2027" s="31"/>
      <c r="G2027" s="43"/>
      <c r="H2027" s="2"/>
    </row>
    <row r="2028" spans="1:8">
      <c r="A2028" s="39">
        <v>4.22443589949961</v>
      </c>
      <c r="B2028" s="45">
        <v>4.7</v>
      </c>
      <c r="D2028" s="2"/>
      <c r="E2028" s="31"/>
      <c r="G2028" s="43"/>
      <c r="H2028" s="2"/>
    </row>
    <row r="2029" spans="1:8">
      <c r="A2029" s="39">
        <v>4.2243686767305</v>
      </c>
      <c r="B2029" s="45">
        <v>4.9</v>
      </c>
      <c r="D2029" s="2"/>
      <c r="E2029" s="31"/>
      <c r="G2029" s="43"/>
      <c r="H2029" s="2"/>
    </row>
    <row r="2030" spans="1:8">
      <c r="A2030" s="39">
        <v>4.2236203028772</v>
      </c>
      <c r="B2030" s="45">
        <v>14.3</v>
      </c>
      <c r="D2030" s="2"/>
      <c r="E2030" s="31"/>
      <c r="G2030" s="43"/>
      <c r="H2030" s="2"/>
    </row>
    <row r="2031" spans="1:8">
      <c r="A2031" s="39">
        <v>4.2234778845808</v>
      </c>
      <c r="B2031" s="45">
        <v>2.5</v>
      </c>
      <c r="D2031" s="2"/>
      <c r="E2031" s="31"/>
      <c r="G2031" s="43"/>
      <c r="H2031" s="2"/>
    </row>
    <row r="2032" spans="1:8">
      <c r="A2032" s="39">
        <v>4.2230051073536</v>
      </c>
      <c r="B2032" s="45">
        <v>5.4</v>
      </c>
      <c r="D2032" s="2"/>
      <c r="E2032" s="31"/>
      <c r="G2032" s="43"/>
      <c r="H2032" s="2"/>
    </row>
    <row r="2033" spans="1:8">
      <c r="A2033" s="39">
        <v>4.22284443159373</v>
      </c>
      <c r="B2033" s="45">
        <v>16.4</v>
      </c>
      <c r="D2033" s="2"/>
      <c r="E2033" s="31"/>
      <c r="G2033" s="43"/>
      <c r="H2033" s="2"/>
    </row>
    <row r="2034" spans="1:8">
      <c r="A2034" s="39">
        <v>4.22227763016026</v>
      </c>
      <c r="B2034" s="45">
        <v>6</v>
      </c>
      <c r="D2034" s="2"/>
      <c r="E2034" s="31"/>
      <c r="G2034" s="43"/>
      <c r="H2034" s="2"/>
    </row>
    <row r="2035" spans="1:8">
      <c r="A2035" s="39">
        <v>4.22212820967521</v>
      </c>
      <c r="B2035" s="45">
        <v>12.9</v>
      </c>
      <c r="D2035" s="2"/>
      <c r="E2035" s="31"/>
      <c r="G2035" s="43"/>
      <c r="H2035" s="2"/>
    </row>
    <row r="2036" spans="1:8">
      <c r="A2036" s="39">
        <v>4.22155015296691</v>
      </c>
      <c r="B2036" s="45">
        <v>17.8</v>
      </c>
      <c r="D2036" s="2"/>
      <c r="E2036" s="31"/>
      <c r="G2036" s="43"/>
      <c r="H2036" s="2"/>
    </row>
    <row r="2037" spans="1:8">
      <c r="A2037" s="39">
        <v>4.22143867934707</v>
      </c>
      <c r="B2037" s="45">
        <v>0</v>
      </c>
      <c r="D2037" s="2"/>
      <c r="E2037" s="31"/>
      <c r="G2037" s="43"/>
      <c r="H2037" s="2"/>
    </row>
    <row r="2038" spans="1:8">
      <c r="A2038" s="39">
        <v>4.220187168513</v>
      </c>
      <c r="B2038" s="45">
        <v>5</v>
      </c>
      <c r="D2038" s="2"/>
      <c r="E2038" s="31"/>
      <c r="G2038" s="43"/>
      <c r="H2038" s="2"/>
    </row>
    <row r="2039" spans="1:8">
      <c r="A2039" s="39">
        <v>4.22009519858023</v>
      </c>
      <c r="B2039" s="45">
        <v>5.8</v>
      </c>
      <c r="D2039" s="2"/>
      <c r="E2039" s="31"/>
      <c r="G2039" s="43"/>
      <c r="H2039" s="2"/>
    </row>
    <row r="2040" spans="1:8">
      <c r="A2040" s="39">
        <v>4.22008954586054</v>
      </c>
      <c r="B2040" s="45">
        <v>4.9</v>
      </c>
      <c r="D2040" s="2"/>
      <c r="E2040" s="31"/>
      <c r="G2040" s="43"/>
      <c r="H2040" s="2"/>
    </row>
    <row r="2041" spans="1:8">
      <c r="A2041" s="39">
        <v>4.21936772138689</v>
      </c>
      <c r="B2041" s="45">
        <v>1.4</v>
      </c>
      <c r="D2041" s="2"/>
      <c r="E2041" s="31"/>
      <c r="G2041" s="43"/>
      <c r="H2041" s="2"/>
    </row>
    <row r="2042" spans="1:8">
      <c r="A2042" s="39">
        <v>4.21914179145863</v>
      </c>
      <c r="B2042" s="45">
        <v>3.5</v>
      </c>
      <c r="D2042" s="2"/>
      <c r="E2042" s="31"/>
      <c r="G2042" s="43"/>
      <c r="H2042" s="2"/>
    </row>
    <row r="2043" spans="1:8">
      <c r="A2043" s="39">
        <v>4.21809641440425</v>
      </c>
      <c r="B2043" s="45">
        <v>6</v>
      </c>
      <c r="D2043" s="2"/>
      <c r="E2043" s="31"/>
      <c r="G2043" s="43"/>
      <c r="H2043" s="2"/>
    </row>
    <row r="2044" spans="1:8">
      <c r="A2044" s="39">
        <v>4.21789399334475</v>
      </c>
      <c r="B2044" s="45">
        <v>5.5</v>
      </c>
      <c r="D2044" s="2"/>
      <c r="E2044" s="31"/>
      <c r="G2044" s="43"/>
      <c r="H2044" s="2"/>
    </row>
    <row r="2045" spans="1:8">
      <c r="A2045" s="39">
        <v>4.21621398638882</v>
      </c>
      <c r="B2045" s="45">
        <v>13</v>
      </c>
      <c r="D2045" s="2"/>
      <c r="E2045" s="31"/>
      <c r="G2045" s="43"/>
      <c r="H2045" s="2"/>
    </row>
    <row r="2046" spans="1:8">
      <c r="A2046" s="39">
        <v>4.21568221240853</v>
      </c>
      <c r="B2046" s="45">
        <v>7.2</v>
      </c>
      <c r="D2046" s="2"/>
      <c r="E2046" s="31"/>
      <c r="G2046" s="43"/>
      <c r="H2046" s="2"/>
    </row>
    <row r="2047" spans="1:8">
      <c r="A2047" s="39">
        <v>4.21548297176831</v>
      </c>
      <c r="B2047" s="45">
        <v>7.5</v>
      </c>
      <c r="D2047" s="2"/>
      <c r="E2047" s="31"/>
      <c r="G2047" s="43"/>
      <c r="H2047" s="2"/>
    </row>
    <row r="2048" spans="1:8">
      <c r="A2048" s="39">
        <v>4.21496028324113</v>
      </c>
      <c r="B2048" s="45">
        <v>7</v>
      </c>
      <c r="D2048" s="2"/>
      <c r="E2048" s="31"/>
      <c r="G2048" s="43"/>
      <c r="H2048" s="2"/>
    </row>
    <row r="2049" spans="1:8">
      <c r="A2049" s="39">
        <v>4.21496028324113</v>
      </c>
      <c r="B2049" s="45">
        <v>7.4</v>
      </c>
      <c r="D2049" s="2"/>
      <c r="E2049" s="31"/>
      <c r="G2049" s="43"/>
      <c r="H2049" s="2"/>
    </row>
    <row r="2050" spans="1:8">
      <c r="A2050" s="39">
        <v>4.21298756372861</v>
      </c>
      <c r="B2050" s="45">
        <v>3.3</v>
      </c>
      <c r="D2050" s="2"/>
      <c r="E2050" s="31"/>
      <c r="G2050" s="43"/>
      <c r="H2050" s="2"/>
    </row>
    <row r="2051" spans="1:8">
      <c r="A2051" s="39">
        <v>4.21290717770244</v>
      </c>
      <c r="B2051" s="45">
        <v>5.5</v>
      </c>
      <c r="D2051" s="2"/>
      <c r="E2051" s="31"/>
      <c r="G2051" s="43"/>
      <c r="H2051" s="2"/>
    </row>
    <row r="2052" spans="1:8">
      <c r="A2052" s="39">
        <v>4.21249045749844</v>
      </c>
      <c r="B2052" s="45">
        <v>6</v>
      </c>
      <c r="D2052" s="2"/>
      <c r="E2052" s="31"/>
      <c r="G2052" s="43"/>
      <c r="H2052" s="2"/>
    </row>
    <row r="2053" spans="1:8">
      <c r="A2053" s="39">
        <v>4.21210110281593</v>
      </c>
      <c r="B2053" s="45">
        <v>7.9</v>
      </c>
      <c r="D2053" s="2"/>
      <c r="E2053" s="31"/>
      <c r="G2053" s="43"/>
      <c r="H2053" s="2"/>
    </row>
    <row r="2054" spans="1:8">
      <c r="A2054" s="39">
        <v>4.21098523099728</v>
      </c>
      <c r="B2054" s="45">
        <v>6.5</v>
      </c>
      <c r="D2054" s="2"/>
      <c r="E2054" s="31"/>
      <c r="G2054" s="43"/>
      <c r="H2054" s="2"/>
    </row>
    <row r="2055" spans="1:8">
      <c r="A2055" s="39">
        <v>4.21019590029267</v>
      </c>
      <c r="B2055" s="45">
        <v>2</v>
      </c>
      <c r="D2055" s="2"/>
      <c r="E2055" s="31"/>
      <c r="G2055" s="43"/>
      <c r="H2055" s="2"/>
    </row>
    <row r="2056" spans="1:8">
      <c r="A2056" s="39">
        <v>4.20973339796925</v>
      </c>
      <c r="B2056" s="45">
        <v>5</v>
      </c>
      <c r="D2056" s="2"/>
      <c r="E2056" s="31"/>
      <c r="G2056" s="43"/>
      <c r="H2056" s="2"/>
    </row>
    <row r="2057" spans="1:8">
      <c r="A2057" s="39">
        <v>4.20971661065118</v>
      </c>
      <c r="B2057" s="45">
        <v>6.1</v>
      </c>
      <c r="D2057" s="2"/>
      <c r="E2057" s="31"/>
      <c r="G2057" s="43"/>
      <c r="H2057" s="2"/>
    </row>
    <row r="2058" spans="1:8">
      <c r="A2058" s="39">
        <v>4.20885147127047</v>
      </c>
      <c r="B2058" s="45">
        <v>2.8</v>
      </c>
      <c r="D2058" s="2"/>
      <c r="E2058" s="31"/>
      <c r="G2058" s="43"/>
      <c r="H2058" s="2"/>
    </row>
    <row r="2059" spans="1:8">
      <c r="A2059" s="39">
        <v>4.20851999322333</v>
      </c>
      <c r="B2059" s="45">
        <v>10</v>
      </c>
      <c r="D2059" s="2"/>
      <c r="E2059" s="31"/>
      <c r="G2059" s="43"/>
      <c r="H2059" s="2"/>
    </row>
    <row r="2060" spans="1:8">
      <c r="A2060" s="39">
        <v>4.20839705564396</v>
      </c>
      <c r="B2060" s="45">
        <v>0.5</v>
      </c>
      <c r="D2060" s="2"/>
      <c r="E2060" s="31"/>
      <c r="G2060" s="43"/>
      <c r="H2060" s="2"/>
    </row>
    <row r="2061" spans="1:8">
      <c r="A2061" s="39">
        <v>4.20808113411246</v>
      </c>
      <c r="B2061" s="45">
        <v>4.5</v>
      </c>
      <c r="D2061" s="2"/>
      <c r="E2061" s="31"/>
      <c r="G2061" s="43"/>
      <c r="H2061" s="2"/>
    </row>
    <row r="2062" spans="1:8">
      <c r="A2062" s="39">
        <v>4.20794734448179</v>
      </c>
      <c r="B2062" s="45">
        <v>4</v>
      </c>
      <c r="D2062" s="2"/>
      <c r="E2062" s="31"/>
      <c r="G2062" s="43"/>
      <c r="H2062" s="2"/>
    </row>
    <row r="2063" spans="1:8">
      <c r="A2063" s="39">
        <v>4.20594028228809</v>
      </c>
      <c r="B2063" s="45">
        <v>11.3</v>
      </c>
      <c r="D2063" s="2"/>
      <c r="E2063" s="31"/>
      <c r="G2063" s="43"/>
      <c r="H2063" s="2"/>
    </row>
    <row r="2064" spans="1:8">
      <c r="A2064" s="39">
        <v>4.20544116240571</v>
      </c>
      <c r="B2064" s="45">
        <v>6.5</v>
      </c>
      <c r="D2064" s="2"/>
      <c r="E2064" s="31"/>
      <c r="G2064" s="43"/>
      <c r="H2064" s="2"/>
    </row>
    <row r="2065" spans="1:8">
      <c r="A2065" s="39">
        <v>4.2052124850425</v>
      </c>
      <c r="B2065" s="45">
        <v>7</v>
      </c>
      <c r="D2065" s="2"/>
      <c r="E2065" s="31"/>
      <c r="G2065" s="43"/>
      <c r="H2065" s="2"/>
    </row>
    <row r="2066" spans="1:8">
      <c r="A2066" s="39">
        <v>4.20493888363073</v>
      </c>
      <c r="B2066" s="45">
        <v>22</v>
      </c>
      <c r="D2066" s="2"/>
      <c r="E2066" s="31"/>
      <c r="G2066" s="43"/>
      <c r="H2066" s="2"/>
    </row>
    <row r="2067" spans="1:8">
      <c r="A2067" s="39">
        <v>4.20481817752003</v>
      </c>
      <c r="B2067" s="45">
        <v>1.4</v>
      </c>
      <c r="D2067" s="2"/>
      <c r="E2067" s="31"/>
      <c r="G2067" s="43"/>
      <c r="H2067" s="2"/>
    </row>
    <row r="2068" spans="1:8">
      <c r="A2068" s="39">
        <v>4.20448468779691</v>
      </c>
      <c r="B2068" s="45">
        <v>12.5</v>
      </c>
      <c r="D2068" s="2"/>
      <c r="E2068" s="31"/>
      <c r="G2068" s="43"/>
      <c r="H2068" s="2"/>
    </row>
    <row r="2069" spans="1:8">
      <c r="A2069" s="39">
        <v>4.20399244276568</v>
      </c>
      <c r="B2069" s="45">
        <v>6.5</v>
      </c>
      <c r="D2069" s="2"/>
      <c r="E2069" s="31"/>
      <c r="G2069" s="43"/>
      <c r="H2069" s="2"/>
    </row>
    <row r="2070" spans="1:8">
      <c r="A2070" s="39">
        <v>4.20375689055131</v>
      </c>
      <c r="B2070" s="45">
        <v>8</v>
      </c>
      <c r="D2070" s="2"/>
      <c r="E2070" s="31"/>
      <c r="G2070" s="43"/>
      <c r="H2070" s="2"/>
    </row>
    <row r="2071" spans="1:8">
      <c r="A2071" s="39">
        <v>4.20375689055131</v>
      </c>
      <c r="B2071" s="45">
        <v>8</v>
      </c>
      <c r="D2071" s="2"/>
      <c r="E2071" s="31"/>
      <c r="G2071" s="43"/>
      <c r="H2071" s="2"/>
    </row>
    <row r="2072" spans="1:8">
      <c r="A2072" s="39">
        <v>4.20350268752423</v>
      </c>
      <c r="B2072" s="45">
        <v>3.5</v>
      </c>
      <c r="D2072" s="2"/>
      <c r="E2072" s="31"/>
      <c r="G2072" s="43"/>
      <c r="H2072" s="2"/>
    </row>
    <row r="2073" spans="1:8">
      <c r="A2073" s="39">
        <v>4.20302909330572</v>
      </c>
      <c r="B2073" s="45">
        <v>6.6</v>
      </c>
      <c r="D2073" s="2"/>
      <c r="E2073" s="31"/>
      <c r="G2073" s="43"/>
      <c r="H2073" s="2"/>
    </row>
    <row r="2074" spans="1:8">
      <c r="A2074" s="39">
        <v>4.20263574594001</v>
      </c>
      <c r="B2074" s="45">
        <v>14.6</v>
      </c>
      <c r="D2074" s="2"/>
      <c r="E2074" s="31"/>
      <c r="G2074" s="43"/>
      <c r="H2074" s="2"/>
    </row>
    <row r="2075" spans="1:8">
      <c r="A2075" s="39">
        <v>4.20235696622696</v>
      </c>
      <c r="B2075" s="45">
        <v>3</v>
      </c>
      <c r="D2075" s="2"/>
      <c r="E2075" s="31"/>
      <c r="G2075" s="43"/>
      <c r="H2075" s="2"/>
    </row>
    <row r="2076" spans="1:8">
      <c r="A2076" s="39">
        <v>4.20135777403813</v>
      </c>
      <c r="B2076" s="45">
        <v>20</v>
      </c>
      <c r="D2076" s="2"/>
      <c r="E2076" s="31"/>
      <c r="G2076" s="43"/>
      <c r="H2076" s="2"/>
    </row>
    <row r="2077" spans="1:8">
      <c r="A2077" s="39">
        <v>4.20084570156893</v>
      </c>
      <c r="B2077" s="45">
        <v>16</v>
      </c>
      <c r="D2077" s="2"/>
      <c r="E2077" s="31"/>
      <c r="G2077" s="43"/>
      <c r="H2077" s="2"/>
    </row>
    <row r="2078" spans="1:8">
      <c r="A2078" s="39">
        <v>4.20084570156893</v>
      </c>
      <c r="B2078" s="45">
        <v>11.7</v>
      </c>
      <c r="D2078" s="2"/>
      <c r="E2078" s="31"/>
      <c r="G2078" s="43"/>
      <c r="H2078" s="2"/>
    </row>
    <row r="2079" spans="1:8">
      <c r="A2079" s="39">
        <v>4.20064155211961</v>
      </c>
      <c r="B2079" s="45">
        <v>12.8</v>
      </c>
      <c r="D2079" s="2"/>
      <c r="E2079" s="31"/>
      <c r="G2079" s="43"/>
      <c r="H2079" s="2"/>
    </row>
    <row r="2080" spans="1:8">
      <c r="A2080" s="39">
        <v>4.19945355076635</v>
      </c>
      <c r="B2080" s="45">
        <v>7.35</v>
      </c>
      <c r="D2080" s="2"/>
      <c r="E2080" s="31"/>
      <c r="G2080" s="43"/>
      <c r="H2080" s="2"/>
    </row>
    <row r="2081" spans="1:8">
      <c r="A2081" s="39">
        <v>4.19940283240044</v>
      </c>
      <c r="B2081" s="45">
        <v>8.5</v>
      </c>
      <c r="D2081" s="2"/>
      <c r="E2081" s="31"/>
      <c r="G2081" s="43"/>
      <c r="H2081" s="2"/>
    </row>
    <row r="2082" spans="1:8">
      <c r="A2082" s="39">
        <v>4.19940283240044</v>
      </c>
      <c r="B2082" s="45">
        <v>11.8</v>
      </c>
      <c r="D2082" s="2"/>
      <c r="E2082" s="31"/>
      <c r="G2082" s="43"/>
      <c r="H2082" s="2"/>
    </row>
    <row r="2083" spans="1:8">
      <c r="A2083" s="39">
        <v>4.1992796274255</v>
      </c>
      <c r="B2083" s="45">
        <v>5</v>
      </c>
      <c r="D2083" s="2"/>
      <c r="E2083" s="31"/>
      <c r="G2083" s="43"/>
      <c r="H2083" s="2"/>
    </row>
    <row r="2084" spans="1:8">
      <c r="A2084" s="39">
        <v>4.19793451258656</v>
      </c>
      <c r="B2084" s="45">
        <v>1</v>
      </c>
      <c r="D2084" s="2"/>
      <c r="E2084" s="31"/>
      <c r="G2084" s="43"/>
      <c r="H2084" s="2"/>
    </row>
    <row r="2085" spans="1:8">
      <c r="A2085" s="39">
        <v>4.19760398775174</v>
      </c>
      <c r="B2085" s="45">
        <v>18</v>
      </c>
      <c r="D2085" s="2"/>
      <c r="E2085" s="31"/>
      <c r="G2085" s="43"/>
      <c r="H2085" s="2"/>
    </row>
    <row r="2086" spans="1:8">
      <c r="A2086" s="39">
        <v>4.19706044252701</v>
      </c>
      <c r="B2086" s="45">
        <v>8.5</v>
      </c>
      <c r="D2086" s="2"/>
      <c r="E2086" s="31"/>
      <c r="G2086" s="43"/>
      <c r="H2086" s="2"/>
    </row>
    <row r="2087" spans="1:8">
      <c r="A2087" s="39">
        <v>4.19668824291943</v>
      </c>
      <c r="B2087" s="45">
        <v>6.7</v>
      </c>
      <c r="D2087" s="2"/>
      <c r="E2087" s="31"/>
      <c r="G2087" s="43"/>
      <c r="H2087" s="2"/>
    </row>
    <row r="2088" spans="1:8">
      <c r="A2088" s="39">
        <v>4.19657063070861</v>
      </c>
      <c r="B2088" s="45">
        <v>7.8</v>
      </c>
      <c r="D2088" s="2"/>
      <c r="E2088" s="31"/>
      <c r="G2088" s="43"/>
      <c r="H2088" s="2"/>
    </row>
    <row r="2089" spans="1:8">
      <c r="A2089" s="39">
        <v>4.1958150600721</v>
      </c>
      <c r="B2089" s="45">
        <v>4.4</v>
      </c>
      <c r="D2089" s="2"/>
      <c r="E2089" s="31"/>
      <c r="G2089" s="43"/>
      <c r="H2089" s="2"/>
    </row>
    <row r="2090" spans="1:8">
      <c r="A2090" s="39">
        <v>4.19534163992154</v>
      </c>
      <c r="B2090" s="45">
        <v>10.6</v>
      </c>
      <c r="D2090" s="2"/>
      <c r="E2090" s="31"/>
      <c r="G2090" s="43"/>
      <c r="H2090" s="2"/>
    </row>
    <row r="2091" spans="1:8">
      <c r="A2091" s="39">
        <v>4.19429552635859</v>
      </c>
      <c r="B2091" s="45">
        <v>18.5</v>
      </c>
      <c r="D2091" s="2"/>
      <c r="E2091" s="31"/>
      <c r="G2091" s="43"/>
      <c r="H2091" s="2"/>
    </row>
    <row r="2092" spans="1:8">
      <c r="A2092" s="39">
        <v>4.19419555485293</v>
      </c>
      <c r="B2092" s="45">
        <v>10</v>
      </c>
      <c r="D2092" s="2"/>
      <c r="E2092" s="31"/>
      <c r="G2092" s="43"/>
      <c r="H2092" s="2"/>
    </row>
    <row r="2093" spans="1:8">
      <c r="A2093" s="39">
        <v>4.19356772911299</v>
      </c>
      <c r="B2093" s="45">
        <v>15</v>
      </c>
      <c r="D2093" s="2"/>
      <c r="E2093" s="31"/>
      <c r="G2093" s="43"/>
      <c r="H2093" s="2"/>
    </row>
    <row r="2094" spans="1:8">
      <c r="A2094" s="39">
        <v>4.19176576394572</v>
      </c>
      <c r="B2094" s="45">
        <v>0.8</v>
      </c>
      <c r="D2094" s="2"/>
      <c r="E2094" s="31"/>
      <c r="G2094" s="43"/>
      <c r="H2094" s="2"/>
    </row>
    <row r="2095" spans="1:8">
      <c r="A2095" s="39">
        <v>4.19061444526033</v>
      </c>
      <c r="B2095" s="45">
        <v>8.9</v>
      </c>
      <c r="D2095" s="2"/>
      <c r="E2095" s="31"/>
      <c r="G2095" s="43"/>
      <c r="H2095" s="2"/>
    </row>
    <row r="2096" spans="1:8">
      <c r="A2096" s="39">
        <v>4.19026863365318</v>
      </c>
      <c r="B2096" s="45">
        <v>12.5</v>
      </c>
      <c r="D2096" s="2"/>
      <c r="E2096" s="31"/>
      <c r="G2096" s="43"/>
      <c r="H2096" s="2"/>
    </row>
    <row r="2097" spans="1:8">
      <c r="A2097" s="39">
        <v>4.18992874288502</v>
      </c>
      <c r="B2097" s="45">
        <v>2.8</v>
      </c>
      <c r="D2097" s="2"/>
      <c r="E2097" s="31"/>
      <c r="G2097" s="43"/>
      <c r="H2097" s="2"/>
    </row>
    <row r="2098" spans="1:8">
      <c r="A2098" s="39">
        <v>4.18984381724056</v>
      </c>
      <c r="B2098" s="45">
        <v>1.3</v>
      </c>
      <c r="D2098" s="2"/>
      <c r="E2098" s="31"/>
      <c r="G2098" s="43"/>
      <c r="H2098" s="2"/>
    </row>
    <row r="2099" spans="1:8">
      <c r="A2099" s="39">
        <v>4.18984381724056</v>
      </c>
      <c r="B2099" s="45">
        <v>7</v>
      </c>
      <c r="D2099" s="2"/>
      <c r="E2099" s="31"/>
      <c r="G2099" s="43"/>
      <c r="H2099" s="2"/>
    </row>
    <row r="2100" spans="1:8">
      <c r="A2100" s="39">
        <v>4.18984381724056</v>
      </c>
      <c r="B2100" s="45">
        <v>2.5</v>
      </c>
      <c r="D2100" s="2"/>
      <c r="E2100" s="31"/>
      <c r="G2100" s="43"/>
      <c r="H2100" s="2"/>
    </row>
    <row r="2101" spans="1:8">
      <c r="A2101" s="39">
        <v>4.18954115645984</v>
      </c>
      <c r="B2101" s="45">
        <v>7.2</v>
      </c>
      <c r="D2101" s="2"/>
      <c r="E2101" s="31"/>
      <c r="G2101" s="43"/>
      <c r="H2101" s="2"/>
    </row>
    <row r="2102" spans="1:8">
      <c r="A2102" s="39">
        <v>4.18954115645984</v>
      </c>
      <c r="B2102" s="45">
        <v>10.8</v>
      </c>
      <c r="D2102" s="2"/>
      <c r="E2102" s="31"/>
      <c r="G2102" s="43"/>
      <c r="H2102" s="2"/>
    </row>
    <row r="2103" spans="1:8">
      <c r="A2103" s="39">
        <v>4.18942767433982</v>
      </c>
      <c r="B2103" s="45">
        <v>13.2</v>
      </c>
      <c r="D2103" s="2"/>
      <c r="E2103" s="31"/>
      <c r="G2103" s="43"/>
      <c r="H2103" s="2"/>
    </row>
    <row r="2104" spans="1:8">
      <c r="A2104" s="39">
        <v>4.18920094563943</v>
      </c>
      <c r="B2104" s="45">
        <v>12</v>
      </c>
      <c r="D2104" s="2"/>
      <c r="E2104" s="31"/>
      <c r="G2104" s="43"/>
      <c r="H2104" s="2"/>
    </row>
    <row r="2105" spans="1:8">
      <c r="A2105" s="39">
        <v>4.18882585688174</v>
      </c>
      <c r="B2105" s="45">
        <v>5.4</v>
      </c>
      <c r="D2105" s="2"/>
      <c r="E2105" s="31"/>
      <c r="G2105" s="43"/>
      <c r="H2105" s="2"/>
    </row>
    <row r="2106" spans="1:8">
      <c r="A2106" s="39">
        <v>4.1887239236806</v>
      </c>
      <c r="B2106" s="45">
        <v>22</v>
      </c>
      <c r="D2106" s="2"/>
      <c r="E2106" s="31"/>
      <c r="G2106" s="43"/>
      <c r="H2106" s="2"/>
    </row>
    <row r="2107" spans="1:8">
      <c r="A2107" s="39">
        <v>4.18860976450822</v>
      </c>
      <c r="B2107" s="45">
        <v>10.9</v>
      </c>
      <c r="D2107" s="2"/>
      <c r="E2107" s="31"/>
      <c r="G2107" s="43"/>
      <c r="H2107" s="2"/>
    </row>
    <row r="2108" spans="1:8">
      <c r="A2108" s="39">
        <v>4.18860976450822</v>
      </c>
      <c r="B2108" s="45">
        <v>10</v>
      </c>
      <c r="D2108" s="2"/>
      <c r="E2108" s="31"/>
      <c r="G2108" s="43"/>
      <c r="H2108" s="2"/>
    </row>
    <row r="2109" spans="1:8">
      <c r="A2109" s="39">
        <v>4.18731642236216</v>
      </c>
      <c r="B2109" s="45">
        <v>3</v>
      </c>
      <c r="D2109" s="2"/>
      <c r="E2109" s="31"/>
      <c r="G2109" s="43"/>
      <c r="H2109" s="2"/>
    </row>
    <row r="2110" spans="1:8">
      <c r="A2110" s="39">
        <v>4.18631711374921</v>
      </c>
      <c r="B2110" s="45">
        <v>12</v>
      </c>
      <c r="D2110" s="2"/>
      <c r="E2110" s="31"/>
      <c r="G2110" s="43"/>
      <c r="H2110" s="2"/>
    </row>
    <row r="2111" spans="1:8">
      <c r="A2111" s="39">
        <v>4.18628975665705</v>
      </c>
      <c r="B2111" s="45">
        <v>15</v>
      </c>
      <c r="D2111" s="2"/>
      <c r="E2111" s="31"/>
      <c r="G2111" s="43"/>
      <c r="H2111" s="2"/>
    </row>
    <row r="2112" spans="1:8">
      <c r="A2112" s="39">
        <v>4.18628975665705</v>
      </c>
      <c r="B2112" s="45">
        <v>11.9</v>
      </c>
      <c r="D2112" s="2"/>
      <c r="E2112" s="31"/>
      <c r="G2112" s="43"/>
      <c r="H2112" s="2"/>
    </row>
    <row r="2113" spans="1:8">
      <c r="A2113" s="39">
        <v>4.18590892104371</v>
      </c>
      <c r="B2113" s="45">
        <v>16.5</v>
      </c>
      <c r="D2113" s="2"/>
      <c r="E2113" s="31"/>
      <c r="G2113" s="43"/>
      <c r="H2113" s="2"/>
    </row>
    <row r="2114" spans="1:8">
      <c r="A2114" s="39">
        <v>4.18556195941146</v>
      </c>
      <c r="B2114" s="45">
        <v>22</v>
      </c>
      <c r="D2114" s="2"/>
      <c r="E2114" s="31"/>
      <c r="G2114" s="43"/>
      <c r="H2114" s="2"/>
    </row>
    <row r="2115" spans="1:8">
      <c r="A2115" s="39">
        <v>4.18554003189646</v>
      </c>
      <c r="B2115" s="45">
        <v>9.2</v>
      </c>
      <c r="D2115" s="2"/>
      <c r="E2115" s="31"/>
      <c r="G2115" s="43"/>
      <c r="H2115" s="2"/>
    </row>
    <row r="2116" spans="1:8">
      <c r="A2116" s="39">
        <v>4.18518446257046</v>
      </c>
      <c r="B2116" s="45">
        <v>6.5</v>
      </c>
      <c r="D2116" s="2"/>
      <c r="E2116" s="31"/>
      <c r="G2116" s="43"/>
      <c r="H2116" s="2"/>
    </row>
    <row r="2117" spans="1:8">
      <c r="A2117" s="39">
        <v>4.18450141972527</v>
      </c>
      <c r="B2117" s="45">
        <v>10</v>
      </c>
      <c r="D2117" s="2"/>
      <c r="E2117" s="31"/>
      <c r="G2117" s="43"/>
      <c r="H2117" s="2"/>
    </row>
    <row r="2118" spans="1:8">
      <c r="A2118" s="39">
        <v>4.1837213389131</v>
      </c>
      <c r="B2118" s="45">
        <v>15.5</v>
      </c>
      <c r="D2118" s="2"/>
      <c r="E2118" s="31"/>
      <c r="G2118" s="43"/>
      <c r="H2118" s="2"/>
    </row>
    <row r="2119" spans="1:8">
      <c r="A2119" s="39">
        <v>4.18265077042908</v>
      </c>
      <c r="B2119" s="45">
        <v>28</v>
      </c>
      <c r="D2119" s="2"/>
      <c r="E2119" s="31"/>
      <c r="G2119" s="43"/>
      <c r="H2119" s="2"/>
    </row>
    <row r="2120" spans="1:8">
      <c r="A2120" s="39">
        <v>4.18265077042908</v>
      </c>
      <c r="B2120" s="45">
        <v>9</v>
      </c>
      <c r="D2120" s="2"/>
      <c r="E2120" s="31"/>
      <c r="G2120" s="43"/>
      <c r="H2120" s="2"/>
    </row>
    <row r="2121" spans="1:8">
      <c r="A2121" s="39">
        <v>4.1825489114416</v>
      </c>
      <c r="B2121" s="45">
        <v>7.9</v>
      </c>
      <c r="D2121" s="2"/>
      <c r="E2121" s="31"/>
      <c r="G2121" s="43"/>
      <c r="H2121" s="2"/>
    </row>
    <row r="2122" spans="1:8">
      <c r="A2122" s="39">
        <v>4.1825489114416</v>
      </c>
      <c r="B2122" s="45">
        <v>13.5</v>
      </c>
      <c r="D2122" s="2"/>
      <c r="E2122" s="31"/>
      <c r="G2122" s="43"/>
      <c r="H2122" s="2"/>
    </row>
    <row r="2123" spans="1:8">
      <c r="A2123" s="39">
        <v>4.18187560994266</v>
      </c>
      <c r="B2123" s="45">
        <v>10.85</v>
      </c>
      <c r="D2123" s="2"/>
      <c r="E2123" s="31"/>
      <c r="G2123" s="43"/>
      <c r="H2123" s="2"/>
    </row>
    <row r="2124" spans="1:8">
      <c r="A2124" s="39">
        <v>4.18150821750112</v>
      </c>
      <c r="B2124" s="45">
        <v>3.7</v>
      </c>
      <c r="D2124" s="2"/>
      <c r="E2124" s="31"/>
      <c r="G2124" s="43"/>
      <c r="H2124" s="2"/>
    </row>
    <row r="2125" spans="1:8">
      <c r="A2125" s="39">
        <v>4.18120230844371</v>
      </c>
      <c r="B2125" s="45">
        <v>8.5</v>
      </c>
      <c r="D2125" s="2"/>
      <c r="E2125" s="31"/>
      <c r="G2125" s="43"/>
      <c r="H2125" s="2"/>
    </row>
    <row r="2126" spans="1:8">
      <c r="A2126" s="39">
        <v>4.18051496358905</v>
      </c>
      <c r="B2126" s="45">
        <v>4</v>
      </c>
      <c r="D2126" s="2"/>
      <c r="E2126" s="31"/>
      <c r="G2126" s="43"/>
      <c r="H2126" s="2"/>
    </row>
    <row r="2127" spans="1:8">
      <c r="A2127" s="39">
        <v>4.18027803295431</v>
      </c>
      <c r="B2127" s="45">
        <v>4</v>
      </c>
      <c r="D2127" s="2"/>
      <c r="E2127" s="31"/>
      <c r="G2127" s="43"/>
      <c r="H2127" s="2"/>
    </row>
    <row r="2128" spans="1:8">
      <c r="A2128" s="39">
        <v>4.18027803295431</v>
      </c>
      <c r="B2128" s="45">
        <v>3</v>
      </c>
      <c r="D2128" s="2"/>
      <c r="E2128" s="31"/>
      <c r="G2128" s="43"/>
      <c r="H2128" s="2"/>
    </row>
    <row r="2129" spans="1:8">
      <c r="A2129" s="39">
        <v>4.18027803295431</v>
      </c>
      <c r="B2129" s="45">
        <v>5.5</v>
      </c>
      <c r="D2129" s="2"/>
      <c r="E2129" s="31"/>
      <c r="G2129" s="43"/>
      <c r="H2129" s="2"/>
    </row>
    <row r="2130" spans="1:8">
      <c r="A2130" s="39">
        <v>4.17961554126469</v>
      </c>
      <c r="B2130" s="45">
        <v>11.3</v>
      </c>
      <c r="D2130" s="2"/>
      <c r="E2130" s="31"/>
      <c r="G2130" s="43"/>
      <c r="H2130" s="2"/>
    </row>
    <row r="2131" spans="1:8">
      <c r="A2131" s="39">
        <v>4.17946029468496</v>
      </c>
      <c r="B2131" s="45">
        <v>3.7</v>
      </c>
      <c r="D2131" s="2"/>
      <c r="E2131" s="31"/>
      <c r="G2131" s="43"/>
      <c r="H2131" s="2"/>
    </row>
    <row r="2132" spans="1:8">
      <c r="A2132" s="39">
        <v>4.1786289985597</v>
      </c>
      <c r="B2132" s="45">
        <v>12.2</v>
      </c>
      <c r="D2132" s="2"/>
      <c r="E2132" s="31"/>
      <c r="G2132" s="43"/>
      <c r="H2132" s="2"/>
    </row>
    <row r="2133" spans="1:8">
      <c r="A2133" s="39">
        <v>4.17837208633799</v>
      </c>
      <c r="B2133" s="45">
        <v>5.2</v>
      </c>
      <c r="D2133" s="2"/>
      <c r="E2133" s="31"/>
      <c r="G2133" s="43"/>
      <c r="H2133" s="2"/>
    </row>
    <row r="2134" spans="1:8">
      <c r="A2134" s="39">
        <v>4.17816766379229</v>
      </c>
      <c r="B2134" s="45">
        <v>7.5</v>
      </c>
      <c r="D2134" s="2"/>
      <c r="E2134" s="31"/>
      <c r="G2134" s="43"/>
      <c r="H2134" s="2"/>
    </row>
    <row r="2135" spans="1:8">
      <c r="A2135" s="39">
        <v>4.17746391313307</v>
      </c>
      <c r="B2135" s="45">
        <v>21</v>
      </c>
      <c r="D2135" s="2"/>
      <c r="E2135" s="31"/>
      <c r="G2135" s="43"/>
      <c r="H2135" s="2"/>
    </row>
    <row r="2136" spans="1:8">
      <c r="A2136" s="39">
        <v>4.17732670928362</v>
      </c>
      <c r="B2136" s="45">
        <v>15.2</v>
      </c>
      <c r="D2136" s="2"/>
      <c r="E2136" s="31"/>
      <c r="G2136" s="43"/>
      <c r="H2136" s="2"/>
    </row>
    <row r="2137" spans="1:8">
      <c r="A2137" s="39">
        <v>4.17691727429164</v>
      </c>
      <c r="B2137" s="45">
        <v>2.5</v>
      </c>
      <c r="D2137" s="2"/>
      <c r="E2137" s="31"/>
      <c r="G2137" s="43"/>
      <c r="H2137" s="2"/>
    </row>
    <row r="2138" spans="1:8">
      <c r="A2138" s="39">
        <v>4.17644656697967</v>
      </c>
      <c r="B2138" s="45">
        <v>7.6</v>
      </c>
      <c r="D2138" s="2"/>
      <c r="E2138" s="31"/>
      <c r="G2138" s="43"/>
      <c r="H2138" s="2"/>
    </row>
    <row r="2139" spans="1:8">
      <c r="A2139" s="39">
        <v>4.17629000688993</v>
      </c>
      <c r="B2139" s="45">
        <v>8.5</v>
      </c>
      <c r="D2139" s="2"/>
      <c r="E2139" s="31"/>
      <c r="G2139" s="43"/>
      <c r="H2139" s="2"/>
    </row>
    <row r="2140" spans="1:8">
      <c r="A2140" s="39">
        <v>4.17542921695189</v>
      </c>
      <c r="B2140" s="45">
        <v>8.5</v>
      </c>
      <c r="D2140" s="2"/>
      <c r="E2140" s="31"/>
      <c r="G2140" s="43"/>
      <c r="H2140" s="2"/>
    </row>
    <row r="2141" spans="1:8">
      <c r="A2141" s="39">
        <v>4.17537279797314</v>
      </c>
      <c r="B2141" s="45">
        <v>7</v>
      </c>
      <c r="D2141" s="2"/>
      <c r="E2141" s="31"/>
      <c r="G2141" s="43"/>
      <c r="H2141" s="2"/>
    </row>
    <row r="2142" spans="1:8">
      <c r="A2142" s="39">
        <v>4.17537279797314</v>
      </c>
      <c r="B2142" s="45">
        <v>1</v>
      </c>
      <c r="D2142" s="2"/>
      <c r="E2142" s="31"/>
      <c r="G2142" s="43"/>
      <c r="H2142" s="2"/>
    </row>
    <row r="2143" spans="1:8">
      <c r="A2143" s="39">
        <v>4.17537279797314</v>
      </c>
      <c r="B2143" s="45">
        <v>12</v>
      </c>
      <c r="D2143" s="2"/>
      <c r="E2143" s="31"/>
      <c r="G2143" s="43"/>
      <c r="H2143" s="2"/>
    </row>
    <row r="2144" spans="1:8">
      <c r="A2144" s="39">
        <v>4.17485756305289</v>
      </c>
      <c r="B2144" s="45">
        <v>12.5</v>
      </c>
      <c r="D2144" s="2"/>
      <c r="E2144" s="31"/>
      <c r="G2144" s="43"/>
      <c r="H2144" s="2"/>
    </row>
    <row r="2145" spans="1:8">
      <c r="A2145" s="39">
        <v>4.17464891049619</v>
      </c>
      <c r="B2145" s="45">
        <v>19</v>
      </c>
      <c r="D2145" s="2"/>
      <c r="E2145" s="31"/>
      <c r="G2145" s="43"/>
      <c r="H2145" s="2"/>
    </row>
    <row r="2146" spans="1:8">
      <c r="A2146" s="39">
        <v>4.17464891049619</v>
      </c>
      <c r="B2146" s="45">
        <v>12.5</v>
      </c>
      <c r="D2146" s="2"/>
      <c r="E2146" s="31"/>
      <c r="G2146" s="43"/>
      <c r="H2146" s="2"/>
    </row>
    <row r="2147" spans="1:8">
      <c r="A2147" s="39">
        <v>4.17446929345427</v>
      </c>
      <c r="B2147" s="45">
        <v>13</v>
      </c>
      <c r="D2147" s="2"/>
      <c r="E2147" s="31"/>
      <c r="G2147" s="43"/>
      <c r="H2147" s="2"/>
    </row>
    <row r="2148" spans="1:8">
      <c r="A2148" s="39">
        <v>4.17421900731858</v>
      </c>
      <c r="B2148" s="45">
        <v>10.5</v>
      </c>
      <c r="D2148" s="2"/>
      <c r="E2148" s="31"/>
      <c r="G2148" s="43"/>
      <c r="H2148" s="2"/>
    </row>
    <row r="2149" spans="1:8">
      <c r="A2149" s="39">
        <v>4.17419057812049</v>
      </c>
      <c r="B2149" s="45">
        <v>8.3</v>
      </c>
      <c r="D2149" s="2"/>
      <c r="E2149" s="31"/>
      <c r="G2149" s="43"/>
      <c r="H2149" s="2"/>
    </row>
    <row r="2150" spans="1:8">
      <c r="A2150" s="39">
        <v>4.17314520106612</v>
      </c>
      <c r="B2150" s="45">
        <v>4.2</v>
      </c>
      <c r="D2150" s="2"/>
      <c r="E2150" s="31"/>
      <c r="G2150" s="43"/>
      <c r="H2150" s="2"/>
    </row>
    <row r="2151" spans="1:8">
      <c r="A2151" s="39">
        <v>4.17312269045638</v>
      </c>
      <c r="B2151" s="45">
        <v>9.5</v>
      </c>
      <c r="D2151" s="2"/>
      <c r="E2151" s="31"/>
      <c r="G2151" s="43"/>
      <c r="H2151" s="2"/>
    </row>
    <row r="2152" spans="1:8">
      <c r="A2152" s="39">
        <v>4.17312269045638</v>
      </c>
      <c r="B2152" s="45">
        <v>9.2</v>
      </c>
      <c r="D2152" s="2"/>
      <c r="E2152" s="31"/>
      <c r="G2152" s="43"/>
      <c r="H2152" s="2"/>
    </row>
    <row r="2153" spans="1:8">
      <c r="A2153" s="39">
        <v>4.17280918101296</v>
      </c>
      <c r="B2153" s="45">
        <v>4</v>
      </c>
      <c r="D2153" s="2"/>
      <c r="E2153" s="31"/>
      <c r="G2153" s="43"/>
      <c r="H2153" s="2"/>
    </row>
    <row r="2154" spans="1:8">
      <c r="A2154" s="39">
        <v>4.17210065026074</v>
      </c>
      <c r="B2154" s="45">
        <v>12</v>
      </c>
      <c r="D2154" s="2"/>
      <c r="E2154" s="31"/>
      <c r="G2154" s="43"/>
      <c r="H2154" s="2"/>
    </row>
    <row r="2155" spans="1:8">
      <c r="A2155" s="39">
        <v>4.17209982401174</v>
      </c>
      <c r="B2155" s="45">
        <v>5</v>
      </c>
      <c r="D2155" s="2"/>
      <c r="E2155" s="31"/>
      <c r="G2155" s="43"/>
      <c r="H2155" s="2"/>
    </row>
    <row r="2156" spans="1:8">
      <c r="A2156" s="39">
        <v>4.17199267537881</v>
      </c>
      <c r="B2156" s="45">
        <v>11.6</v>
      </c>
      <c r="D2156" s="2"/>
      <c r="E2156" s="31"/>
      <c r="G2156" s="43"/>
      <c r="H2156" s="2"/>
    </row>
    <row r="2157" spans="1:8">
      <c r="A2157" s="39">
        <v>4.1718339078593</v>
      </c>
      <c r="B2157" s="45">
        <v>15.5</v>
      </c>
      <c r="D2157" s="2"/>
      <c r="E2157" s="31"/>
      <c r="G2157" s="43"/>
      <c r="H2157" s="2"/>
    </row>
    <row r="2158" spans="1:8">
      <c r="A2158" s="39">
        <v>4.17127645346029</v>
      </c>
      <c r="B2158" s="45">
        <v>9</v>
      </c>
      <c r="D2158" s="2"/>
      <c r="E2158" s="31"/>
      <c r="G2158" s="43"/>
      <c r="H2158" s="2"/>
    </row>
    <row r="2159" spans="1:8">
      <c r="A2159" s="39">
        <v>4.17113015720008</v>
      </c>
      <c r="B2159" s="45">
        <v>9.5</v>
      </c>
      <c r="D2159" s="2"/>
      <c r="E2159" s="31"/>
      <c r="G2159" s="43"/>
      <c r="H2159" s="2"/>
    </row>
    <row r="2160" spans="1:8">
      <c r="A2160" s="39">
        <v>4.17105444695736</v>
      </c>
      <c r="B2160" s="45">
        <v>4.9</v>
      </c>
      <c r="D2160" s="2"/>
      <c r="E2160" s="31"/>
      <c r="G2160" s="43"/>
      <c r="H2160" s="2"/>
    </row>
    <row r="2161" spans="1:8">
      <c r="A2161" s="39">
        <v>4.17027821725398</v>
      </c>
      <c r="B2161" s="45">
        <v>11.5</v>
      </c>
      <c r="D2161" s="2"/>
      <c r="E2161" s="31"/>
      <c r="G2161" s="43"/>
      <c r="H2161" s="2"/>
    </row>
    <row r="2162" spans="1:8">
      <c r="A2162" s="39">
        <v>4.17027821725398</v>
      </c>
      <c r="B2162" s="45">
        <v>11.3</v>
      </c>
      <c r="D2162" s="2"/>
      <c r="E2162" s="31"/>
      <c r="G2162" s="43"/>
      <c r="H2162" s="2"/>
    </row>
    <row r="2163" spans="1:8">
      <c r="A2163" s="39">
        <v>4.17027821725398</v>
      </c>
      <c r="B2163" s="45">
        <v>11.4</v>
      </c>
      <c r="D2163" s="2"/>
      <c r="E2163" s="31"/>
      <c r="G2163" s="43"/>
      <c r="H2163" s="2"/>
    </row>
    <row r="2164" spans="1:8">
      <c r="A2164" s="39">
        <v>4.17027821725398</v>
      </c>
      <c r="B2164" s="45">
        <v>3</v>
      </c>
      <c r="D2164" s="2"/>
      <c r="E2164" s="31"/>
      <c r="G2164" s="43"/>
      <c r="H2164" s="2"/>
    </row>
    <row r="2165" spans="1:8">
      <c r="A2165" s="39">
        <v>4.16974737567732</v>
      </c>
      <c r="B2165" s="45">
        <v>2</v>
      </c>
      <c r="D2165" s="2"/>
      <c r="E2165" s="31"/>
      <c r="G2165" s="43"/>
      <c r="H2165" s="2"/>
    </row>
    <row r="2166" spans="1:8">
      <c r="A2166" s="39">
        <v>4.16955042000839</v>
      </c>
      <c r="B2166" s="45">
        <v>7</v>
      </c>
      <c r="D2166" s="2"/>
      <c r="E2166" s="31"/>
      <c r="G2166" s="43"/>
      <c r="H2166" s="2"/>
    </row>
    <row r="2167" spans="1:8">
      <c r="A2167" s="39">
        <v>4.16917179504625</v>
      </c>
      <c r="B2167" s="45">
        <v>11</v>
      </c>
      <c r="D2167" s="2"/>
      <c r="E2167" s="31"/>
      <c r="G2167" s="43"/>
      <c r="H2167" s="2"/>
    </row>
    <row r="2168" spans="1:8">
      <c r="A2168" s="39">
        <v>4.16912778770473</v>
      </c>
      <c r="B2168" s="45">
        <v>2</v>
      </c>
      <c r="D2168" s="2"/>
      <c r="E2168" s="31"/>
      <c r="G2168" s="43"/>
      <c r="H2168" s="2"/>
    </row>
    <row r="2169" spans="1:8">
      <c r="A2169" s="39">
        <v>4.16882969718331</v>
      </c>
      <c r="B2169" s="45">
        <v>5.8</v>
      </c>
      <c r="D2169" s="2"/>
      <c r="E2169" s="31"/>
      <c r="G2169" s="43"/>
      <c r="H2169" s="2"/>
    </row>
    <row r="2170" spans="1:8">
      <c r="A2170" s="39">
        <v>4.1680948255172</v>
      </c>
      <c r="B2170" s="45">
        <v>22</v>
      </c>
      <c r="D2170" s="2"/>
      <c r="E2170" s="31"/>
      <c r="G2170" s="43"/>
      <c r="H2170" s="2"/>
    </row>
    <row r="2171" spans="1:8">
      <c r="A2171" s="39">
        <v>4.16805345482695</v>
      </c>
      <c r="B2171" s="45">
        <v>7</v>
      </c>
      <c r="D2171" s="2"/>
      <c r="E2171" s="31"/>
      <c r="G2171" s="43"/>
      <c r="H2171" s="2"/>
    </row>
    <row r="2172" spans="1:8">
      <c r="A2172" s="39">
        <v>4.16736702827161</v>
      </c>
      <c r="B2172" s="45">
        <v>1</v>
      </c>
      <c r="D2172" s="2"/>
      <c r="E2172" s="31"/>
      <c r="G2172" s="43"/>
      <c r="H2172" s="2"/>
    </row>
    <row r="2173" spans="1:8">
      <c r="A2173" s="39">
        <v>4.16678045677869</v>
      </c>
      <c r="B2173" s="45">
        <v>2</v>
      </c>
      <c r="D2173" s="2"/>
      <c r="E2173" s="31"/>
      <c r="G2173" s="43"/>
      <c r="H2173" s="2"/>
    </row>
    <row r="2174" spans="1:8">
      <c r="A2174" s="39">
        <v>4.16663923102601</v>
      </c>
      <c r="B2174" s="45">
        <v>1</v>
      </c>
      <c r="D2174" s="2"/>
      <c r="E2174" s="31"/>
      <c r="G2174" s="43"/>
      <c r="H2174" s="2"/>
    </row>
    <row r="2175" spans="1:8">
      <c r="A2175" s="39">
        <v>4.16581948342611</v>
      </c>
      <c r="B2175" s="45">
        <v>3.7</v>
      </c>
      <c r="D2175" s="2"/>
      <c r="E2175" s="31"/>
      <c r="G2175" s="43"/>
      <c r="H2175" s="2"/>
    </row>
    <row r="2176" spans="1:8">
      <c r="A2176" s="39">
        <v>4.16474100583653</v>
      </c>
      <c r="B2176" s="45">
        <v>10.3</v>
      </c>
      <c r="D2176" s="2"/>
      <c r="E2176" s="31"/>
      <c r="G2176" s="43"/>
      <c r="H2176" s="2"/>
    </row>
    <row r="2177" spans="1:8">
      <c r="A2177" s="39">
        <v>4.16445583928923</v>
      </c>
      <c r="B2177" s="45">
        <v>12</v>
      </c>
      <c r="D2177" s="2"/>
      <c r="E2177" s="31"/>
      <c r="G2177" s="43"/>
      <c r="H2177" s="2"/>
    </row>
    <row r="2178" spans="1:8">
      <c r="A2178" s="39">
        <v>4.16445583928923</v>
      </c>
      <c r="B2178" s="45">
        <v>12</v>
      </c>
      <c r="D2178" s="2"/>
      <c r="E2178" s="31"/>
      <c r="G2178" s="43"/>
      <c r="H2178" s="2"/>
    </row>
    <row r="2179" spans="1:8">
      <c r="A2179" s="39">
        <v>4.16371571609618</v>
      </c>
      <c r="B2179" s="45">
        <v>9.5</v>
      </c>
      <c r="D2179" s="2"/>
      <c r="E2179" s="31"/>
      <c r="G2179" s="43"/>
      <c r="H2179" s="2"/>
    </row>
    <row r="2180" spans="1:8">
      <c r="A2180" s="39">
        <v>4.16293656336838</v>
      </c>
      <c r="B2180" s="45">
        <v>4</v>
      </c>
      <c r="D2180" s="2"/>
      <c r="E2180" s="31"/>
      <c r="G2180" s="43"/>
      <c r="H2180" s="2"/>
    </row>
    <row r="2181" spans="1:8">
      <c r="A2181" s="39">
        <v>4.16269143052236</v>
      </c>
      <c r="B2181" s="45">
        <v>8.4</v>
      </c>
      <c r="D2181" s="2"/>
      <c r="E2181" s="31"/>
      <c r="G2181" s="43"/>
      <c r="H2181" s="2"/>
    </row>
    <row r="2182" spans="1:8">
      <c r="A2182" s="39">
        <v>4.16269143052236</v>
      </c>
      <c r="B2182" s="45">
        <v>10</v>
      </c>
      <c r="D2182" s="2"/>
      <c r="E2182" s="31"/>
      <c r="G2182" s="43"/>
      <c r="H2182" s="2"/>
    </row>
    <row r="2183" spans="1:8">
      <c r="A2183" s="39">
        <v>4.16196556851953</v>
      </c>
      <c r="B2183" s="45">
        <v>15</v>
      </c>
      <c r="D2183" s="2"/>
      <c r="E2183" s="31"/>
      <c r="G2183" s="43"/>
      <c r="H2183" s="2"/>
    </row>
    <row r="2184" spans="1:8">
      <c r="A2184" s="39">
        <v>4.16196556851953</v>
      </c>
      <c r="B2184" s="45">
        <v>15.2</v>
      </c>
      <c r="D2184" s="2"/>
      <c r="E2184" s="31"/>
      <c r="G2184" s="43"/>
      <c r="H2184" s="2"/>
    </row>
    <row r="2185" spans="1:8">
      <c r="A2185" s="39">
        <v>4.16189702311282</v>
      </c>
      <c r="B2185" s="45">
        <v>30</v>
      </c>
      <c r="D2185" s="2"/>
      <c r="E2185" s="31"/>
      <c r="G2185" s="43"/>
      <c r="H2185" s="2"/>
    </row>
    <row r="2186" spans="1:8">
      <c r="A2186" s="39">
        <v>4.16164605346799</v>
      </c>
      <c r="B2186" s="45">
        <v>5.4</v>
      </c>
      <c r="D2186" s="2"/>
      <c r="E2186" s="31"/>
      <c r="G2186" s="43"/>
      <c r="H2186" s="2"/>
    </row>
    <row r="2187" spans="1:8">
      <c r="A2187" s="39">
        <v>4.16162709477765</v>
      </c>
      <c r="B2187" s="45">
        <v>10.5</v>
      </c>
      <c r="D2187" s="2"/>
      <c r="E2187" s="31"/>
      <c r="G2187" s="43"/>
      <c r="H2187" s="2"/>
    </row>
    <row r="2188" spans="1:8">
      <c r="A2188" s="39">
        <v>4.1614700527591</v>
      </c>
      <c r="B2188" s="45">
        <v>8.2</v>
      </c>
      <c r="D2188" s="2"/>
      <c r="E2188" s="31"/>
      <c r="G2188" s="43"/>
      <c r="H2188" s="2"/>
    </row>
    <row r="2189" spans="1:8">
      <c r="A2189" s="39">
        <v>4.16124934660101</v>
      </c>
      <c r="B2189" s="45">
        <v>17.2</v>
      </c>
      <c r="D2189" s="2"/>
      <c r="E2189" s="31"/>
      <c r="G2189" s="43"/>
      <c r="H2189" s="2"/>
    </row>
    <row r="2190" spans="1:8">
      <c r="A2190" s="39">
        <v>4.16116954591948</v>
      </c>
      <c r="B2190" s="45">
        <v>12.5</v>
      </c>
      <c r="D2190" s="2"/>
      <c r="E2190" s="31"/>
      <c r="G2190" s="43"/>
      <c r="H2190" s="2"/>
    </row>
    <row r="2191" spans="1:8">
      <c r="A2191" s="39">
        <v>4.16101461666322</v>
      </c>
      <c r="B2191" s="45">
        <v>8</v>
      </c>
      <c r="D2191" s="2"/>
      <c r="E2191" s="31"/>
      <c r="G2191" s="43"/>
      <c r="H2191" s="2"/>
    </row>
    <row r="2192" spans="1:8">
      <c r="A2192" s="39">
        <v>4.16081685306126</v>
      </c>
      <c r="B2192" s="45">
        <v>1</v>
      </c>
      <c r="D2192" s="2"/>
      <c r="E2192" s="31"/>
      <c r="G2192" s="43"/>
      <c r="H2192" s="2"/>
    </row>
    <row r="2193" spans="1:8">
      <c r="A2193" s="39">
        <v>4.1607276724533</v>
      </c>
      <c r="B2193" s="45">
        <v>5.8</v>
      </c>
      <c r="D2193" s="2"/>
      <c r="E2193" s="31"/>
      <c r="G2193" s="43"/>
      <c r="H2193" s="2"/>
    </row>
    <row r="2194" spans="1:8">
      <c r="A2194" s="39">
        <v>4.16044206872614</v>
      </c>
      <c r="B2194" s="45">
        <v>7.5</v>
      </c>
      <c r="D2194" s="2"/>
      <c r="E2194" s="31"/>
      <c r="G2194" s="43"/>
      <c r="H2194" s="2"/>
    </row>
    <row r="2195" spans="1:8">
      <c r="A2195" s="39">
        <v>4.16044206872614</v>
      </c>
      <c r="B2195" s="45">
        <v>3.3</v>
      </c>
      <c r="D2195" s="2"/>
      <c r="E2195" s="31"/>
      <c r="G2195" s="43"/>
      <c r="H2195" s="2"/>
    </row>
    <row r="2196" spans="1:8">
      <c r="A2196" s="39">
        <v>4.16008905581567</v>
      </c>
      <c r="B2196" s="45">
        <v>10</v>
      </c>
      <c r="D2196" s="2"/>
      <c r="E2196" s="31"/>
      <c r="G2196" s="43"/>
      <c r="H2196" s="2"/>
    </row>
    <row r="2197" spans="1:8">
      <c r="A2197" s="39">
        <v>4.15910068084545</v>
      </c>
      <c r="B2197" s="45">
        <v>5</v>
      </c>
      <c r="D2197" s="2"/>
      <c r="E2197" s="31"/>
      <c r="G2197" s="43"/>
      <c r="H2197" s="2"/>
    </row>
    <row r="2198" spans="1:8">
      <c r="A2198" s="39">
        <v>4.15898335897856</v>
      </c>
      <c r="B2198" s="45">
        <v>12</v>
      </c>
      <c r="D2198" s="2"/>
      <c r="E2198" s="31"/>
      <c r="G2198" s="43"/>
      <c r="H2198" s="2"/>
    </row>
    <row r="2199" spans="1:8">
      <c r="A2199" s="39">
        <v>4.15802940548024</v>
      </c>
      <c r="B2199" s="45">
        <v>0</v>
      </c>
      <c r="D2199" s="2"/>
      <c r="E2199" s="31"/>
      <c r="G2199" s="43"/>
      <c r="H2199" s="2"/>
    </row>
    <row r="2200" spans="1:8">
      <c r="A2200" s="39">
        <v>4.15746454525049</v>
      </c>
      <c r="B2200" s="45">
        <v>6.1</v>
      </c>
      <c r="D2200" s="2"/>
      <c r="E2200" s="31"/>
      <c r="G2200" s="43"/>
      <c r="H2200" s="2"/>
    </row>
    <row r="2201" spans="1:8">
      <c r="A2201" s="39">
        <v>4.15717786683329</v>
      </c>
      <c r="B2201" s="45">
        <v>15</v>
      </c>
      <c r="D2201" s="2"/>
      <c r="E2201" s="31"/>
      <c r="G2201" s="43"/>
      <c r="H2201" s="2"/>
    </row>
    <row r="2202" spans="1:8">
      <c r="A2202" s="39">
        <v>4.15680468275942</v>
      </c>
      <c r="B2202" s="45">
        <v>13.3</v>
      </c>
      <c r="D2202" s="2"/>
      <c r="E2202" s="31"/>
      <c r="G2202" s="43"/>
      <c r="H2202" s="2"/>
    </row>
    <row r="2203" spans="1:8">
      <c r="A2203" s="39">
        <v>4.15623056083154</v>
      </c>
      <c r="B2203" s="45">
        <v>19.2</v>
      </c>
      <c r="D2203" s="2"/>
      <c r="E2203" s="31"/>
      <c r="G2203" s="43"/>
      <c r="H2203" s="2"/>
    </row>
    <row r="2204" spans="1:8">
      <c r="A2204" s="39">
        <v>4.1557222723421</v>
      </c>
      <c r="B2204" s="45">
        <v>18</v>
      </c>
      <c r="D2204" s="2"/>
      <c r="E2204" s="31"/>
      <c r="G2204" s="43"/>
      <c r="H2204" s="2"/>
    </row>
    <row r="2205" spans="1:8">
      <c r="A2205" s="39">
        <v>4.15561685148383</v>
      </c>
      <c r="B2205" s="45">
        <v>8.1</v>
      </c>
      <c r="D2205" s="2"/>
      <c r="E2205" s="31"/>
      <c r="G2205" s="43"/>
      <c r="H2205" s="2"/>
    </row>
    <row r="2206" spans="1:8">
      <c r="A2206" s="39">
        <v>4.15480334933433</v>
      </c>
      <c r="B2206" s="45">
        <v>11.3</v>
      </c>
      <c r="D2206" s="2"/>
      <c r="E2206" s="31"/>
      <c r="G2206" s="43"/>
      <c r="H2206" s="2"/>
    </row>
    <row r="2207" spans="1:8">
      <c r="A2207" s="39">
        <v>4.15480334933433</v>
      </c>
      <c r="B2207" s="45">
        <v>11</v>
      </c>
      <c r="D2207" s="2"/>
      <c r="E2207" s="31"/>
      <c r="G2207" s="43"/>
      <c r="H2207" s="2"/>
    </row>
    <row r="2208" spans="1:8">
      <c r="A2208" s="39">
        <v>4.15480334933433</v>
      </c>
      <c r="B2208" s="45">
        <v>0.7</v>
      </c>
      <c r="D2208" s="2"/>
      <c r="E2208" s="31"/>
      <c r="G2208" s="43"/>
      <c r="H2208" s="2"/>
    </row>
    <row r="2209" spans="1:8">
      <c r="A2209" s="39">
        <v>4.15353888060532</v>
      </c>
      <c r="B2209" s="45">
        <v>11</v>
      </c>
      <c r="D2209" s="2"/>
      <c r="E2209" s="31"/>
      <c r="G2209" s="43"/>
      <c r="H2209" s="2"/>
    </row>
    <row r="2210" spans="1:8">
      <c r="A2210" s="39">
        <v>4.15353888060532</v>
      </c>
      <c r="B2210" s="45">
        <v>2.8</v>
      </c>
      <c r="D2210" s="2"/>
      <c r="E2210" s="31"/>
      <c r="G2210" s="43"/>
      <c r="H2210" s="2"/>
    </row>
    <row r="2211" spans="1:8">
      <c r="A2211" s="39">
        <v>4.15353888060532</v>
      </c>
      <c r="B2211" s="45">
        <v>13</v>
      </c>
      <c r="D2211" s="2"/>
      <c r="E2211" s="31"/>
      <c r="G2211" s="43"/>
      <c r="H2211" s="2"/>
    </row>
    <row r="2212" spans="1:8">
      <c r="A2212" s="39">
        <v>4.15353229385848</v>
      </c>
      <c r="B2212" s="45">
        <v>4</v>
      </c>
      <c r="D2212" s="2"/>
      <c r="E2212" s="31"/>
      <c r="G2212" s="43"/>
      <c r="H2212" s="2"/>
    </row>
    <row r="2213" spans="1:8">
      <c r="A2213" s="39">
        <v>4.1533268298426</v>
      </c>
      <c r="B2213" s="45">
        <v>3.8</v>
      </c>
      <c r="D2213" s="2"/>
      <c r="E2213" s="31"/>
      <c r="G2213" s="43"/>
      <c r="H2213" s="2"/>
    </row>
    <row r="2214" spans="1:8">
      <c r="A2214" s="39">
        <v>4.15281108335973</v>
      </c>
      <c r="B2214" s="45">
        <v>2</v>
      </c>
      <c r="D2214" s="2"/>
      <c r="E2214" s="31"/>
      <c r="G2214" s="43"/>
      <c r="H2214" s="2"/>
    </row>
    <row r="2215" spans="1:8">
      <c r="A2215" s="39">
        <v>4.15263580568521</v>
      </c>
      <c r="B2215" s="45">
        <v>6.8</v>
      </c>
      <c r="D2215" s="2"/>
      <c r="E2215" s="31"/>
      <c r="G2215" s="43"/>
      <c r="H2215" s="2"/>
    </row>
    <row r="2216" spans="1:8">
      <c r="A2216" s="39">
        <v>4.15263287153413</v>
      </c>
      <c r="B2216" s="45">
        <v>10.8</v>
      </c>
      <c r="D2216" s="2"/>
      <c r="E2216" s="31"/>
      <c r="G2216" s="43"/>
      <c r="H2216" s="2"/>
    </row>
    <row r="2217" spans="1:8">
      <c r="A2217" s="39">
        <v>4.15171234240603</v>
      </c>
      <c r="B2217" s="45">
        <v>11</v>
      </c>
      <c r="D2217" s="2"/>
      <c r="E2217" s="31"/>
      <c r="G2217" s="43"/>
      <c r="H2217" s="2"/>
    </row>
    <row r="2218" spans="1:8">
      <c r="A2218" s="39">
        <v>4.15165719352681</v>
      </c>
      <c r="B2218" s="45">
        <v>3</v>
      </c>
      <c r="D2218" s="2"/>
      <c r="E2218" s="31"/>
      <c r="G2218" s="43"/>
      <c r="H2218" s="2"/>
    </row>
    <row r="2219" spans="1:8">
      <c r="A2219" s="39">
        <v>4.15025738801934</v>
      </c>
      <c r="B2219" s="45">
        <v>17</v>
      </c>
      <c r="D2219" s="2"/>
      <c r="E2219" s="31"/>
      <c r="G2219" s="43"/>
      <c r="H2219" s="2"/>
    </row>
    <row r="2220" spans="1:8">
      <c r="A2220" s="39">
        <v>4.15014690586986</v>
      </c>
      <c r="B2220" s="45">
        <v>8</v>
      </c>
      <c r="D2220" s="2"/>
      <c r="E2220" s="31"/>
      <c r="G2220" s="43"/>
      <c r="H2220" s="2"/>
    </row>
    <row r="2221" spans="1:8">
      <c r="A2221" s="39">
        <v>4.14989989437735</v>
      </c>
      <c r="B2221" s="45">
        <v>10.8</v>
      </c>
      <c r="D2221" s="2"/>
      <c r="E2221" s="31"/>
      <c r="G2221" s="43"/>
      <c r="H2221" s="2"/>
    </row>
    <row r="2222" spans="1:8">
      <c r="A2222" s="39">
        <v>4.14989989437735</v>
      </c>
      <c r="B2222" s="45">
        <v>1</v>
      </c>
      <c r="D2222" s="2"/>
      <c r="E2222" s="31"/>
      <c r="G2222" s="43"/>
      <c r="H2222" s="2"/>
    </row>
    <row r="2223" spans="1:8">
      <c r="A2223" s="39">
        <v>4.14931388676425</v>
      </c>
      <c r="B2223" s="45">
        <v>10.5</v>
      </c>
      <c r="D2223" s="2"/>
      <c r="E2223" s="31"/>
      <c r="G2223" s="43"/>
      <c r="H2223" s="2"/>
    </row>
    <row r="2224" spans="1:8">
      <c r="A2224" s="39">
        <v>4.14903518223672</v>
      </c>
      <c r="B2224" s="45">
        <v>4</v>
      </c>
      <c r="D2224" s="2"/>
      <c r="E2224" s="31"/>
      <c r="G2224" s="43"/>
      <c r="H2224" s="2"/>
    </row>
    <row r="2225" spans="1:8">
      <c r="A2225" s="39">
        <v>4.14852902888711</v>
      </c>
      <c r="B2225" s="45">
        <v>2</v>
      </c>
      <c r="D2225" s="2"/>
      <c r="E2225" s="31"/>
      <c r="G2225" s="43"/>
      <c r="H2225" s="2"/>
    </row>
    <row r="2226" spans="1:8">
      <c r="A2226" s="39">
        <v>4.14821053499545</v>
      </c>
      <c r="B2226" s="45">
        <v>18</v>
      </c>
      <c r="D2226" s="2"/>
      <c r="E2226" s="31"/>
      <c r="G2226" s="43"/>
      <c r="H2226" s="2"/>
    </row>
    <row r="2227" spans="1:8">
      <c r="A2227" s="39">
        <v>4.14734747924597</v>
      </c>
      <c r="B2227" s="45">
        <v>20.4</v>
      </c>
      <c r="D2227" s="2"/>
      <c r="E2227" s="31"/>
      <c r="G2227" s="43"/>
      <c r="H2227" s="2"/>
    </row>
    <row r="2228" spans="1:8">
      <c r="A2228" s="39">
        <v>4.14698870539497</v>
      </c>
      <c r="B2228" s="45">
        <v>1</v>
      </c>
      <c r="D2228" s="2"/>
      <c r="E2228" s="31"/>
      <c r="G2228" s="43"/>
      <c r="H2228" s="2"/>
    </row>
    <row r="2229" spans="1:8">
      <c r="A2229" s="39">
        <v>4.14698870539497</v>
      </c>
      <c r="B2229" s="45">
        <v>6</v>
      </c>
      <c r="D2229" s="2"/>
      <c r="E2229" s="31"/>
      <c r="G2229" s="43"/>
      <c r="H2229" s="2"/>
    </row>
    <row r="2230" spans="1:8">
      <c r="A2230" s="39">
        <v>4.14675076391067</v>
      </c>
      <c r="B2230" s="45">
        <v>10.3</v>
      </c>
      <c r="D2230" s="2"/>
      <c r="E2230" s="31"/>
      <c r="G2230" s="43"/>
      <c r="H2230" s="2"/>
    </row>
    <row r="2231" spans="1:8">
      <c r="A2231" s="39">
        <v>4.14626090814938</v>
      </c>
      <c r="B2231" s="45">
        <v>13</v>
      </c>
      <c r="D2231" s="2"/>
      <c r="E2231" s="31"/>
      <c r="G2231" s="43"/>
      <c r="H2231" s="2"/>
    </row>
    <row r="2232" spans="1:8">
      <c r="A2232" s="39">
        <v>4.14626090814938</v>
      </c>
      <c r="B2232" s="45">
        <v>2</v>
      </c>
      <c r="D2232" s="2"/>
      <c r="E2232" s="31"/>
      <c r="G2232" s="43"/>
      <c r="H2232" s="2"/>
    </row>
    <row r="2233" spans="1:8">
      <c r="A2233" s="39">
        <v>4.14626090814938</v>
      </c>
      <c r="B2233" s="45">
        <v>7.8</v>
      </c>
      <c r="D2233" s="2"/>
      <c r="E2233" s="31"/>
      <c r="G2233" s="43"/>
      <c r="H2233" s="2"/>
    </row>
    <row r="2234" spans="1:8">
      <c r="A2234" s="39">
        <v>4.14589252485929</v>
      </c>
      <c r="B2234" s="45">
        <v>8</v>
      </c>
      <c r="D2234" s="2"/>
      <c r="E2234" s="31"/>
      <c r="G2234" s="43"/>
      <c r="H2234" s="2"/>
    </row>
    <row r="2235" spans="1:8">
      <c r="A2235" s="39">
        <v>4.14579117768837</v>
      </c>
      <c r="B2235" s="45">
        <v>7</v>
      </c>
      <c r="D2235" s="2"/>
      <c r="E2235" s="31"/>
      <c r="G2235" s="43"/>
      <c r="H2235" s="2"/>
    </row>
    <row r="2236" spans="1:8">
      <c r="A2236" s="39">
        <v>4.14553311090379</v>
      </c>
      <c r="B2236" s="45">
        <v>8</v>
      </c>
      <c r="D2236" s="2"/>
      <c r="E2236" s="31"/>
      <c r="G2236" s="43"/>
      <c r="H2236" s="2"/>
    </row>
    <row r="2237" spans="1:8">
      <c r="A2237" s="39">
        <v>4.14516504766594</v>
      </c>
      <c r="B2237" s="45">
        <v>5</v>
      </c>
      <c r="D2237" s="2"/>
      <c r="E2237" s="31"/>
      <c r="G2237" s="43"/>
      <c r="H2237" s="2"/>
    </row>
    <row r="2238" spans="1:8">
      <c r="A2238" s="39">
        <v>4.14467806966939</v>
      </c>
      <c r="B2238" s="45">
        <v>2</v>
      </c>
      <c r="D2238" s="2"/>
      <c r="E2238" s="31"/>
      <c r="G2238" s="43"/>
      <c r="H2238" s="2"/>
    </row>
    <row r="2239" spans="1:8">
      <c r="A2239" s="39">
        <v>4.14406002055653</v>
      </c>
      <c r="B2239" s="45">
        <v>11.2</v>
      </c>
      <c r="D2239" s="2"/>
      <c r="E2239" s="31"/>
      <c r="G2239" s="43"/>
      <c r="H2239" s="2"/>
    </row>
    <row r="2240" spans="1:8">
      <c r="A2240" s="39">
        <v>4.14363864829061</v>
      </c>
      <c r="B2240" s="45">
        <v>0</v>
      </c>
      <c r="D2240" s="2"/>
      <c r="E2240" s="31"/>
      <c r="G2240" s="43"/>
      <c r="H2240" s="2"/>
    </row>
    <row r="2241" spans="1:8">
      <c r="A2241" s="39">
        <v>4.143349719167</v>
      </c>
      <c r="B2241" s="45">
        <v>6.6</v>
      </c>
      <c r="D2241" s="2"/>
      <c r="E2241" s="31"/>
      <c r="G2241" s="43"/>
      <c r="H2241" s="2"/>
    </row>
    <row r="2242" spans="1:8">
      <c r="A2242" s="39">
        <v>4.143349719167</v>
      </c>
      <c r="B2242" s="45">
        <v>2.8</v>
      </c>
      <c r="D2242" s="2"/>
      <c r="E2242" s="31"/>
      <c r="G2242" s="43"/>
      <c r="H2242" s="2"/>
    </row>
    <row r="2243" spans="1:8">
      <c r="A2243" s="39">
        <v>4.14191135480097</v>
      </c>
      <c r="B2243" s="45">
        <v>12.6</v>
      </c>
      <c r="D2243" s="2"/>
      <c r="E2243" s="31"/>
      <c r="G2243" s="43"/>
      <c r="H2243" s="2"/>
    </row>
    <row r="2244" spans="1:8">
      <c r="A2244" s="39">
        <v>4.14073851238048</v>
      </c>
      <c r="B2244" s="45">
        <v>5.1</v>
      </c>
      <c r="D2244" s="2"/>
      <c r="E2244" s="31"/>
      <c r="G2244" s="43"/>
      <c r="H2244" s="2"/>
    </row>
    <row r="2245" spans="1:8">
      <c r="A2245" s="39">
        <v>4.14007270731255</v>
      </c>
      <c r="B2245" s="45">
        <v>8.5</v>
      </c>
      <c r="D2245" s="2"/>
      <c r="E2245" s="31"/>
      <c r="G2245" s="43"/>
      <c r="H2245" s="2"/>
    </row>
    <row r="2246" spans="1:8">
      <c r="A2246" s="39">
        <v>4.1400409589932</v>
      </c>
      <c r="B2246" s="45">
        <v>10.1</v>
      </c>
      <c r="D2246" s="2"/>
      <c r="E2246" s="31"/>
      <c r="G2246" s="43"/>
      <c r="H2246" s="2"/>
    </row>
    <row r="2247" spans="1:8">
      <c r="A2247" s="39">
        <v>4.13971073293903</v>
      </c>
      <c r="B2247" s="45">
        <v>9</v>
      </c>
      <c r="D2247" s="2"/>
      <c r="E2247" s="31"/>
      <c r="G2247" s="43"/>
      <c r="H2247" s="2"/>
    </row>
    <row r="2248" spans="1:8">
      <c r="A2248" s="39">
        <v>4.13945761550917</v>
      </c>
      <c r="B2248" s="45">
        <v>22.3</v>
      </c>
      <c r="D2248" s="2"/>
      <c r="E2248" s="31"/>
      <c r="G2248" s="43"/>
      <c r="H2248" s="2"/>
    </row>
    <row r="2249" spans="1:8">
      <c r="A2249" s="39">
        <v>4.13939111948645</v>
      </c>
      <c r="B2249" s="45">
        <v>3.6</v>
      </c>
      <c r="D2249" s="2"/>
      <c r="E2249" s="31"/>
      <c r="G2249" s="43"/>
      <c r="H2249" s="2"/>
    </row>
    <row r="2250" spans="1:8">
      <c r="A2250" s="39">
        <v>4.13939111948645</v>
      </c>
      <c r="B2250" s="45">
        <v>7.7</v>
      </c>
      <c r="D2250" s="2"/>
      <c r="E2250" s="31"/>
      <c r="G2250" s="43"/>
      <c r="H2250" s="2"/>
    </row>
    <row r="2251" spans="1:8">
      <c r="A2251" s="39">
        <v>4.1393452301192</v>
      </c>
      <c r="B2251" s="45">
        <v>13.7</v>
      </c>
      <c r="D2251" s="2"/>
      <c r="E2251" s="31"/>
      <c r="G2251" s="43"/>
      <c r="H2251" s="2"/>
    </row>
    <row r="2252" spans="1:8">
      <c r="A2252" s="39">
        <v>4.13898293569344</v>
      </c>
      <c r="B2252" s="45">
        <v>2.8</v>
      </c>
      <c r="D2252" s="2"/>
      <c r="E2252" s="31"/>
      <c r="G2252" s="43"/>
      <c r="H2252" s="2"/>
    </row>
    <row r="2253" spans="1:8">
      <c r="A2253" s="39">
        <v>4.13898293569344</v>
      </c>
      <c r="B2253" s="45">
        <v>9.6</v>
      </c>
      <c r="D2253" s="2"/>
      <c r="E2253" s="31"/>
      <c r="G2253" s="43"/>
      <c r="H2253" s="2"/>
    </row>
    <row r="2254" spans="1:8">
      <c r="A2254" s="39">
        <v>4.13716279853918</v>
      </c>
      <c r="B2254" s="45">
        <v>14.6</v>
      </c>
      <c r="D2254" s="2"/>
      <c r="E2254" s="31"/>
      <c r="G2254" s="43"/>
      <c r="H2254" s="2"/>
    </row>
    <row r="2255" spans="1:8">
      <c r="A2255" s="39">
        <v>4.13693790467838</v>
      </c>
      <c r="B2255" s="45">
        <v>7.9</v>
      </c>
      <c r="D2255" s="2"/>
      <c r="E2255" s="31"/>
      <c r="G2255" s="43"/>
      <c r="H2255" s="2"/>
    </row>
    <row r="2256" spans="1:8">
      <c r="A2256" s="39">
        <v>4.13655700416298</v>
      </c>
      <c r="B2256" s="45">
        <v>5.5</v>
      </c>
      <c r="D2256" s="2"/>
      <c r="E2256" s="31"/>
      <c r="G2256" s="43"/>
      <c r="H2256" s="2"/>
    </row>
    <row r="2257" spans="1:8">
      <c r="A2257" s="39">
        <v>4.13655700416298</v>
      </c>
      <c r="B2257" s="45">
        <v>2.8</v>
      </c>
      <c r="D2257" s="2"/>
      <c r="E2257" s="31"/>
      <c r="G2257" s="43"/>
      <c r="H2257" s="2"/>
    </row>
    <row r="2258" spans="1:8">
      <c r="A2258" s="39">
        <v>4.13655700416298</v>
      </c>
      <c r="B2258" s="45">
        <v>3.5</v>
      </c>
      <c r="D2258" s="2"/>
      <c r="E2258" s="31"/>
      <c r="G2258" s="43"/>
      <c r="H2258" s="2"/>
    </row>
    <row r="2259" spans="1:8">
      <c r="A2259" s="39">
        <v>4.13609110801445</v>
      </c>
      <c r="B2259" s="45">
        <v>10.5</v>
      </c>
      <c r="D2259" s="2"/>
      <c r="E2259" s="31"/>
      <c r="G2259" s="43"/>
      <c r="H2259" s="2"/>
    </row>
    <row r="2260" spans="1:8">
      <c r="A2260" s="39">
        <v>4.13530242813967</v>
      </c>
      <c r="B2260" s="45">
        <v>11.5</v>
      </c>
      <c r="D2260" s="2"/>
      <c r="E2260" s="31"/>
      <c r="G2260" s="43"/>
      <c r="H2260" s="2"/>
    </row>
    <row r="2261" spans="1:8">
      <c r="A2261" s="39">
        <v>4.13530242813967</v>
      </c>
      <c r="B2261" s="45">
        <v>3</v>
      </c>
      <c r="D2261" s="2"/>
      <c r="E2261" s="31"/>
      <c r="G2261" s="43"/>
      <c r="H2261" s="2"/>
    </row>
    <row r="2262" spans="1:8">
      <c r="A2262" s="39">
        <v>4.13464442504708</v>
      </c>
      <c r="B2262" s="45">
        <v>9.2</v>
      </c>
      <c r="D2262" s="2"/>
      <c r="E2262" s="31"/>
      <c r="G2262" s="43"/>
      <c r="H2262" s="2"/>
    </row>
    <row r="2263" spans="1:8">
      <c r="A2263" s="39">
        <v>4.13448468987031</v>
      </c>
      <c r="B2263" s="45">
        <v>10</v>
      </c>
      <c r="D2263" s="2"/>
      <c r="E2263" s="31"/>
      <c r="G2263" s="43"/>
      <c r="H2263" s="2"/>
    </row>
    <row r="2264" spans="1:8">
      <c r="A2264" s="39">
        <v>4.13403291369725</v>
      </c>
      <c r="B2264" s="45">
        <v>8</v>
      </c>
      <c r="D2264" s="2"/>
      <c r="E2264" s="31"/>
      <c r="G2264" s="43"/>
      <c r="H2264" s="2"/>
    </row>
    <row r="2265" spans="1:8">
      <c r="A2265" s="39">
        <v>4.13331669177873</v>
      </c>
      <c r="B2265" s="45">
        <v>2</v>
      </c>
      <c r="D2265" s="2"/>
      <c r="E2265" s="31"/>
      <c r="G2265" s="43"/>
      <c r="H2265" s="2"/>
    </row>
    <row r="2266" spans="1:8">
      <c r="A2266" s="39">
        <v>4.13331669177873</v>
      </c>
      <c r="B2266" s="45">
        <v>7.5</v>
      </c>
      <c r="D2266" s="2"/>
      <c r="E2266" s="31"/>
      <c r="G2266" s="43"/>
      <c r="H2266" s="2"/>
    </row>
    <row r="2267" spans="1:8">
      <c r="A2267" s="39">
        <v>4.13312762160218</v>
      </c>
      <c r="B2267" s="45">
        <v>11.3</v>
      </c>
      <c r="D2267" s="2"/>
      <c r="E2267" s="31"/>
      <c r="G2267" s="43"/>
      <c r="H2267" s="2"/>
    </row>
    <row r="2268" spans="1:8">
      <c r="A2268" s="39">
        <v>4.13279793537912</v>
      </c>
      <c r="B2268" s="45">
        <v>4.9</v>
      </c>
      <c r="D2268" s="2"/>
      <c r="E2268" s="31"/>
      <c r="G2268" s="43"/>
      <c r="H2268" s="2"/>
    </row>
    <row r="2269" spans="1:8">
      <c r="A2269" s="39">
        <v>4.13279793537912</v>
      </c>
      <c r="B2269" s="45">
        <v>11</v>
      </c>
      <c r="D2269" s="2"/>
      <c r="E2269" s="31"/>
      <c r="G2269" s="43"/>
      <c r="H2269" s="2"/>
    </row>
    <row r="2270" spans="1:8">
      <c r="A2270" s="39">
        <v>4.13218541608588</v>
      </c>
      <c r="B2270" s="45">
        <v>8.3</v>
      </c>
      <c r="D2270" s="2"/>
      <c r="E2270" s="31"/>
      <c r="G2270" s="43"/>
      <c r="H2270" s="2"/>
    </row>
    <row r="2271" spans="1:8">
      <c r="A2271" s="39">
        <v>4.13207045818578</v>
      </c>
      <c r="B2271" s="45">
        <v>4.4</v>
      </c>
      <c r="D2271" s="2"/>
      <c r="E2271" s="31"/>
      <c r="G2271" s="43"/>
      <c r="H2271" s="2"/>
    </row>
    <row r="2272" spans="1:8">
      <c r="A2272" s="39">
        <v>4.1313301188911</v>
      </c>
      <c r="B2272" s="45">
        <v>6.1</v>
      </c>
      <c r="D2272" s="2"/>
      <c r="E2272" s="31"/>
      <c r="G2272" s="43"/>
      <c r="H2272" s="2"/>
    </row>
    <row r="2273" spans="1:8">
      <c r="A2273" s="39">
        <v>4.13121373679288</v>
      </c>
      <c r="B2273" s="45">
        <v>3</v>
      </c>
      <c r="D2273" s="2"/>
      <c r="E2273" s="31"/>
      <c r="G2273" s="43"/>
      <c r="H2273" s="2"/>
    </row>
    <row r="2274" spans="1:8">
      <c r="A2274" s="39">
        <v>4.13121373679288</v>
      </c>
      <c r="B2274" s="45">
        <v>7</v>
      </c>
      <c r="D2274" s="2"/>
      <c r="E2274" s="31"/>
      <c r="G2274" s="43"/>
      <c r="H2274" s="2"/>
    </row>
    <row r="2275" spans="1:8">
      <c r="A2275" s="39">
        <v>4.1309771659919</v>
      </c>
      <c r="B2275" s="45">
        <v>6</v>
      </c>
      <c r="D2275" s="2"/>
      <c r="E2275" s="31"/>
      <c r="G2275" s="43"/>
      <c r="H2275" s="2"/>
    </row>
    <row r="2276" spans="1:8">
      <c r="A2276" s="39">
        <v>4.1305970245875</v>
      </c>
      <c r="B2276" s="45">
        <v>4.5</v>
      </c>
      <c r="D2276" s="2"/>
      <c r="E2276" s="31"/>
      <c r="G2276" s="43"/>
      <c r="H2276" s="2"/>
    </row>
    <row r="2277" spans="1:8">
      <c r="A2277" s="39">
        <v>4.13028474183673</v>
      </c>
      <c r="B2277" s="45">
        <v>6.7</v>
      </c>
      <c r="D2277" s="2"/>
      <c r="E2277" s="31"/>
      <c r="G2277" s="43"/>
      <c r="H2277" s="2"/>
    </row>
    <row r="2278" spans="1:8">
      <c r="A2278" s="39">
        <v>4.13028474183673</v>
      </c>
      <c r="B2278" s="45">
        <v>3.5</v>
      </c>
      <c r="D2278" s="2"/>
      <c r="E2278" s="31"/>
      <c r="G2278" s="43"/>
      <c r="H2278" s="2"/>
    </row>
    <row r="2279" spans="1:8">
      <c r="A2279" s="39">
        <v>4.12916054941241</v>
      </c>
      <c r="B2279" s="45">
        <v>4</v>
      </c>
      <c r="D2279" s="2"/>
      <c r="E2279" s="31"/>
      <c r="G2279" s="43"/>
      <c r="H2279" s="2"/>
    </row>
    <row r="2280" spans="1:8">
      <c r="A2280" s="39">
        <v>4.12744904645227</v>
      </c>
      <c r="B2280" s="45">
        <v>14</v>
      </c>
      <c r="D2280" s="2"/>
      <c r="E2280" s="31"/>
      <c r="G2280" s="43"/>
      <c r="H2280" s="2"/>
    </row>
    <row r="2281" spans="1:8">
      <c r="A2281" s="39">
        <v>4.12738054932299</v>
      </c>
      <c r="B2281" s="45">
        <v>3</v>
      </c>
      <c r="D2281" s="2"/>
      <c r="E2281" s="31"/>
      <c r="G2281" s="43"/>
      <c r="H2281" s="2"/>
    </row>
    <row r="2282" spans="1:8">
      <c r="A2282" s="39">
        <v>4.12615447259353</v>
      </c>
      <c r="B2282" s="45">
        <v>10.4</v>
      </c>
      <c r="D2282" s="2"/>
      <c r="E2282" s="31"/>
      <c r="G2282" s="43"/>
      <c r="H2282" s="2"/>
    </row>
    <row r="2283" spans="1:8">
      <c r="A2283" s="39">
        <v>4.12615447259353</v>
      </c>
      <c r="B2283" s="45">
        <v>4.6</v>
      </c>
      <c r="D2283" s="2"/>
      <c r="E2283" s="31"/>
      <c r="G2283" s="43"/>
      <c r="H2283" s="2"/>
    </row>
    <row r="2284" spans="1:8">
      <c r="A2284" s="39">
        <v>4.12610323361923</v>
      </c>
      <c r="B2284" s="45">
        <v>7.6</v>
      </c>
      <c r="D2284" s="2"/>
      <c r="E2284" s="31"/>
      <c r="G2284" s="43"/>
      <c r="H2284" s="2"/>
    </row>
    <row r="2285" spans="1:8">
      <c r="A2285" s="39">
        <v>4.12594175649752</v>
      </c>
      <c r="B2285" s="45">
        <v>8.1</v>
      </c>
      <c r="D2285" s="2"/>
      <c r="E2285" s="31"/>
      <c r="G2285" s="43"/>
      <c r="H2285" s="2"/>
    </row>
    <row r="2286" spans="1:8">
      <c r="A2286" s="39">
        <v>4.12552316344569</v>
      </c>
      <c r="B2286" s="45">
        <v>10</v>
      </c>
      <c r="D2286" s="2"/>
      <c r="E2286" s="31"/>
      <c r="G2286" s="43"/>
      <c r="H2286" s="2"/>
    </row>
    <row r="2287" spans="1:8">
      <c r="A2287" s="39">
        <v>4.12548956890738</v>
      </c>
      <c r="B2287" s="45">
        <v>8.8</v>
      </c>
      <c r="D2287" s="2"/>
      <c r="E2287" s="31"/>
      <c r="G2287" s="43"/>
      <c r="H2287" s="2"/>
    </row>
    <row r="2288" spans="1:8">
      <c r="A2288" s="39">
        <v>4.12545860261783</v>
      </c>
      <c r="B2288" s="45">
        <v>4.9</v>
      </c>
      <c r="D2288" s="2"/>
      <c r="E2288" s="31"/>
      <c r="G2288" s="43"/>
      <c r="H2288" s="2"/>
    </row>
    <row r="2289" spans="1:8">
      <c r="A2289" s="39">
        <v>4.12543825067501</v>
      </c>
      <c r="B2289" s="45">
        <v>15.2</v>
      </c>
      <c r="D2289" s="2"/>
      <c r="E2289" s="31"/>
      <c r="G2289" s="43"/>
      <c r="H2289" s="2"/>
    </row>
    <row r="2290" spans="1:8">
      <c r="A2290" s="39">
        <v>4.12525729369784</v>
      </c>
      <c r="B2290" s="45">
        <v>6.4</v>
      </c>
      <c r="D2290" s="2"/>
      <c r="E2290" s="31"/>
      <c r="G2290" s="43"/>
      <c r="H2290" s="2"/>
    </row>
    <row r="2291" spans="1:8">
      <c r="A2291" s="39">
        <v>4.12479568625235</v>
      </c>
      <c r="B2291" s="45">
        <v>4.5</v>
      </c>
      <c r="D2291" s="2"/>
      <c r="E2291" s="31"/>
      <c r="G2291" s="43"/>
      <c r="H2291" s="2"/>
    </row>
    <row r="2292" spans="1:8">
      <c r="A2292" s="39">
        <v>4.12475077947921</v>
      </c>
      <c r="B2292" s="45">
        <v>6.6</v>
      </c>
      <c r="D2292" s="2"/>
      <c r="E2292" s="31"/>
      <c r="G2292" s="43"/>
      <c r="H2292" s="2"/>
    </row>
    <row r="2293" spans="1:8">
      <c r="A2293" s="39">
        <v>4.12442699078156</v>
      </c>
      <c r="B2293" s="45">
        <v>9</v>
      </c>
      <c r="D2293" s="2"/>
      <c r="E2293" s="31"/>
      <c r="G2293" s="43"/>
      <c r="H2293" s="2"/>
    </row>
    <row r="2294" spans="1:8">
      <c r="A2294" s="39">
        <v>4.12369919353596</v>
      </c>
      <c r="B2294" s="45">
        <v>14.5</v>
      </c>
      <c r="D2294" s="2"/>
      <c r="E2294" s="31"/>
      <c r="G2294" s="43"/>
      <c r="H2294" s="2"/>
    </row>
    <row r="2295" spans="1:8">
      <c r="A2295" s="39">
        <v>4.12357702916413</v>
      </c>
      <c r="B2295" s="45">
        <v>10.5</v>
      </c>
      <c r="D2295" s="2"/>
      <c r="E2295" s="31"/>
      <c r="G2295" s="43"/>
      <c r="H2295" s="2"/>
    </row>
    <row r="2296" spans="1:8">
      <c r="A2296" s="39">
        <v>4.12353665591267</v>
      </c>
      <c r="B2296" s="45">
        <v>10.3</v>
      </c>
      <c r="D2296" s="2"/>
      <c r="E2296" s="31"/>
      <c r="G2296" s="43"/>
      <c r="H2296" s="2"/>
    </row>
    <row r="2297" spans="1:8">
      <c r="A2297" s="39">
        <v>4.12328958491945</v>
      </c>
      <c r="B2297" s="45">
        <v>18</v>
      </c>
      <c r="D2297" s="2"/>
      <c r="E2297" s="31"/>
      <c r="G2297" s="43"/>
      <c r="H2297" s="2"/>
    </row>
    <row r="2298" spans="1:8">
      <c r="A2298" s="39">
        <v>4.12297139629037</v>
      </c>
      <c r="B2298" s="45">
        <v>2</v>
      </c>
      <c r="D2298" s="2"/>
      <c r="E2298" s="31"/>
      <c r="G2298" s="43"/>
      <c r="H2298" s="2"/>
    </row>
    <row r="2299" spans="1:8">
      <c r="A2299" s="39">
        <v>4.1225756825601</v>
      </c>
      <c r="B2299" s="45">
        <v>8</v>
      </c>
      <c r="D2299" s="2"/>
      <c r="E2299" s="31"/>
      <c r="G2299" s="43"/>
      <c r="H2299" s="2"/>
    </row>
    <row r="2300" spans="1:8">
      <c r="A2300" s="39">
        <v>4.1225756825601</v>
      </c>
      <c r="B2300" s="45">
        <v>7</v>
      </c>
      <c r="D2300" s="2"/>
      <c r="E2300" s="31"/>
      <c r="G2300" s="43"/>
      <c r="H2300" s="2"/>
    </row>
    <row r="2301" spans="1:8">
      <c r="A2301" s="39">
        <v>4.1225756825601</v>
      </c>
      <c r="B2301" s="45">
        <v>11.4</v>
      </c>
      <c r="D2301" s="2"/>
      <c r="E2301" s="31"/>
      <c r="G2301" s="43"/>
      <c r="H2301" s="2"/>
    </row>
    <row r="2302" spans="1:8">
      <c r="A2302" s="39">
        <v>4.12257336300094</v>
      </c>
      <c r="B2302" s="45">
        <v>17.4</v>
      </c>
      <c r="D2302" s="2"/>
      <c r="E2302" s="31"/>
      <c r="G2302" s="43"/>
      <c r="H2302" s="2"/>
    </row>
    <row r="2303" spans="1:8">
      <c r="A2303" s="39">
        <v>4.12257336300094</v>
      </c>
      <c r="B2303" s="45">
        <v>2.9</v>
      </c>
      <c r="D2303" s="2"/>
      <c r="E2303" s="31"/>
      <c r="G2303" s="43"/>
      <c r="H2303" s="2"/>
    </row>
    <row r="2304" spans="1:8">
      <c r="A2304" s="39">
        <v>4.12183497969941</v>
      </c>
      <c r="B2304" s="45">
        <v>2</v>
      </c>
      <c r="D2304" s="2"/>
      <c r="E2304" s="31"/>
      <c r="G2304" s="43"/>
      <c r="H2304" s="2"/>
    </row>
    <row r="2305" spans="1:8">
      <c r="A2305" s="39">
        <v>4.12127847503768</v>
      </c>
      <c r="B2305" s="45">
        <v>5.5</v>
      </c>
      <c r="D2305" s="2"/>
      <c r="E2305" s="31"/>
      <c r="G2305" s="43"/>
      <c r="H2305" s="2"/>
    </row>
    <row r="2306" spans="1:8">
      <c r="A2306" s="39">
        <v>4.12115830028564</v>
      </c>
      <c r="B2306" s="45">
        <v>10.5</v>
      </c>
      <c r="D2306" s="2"/>
      <c r="E2306" s="31"/>
      <c r="G2306" s="43"/>
      <c r="H2306" s="2"/>
    </row>
    <row r="2307" spans="1:8">
      <c r="A2307" s="39">
        <v>4.1211530901818</v>
      </c>
      <c r="B2307" s="45">
        <v>1</v>
      </c>
      <c r="D2307" s="2"/>
      <c r="E2307" s="31"/>
      <c r="G2307" s="43"/>
      <c r="H2307" s="2"/>
    </row>
    <row r="2308" spans="1:8">
      <c r="A2308" s="39">
        <v>4.12087634834735</v>
      </c>
      <c r="B2308" s="45">
        <v>9.8</v>
      </c>
      <c r="D2308" s="2"/>
      <c r="E2308" s="31"/>
      <c r="G2308" s="43"/>
      <c r="H2308" s="2"/>
    </row>
    <row r="2309" spans="1:8">
      <c r="A2309" s="39">
        <v>4.12087634834735</v>
      </c>
      <c r="B2309" s="45">
        <v>8.5</v>
      </c>
      <c r="D2309" s="2"/>
      <c r="E2309" s="31"/>
      <c r="G2309" s="43"/>
      <c r="H2309" s="2"/>
    </row>
    <row r="2310" spans="1:8">
      <c r="A2310" s="39">
        <v>4.12078800455359</v>
      </c>
      <c r="B2310" s="45">
        <v>9</v>
      </c>
      <c r="D2310" s="2"/>
      <c r="E2310" s="31"/>
      <c r="G2310" s="43"/>
      <c r="H2310" s="2"/>
    </row>
    <row r="2311" spans="1:8">
      <c r="A2311" s="39">
        <v>4.12078280820463</v>
      </c>
      <c r="B2311" s="45">
        <v>5.7</v>
      </c>
      <c r="D2311" s="2"/>
      <c r="E2311" s="31"/>
      <c r="G2311" s="43"/>
      <c r="H2311" s="2"/>
    </row>
    <row r="2312" spans="1:8">
      <c r="A2312" s="39">
        <v>4.11899225340833</v>
      </c>
      <c r="B2312" s="45">
        <v>5.5</v>
      </c>
      <c r="D2312" s="2"/>
      <c r="E2312" s="31"/>
      <c r="G2312" s="43"/>
      <c r="H2312" s="2"/>
    </row>
    <row r="2313" spans="1:8">
      <c r="A2313" s="39">
        <v>4.1187855942386</v>
      </c>
      <c r="B2313" s="45">
        <v>12</v>
      </c>
      <c r="D2313" s="2"/>
      <c r="E2313" s="31"/>
      <c r="G2313" s="43"/>
      <c r="H2313" s="2"/>
    </row>
    <row r="2314" spans="1:8">
      <c r="A2314" s="39">
        <v>4.11824839151227</v>
      </c>
      <c r="B2314" s="45">
        <v>1</v>
      </c>
      <c r="D2314" s="2"/>
      <c r="E2314" s="31"/>
      <c r="G2314" s="43"/>
      <c r="H2314" s="2"/>
    </row>
    <row r="2315" spans="1:8">
      <c r="A2315" s="39">
        <v>4.11824839151227</v>
      </c>
      <c r="B2315" s="45">
        <v>5.9</v>
      </c>
      <c r="D2315" s="2"/>
      <c r="E2315" s="31"/>
      <c r="G2315" s="43"/>
      <c r="H2315" s="2"/>
    </row>
    <row r="2316" spans="1:8">
      <c r="A2316" s="39">
        <v>4.11824839151227</v>
      </c>
      <c r="B2316" s="45">
        <v>13.9</v>
      </c>
      <c r="D2316" s="2"/>
      <c r="E2316" s="31"/>
      <c r="G2316" s="43"/>
      <c r="H2316" s="2"/>
    </row>
    <row r="2317" spans="1:8">
      <c r="A2317" s="39">
        <v>4.11824839151227</v>
      </c>
      <c r="B2317" s="45">
        <v>5.5</v>
      </c>
      <c r="D2317" s="2"/>
      <c r="E2317" s="31"/>
      <c r="G2317" s="43"/>
      <c r="H2317" s="2"/>
    </row>
    <row r="2318" spans="1:8">
      <c r="A2318" s="39">
        <v>4.11812992448316</v>
      </c>
      <c r="B2318" s="45">
        <v>5.4</v>
      </c>
      <c r="D2318" s="2"/>
      <c r="E2318" s="31"/>
      <c r="G2318" s="43"/>
      <c r="H2318" s="2"/>
    </row>
    <row r="2319" spans="1:8">
      <c r="A2319" s="39">
        <v>4.11642122108002</v>
      </c>
      <c r="B2319" s="45">
        <v>15.5</v>
      </c>
      <c r="D2319" s="2"/>
      <c r="E2319" s="31"/>
      <c r="G2319" s="43"/>
      <c r="H2319" s="2"/>
    </row>
    <row r="2320" spans="1:8">
      <c r="A2320" s="39">
        <v>4.11642122108002</v>
      </c>
      <c r="B2320" s="45">
        <v>23</v>
      </c>
      <c r="D2320" s="2"/>
      <c r="E2320" s="31"/>
      <c r="G2320" s="43"/>
      <c r="H2320" s="2"/>
    </row>
    <row r="2321" spans="1:8">
      <c r="A2321" s="39">
        <v>4.11642122108002</v>
      </c>
      <c r="B2321" s="45">
        <v>8</v>
      </c>
      <c r="D2321" s="2"/>
      <c r="E2321" s="31"/>
      <c r="G2321" s="43"/>
      <c r="H2321" s="2"/>
    </row>
    <row r="2322" spans="1:8">
      <c r="A2322" s="39">
        <v>4.11606595993224</v>
      </c>
      <c r="B2322" s="45">
        <v>13.7</v>
      </c>
      <c r="D2322" s="2"/>
      <c r="E2322" s="31"/>
      <c r="G2322" s="43"/>
      <c r="H2322" s="2"/>
    </row>
    <row r="2323" spans="1:8">
      <c r="A2323" s="39">
        <v>4.11564946307547</v>
      </c>
      <c r="B2323" s="45">
        <v>5.7</v>
      </c>
      <c r="D2323" s="2"/>
      <c r="E2323" s="31"/>
      <c r="G2323" s="43"/>
      <c r="H2323" s="2"/>
    </row>
    <row r="2324" spans="1:8">
      <c r="A2324" s="39">
        <v>4.11296594903432</v>
      </c>
      <c r="B2324" s="45">
        <v>1</v>
      </c>
      <c r="D2324" s="2"/>
      <c r="E2324" s="31"/>
      <c r="G2324" s="43"/>
      <c r="H2324" s="2"/>
    </row>
    <row r="2325" spans="1:8">
      <c r="A2325" s="39">
        <v>4.11296594903432</v>
      </c>
      <c r="B2325" s="45">
        <v>12.4</v>
      </c>
      <c r="D2325" s="2"/>
      <c r="E2325" s="31"/>
      <c r="G2325" s="43"/>
      <c r="H2325" s="2"/>
    </row>
    <row r="2326" spans="1:8">
      <c r="A2326" s="39">
        <v>4.1127923125622</v>
      </c>
      <c r="B2326" s="45">
        <v>9.3</v>
      </c>
      <c r="D2326" s="2"/>
      <c r="E2326" s="31"/>
      <c r="G2326" s="43"/>
      <c r="H2326" s="2"/>
    </row>
    <row r="2327" spans="1:8">
      <c r="A2327" s="39">
        <v>4.11183003422313</v>
      </c>
      <c r="B2327" s="45">
        <v>0.7</v>
      </c>
      <c r="D2327" s="2"/>
      <c r="E2327" s="31"/>
      <c r="G2327" s="43"/>
      <c r="H2327" s="2"/>
    </row>
    <row r="2328" spans="1:8">
      <c r="A2328" s="39">
        <v>4.11183003422313</v>
      </c>
      <c r="B2328" s="45">
        <v>7</v>
      </c>
      <c r="D2328" s="2"/>
      <c r="E2328" s="31"/>
      <c r="G2328" s="43"/>
      <c r="H2328" s="2"/>
    </row>
    <row r="2329" spans="1:8">
      <c r="A2329" s="39">
        <v>4.11131135116634</v>
      </c>
      <c r="B2329" s="45">
        <v>25</v>
      </c>
      <c r="D2329" s="2"/>
      <c r="E2329" s="31"/>
      <c r="G2329" s="43"/>
      <c r="H2329" s="2"/>
    </row>
    <row r="2330" spans="1:8">
      <c r="A2330" s="39">
        <v>4.11097361957884</v>
      </c>
      <c r="B2330" s="45">
        <v>1.5</v>
      </c>
      <c r="D2330" s="2"/>
      <c r="E2330" s="31"/>
      <c r="G2330" s="43"/>
      <c r="H2330" s="2"/>
    </row>
    <row r="2331" spans="1:8">
      <c r="A2331" s="39">
        <v>4.11097361957884</v>
      </c>
      <c r="B2331" s="45">
        <v>16.8</v>
      </c>
      <c r="D2331" s="2"/>
      <c r="E2331" s="31"/>
      <c r="G2331" s="43"/>
      <c r="H2331" s="2"/>
    </row>
    <row r="2332" spans="1:8">
      <c r="A2332" s="39">
        <v>4.11097361957884</v>
      </c>
      <c r="B2332" s="45">
        <v>5.5</v>
      </c>
      <c r="D2332" s="2"/>
      <c r="E2332" s="31"/>
      <c r="G2332" s="43"/>
      <c r="H2332" s="2"/>
    </row>
    <row r="2333" spans="1:8">
      <c r="A2333" s="39">
        <v>4.11036002228957</v>
      </c>
      <c r="B2333" s="45">
        <v>19.2</v>
      </c>
      <c r="D2333" s="2"/>
      <c r="E2333" s="31"/>
      <c r="G2333" s="43"/>
      <c r="H2333" s="2"/>
    </row>
    <row r="2334" spans="1:8">
      <c r="A2334" s="39">
        <v>4.10995254178959</v>
      </c>
      <c r="B2334" s="45">
        <v>10</v>
      </c>
      <c r="D2334" s="2"/>
      <c r="E2334" s="31"/>
      <c r="G2334" s="43"/>
      <c r="H2334" s="2"/>
    </row>
    <row r="2335" spans="1:8">
      <c r="A2335" s="39">
        <v>4.10987104586968</v>
      </c>
      <c r="B2335" s="45">
        <v>6.4</v>
      </c>
      <c r="D2335" s="2"/>
      <c r="E2335" s="31"/>
      <c r="G2335" s="43"/>
      <c r="H2335" s="2"/>
    </row>
    <row r="2336" spans="1:8">
      <c r="A2336" s="39">
        <v>4.10950578866195</v>
      </c>
      <c r="B2336" s="45">
        <v>24.5</v>
      </c>
      <c r="D2336" s="2"/>
      <c r="E2336" s="31"/>
      <c r="G2336" s="43"/>
      <c r="H2336" s="2"/>
    </row>
    <row r="2337" spans="1:8">
      <c r="A2337" s="39">
        <v>4.10946059996522</v>
      </c>
      <c r="B2337" s="45">
        <v>1</v>
      </c>
      <c r="D2337" s="2"/>
      <c r="E2337" s="31"/>
      <c r="G2337" s="43"/>
      <c r="H2337" s="2"/>
    </row>
    <row r="2338" spans="1:8">
      <c r="A2338" s="39">
        <v>4.10915904805668</v>
      </c>
      <c r="B2338" s="45">
        <v>8.9</v>
      </c>
      <c r="D2338" s="2"/>
      <c r="E2338" s="31"/>
      <c r="G2338" s="43"/>
      <c r="H2338" s="2"/>
    </row>
    <row r="2339" spans="1:8">
      <c r="A2339" s="39">
        <v>4.10914324862408</v>
      </c>
      <c r="B2339" s="45">
        <v>2</v>
      </c>
      <c r="D2339" s="2"/>
      <c r="E2339" s="31"/>
      <c r="G2339" s="43"/>
      <c r="H2339" s="2"/>
    </row>
    <row r="2340" spans="1:8">
      <c r="A2340" s="39">
        <v>4.10914324862408</v>
      </c>
      <c r="B2340" s="45">
        <v>12.5</v>
      </c>
      <c r="D2340" s="2"/>
      <c r="E2340" s="31"/>
      <c r="G2340" s="43"/>
      <c r="H2340" s="2"/>
    </row>
    <row r="2341" spans="1:8">
      <c r="A2341" s="39">
        <v>4.10749932698152</v>
      </c>
      <c r="B2341" s="45">
        <v>4</v>
      </c>
      <c r="D2341" s="2"/>
      <c r="E2341" s="31"/>
      <c r="G2341" s="43"/>
      <c r="H2341" s="2"/>
    </row>
    <row r="2342" spans="1:8">
      <c r="A2342" s="39">
        <v>4.1069598568873</v>
      </c>
      <c r="B2342" s="45">
        <v>12</v>
      </c>
      <c r="D2342" s="2"/>
      <c r="E2342" s="31"/>
      <c r="G2342" s="43"/>
      <c r="H2342" s="2"/>
    </row>
    <row r="2343" spans="1:8">
      <c r="A2343" s="39">
        <v>4.1069598568873</v>
      </c>
      <c r="B2343" s="45">
        <v>2</v>
      </c>
      <c r="D2343" s="2"/>
      <c r="E2343" s="31"/>
      <c r="G2343" s="43"/>
      <c r="H2343" s="2"/>
    </row>
    <row r="2344" spans="1:8">
      <c r="A2344" s="39">
        <v>4.10660875641879</v>
      </c>
      <c r="B2344" s="45">
        <v>5.3</v>
      </c>
      <c r="D2344" s="2"/>
      <c r="E2344" s="31"/>
      <c r="G2344" s="43"/>
      <c r="H2344" s="2"/>
    </row>
    <row r="2345" spans="1:8">
      <c r="A2345" s="39">
        <v>4.1062410695861</v>
      </c>
      <c r="B2345" s="45">
        <v>12</v>
      </c>
      <c r="D2345" s="2"/>
      <c r="E2345" s="31"/>
      <c r="G2345" s="43"/>
      <c r="H2345" s="2"/>
    </row>
    <row r="2346" spans="1:8">
      <c r="A2346" s="39">
        <v>4.10623205964171</v>
      </c>
      <c r="B2346" s="45">
        <v>1</v>
      </c>
      <c r="D2346" s="2"/>
      <c r="E2346" s="31"/>
      <c r="G2346" s="43"/>
      <c r="H2346" s="2"/>
    </row>
    <row r="2347" spans="1:8">
      <c r="A2347" s="39">
        <v>4.10519569253172</v>
      </c>
      <c r="B2347" s="45">
        <v>6.2</v>
      </c>
      <c r="D2347" s="2"/>
      <c r="E2347" s="31"/>
      <c r="G2347" s="43"/>
      <c r="H2347" s="2"/>
    </row>
    <row r="2348" spans="1:8">
      <c r="A2348" s="39">
        <v>4.10519569253172</v>
      </c>
      <c r="B2348" s="45">
        <v>6</v>
      </c>
      <c r="D2348" s="2"/>
      <c r="E2348" s="31"/>
      <c r="G2348" s="43"/>
      <c r="H2348" s="2"/>
    </row>
    <row r="2349" spans="1:8">
      <c r="A2349" s="39">
        <v>4.10466781503794</v>
      </c>
      <c r="B2349" s="45">
        <v>9.8</v>
      </c>
      <c r="D2349" s="2"/>
      <c r="E2349" s="31"/>
      <c r="G2349" s="43"/>
      <c r="H2349" s="2"/>
    </row>
    <row r="2350" spans="1:8">
      <c r="A2350" s="39">
        <v>4.10466781503794</v>
      </c>
      <c r="B2350" s="45">
        <v>0.7</v>
      </c>
      <c r="D2350" s="2"/>
      <c r="E2350" s="31"/>
      <c r="G2350" s="43"/>
      <c r="H2350" s="2"/>
    </row>
    <row r="2351" spans="1:8">
      <c r="A2351" s="39">
        <v>4.10466781503794</v>
      </c>
      <c r="B2351" s="45">
        <v>7</v>
      </c>
      <c r="D2351" s="2"/>
      <c r="E2351" s="31"/>
      <c r="G2351" s="43"/>
      <c r="H2351" s="2"/>
    </row>
    <row r="2352" spans="1:8">
      <c r="A2352" s="39">
        <v>4.10466781503794</v>
      </c>
      <c r="B2352" s="45">
        <v>9</v>
      </c>
      <c r="D2352" s="2"/>
      <c r="E2352" s="31"/>
      <c r="G2352" s="43"/>
      <c r="H2352" s="2"/>
    </row>
    <row r="2353" spans="1:8">
      <c r="A2353" s="39">
        <v>4.10369884764542</v>
      </c>
      <c r="B2353" s="45">
        <v>16.8</v>
      </c>
      <c r="D2353" s="2"/>
      <c r="E2353" s="31"/>
      <c r="G2353" s="43"/>
      <c r="H2353" s="2"/>
    </row>
    <row r="2354" spans="1:8">
      <c r="A2354" s="39">
        <v>4.10369884764542</v>
      </c>
      <c r="B2354" s="45">
        <v>9.5</v>
      </c>
      <c r="D2354" s="2"/>
      <c r="E2354" s="31"/>
      <c r="G2354" s="43"/>
      <c r="H2354" s="2"/>
    </row>
    <row r="2355" spans="1:8">
      <c r="A2355" s="39">
        <v>4.10259307341374</v>
      </c>
      <c r="B2355" s="45">
        <v>8</v>
      </c>
      <c r="D2355" s="2"/>
      <c r="E2355" s="31"/>
      <c r="G2355" s="43"/>
      <c r="H2355" s="2"/>
    </row>
    <row r="2356" spans="1:8">
      <c r="A2356" s="39">
        <v>4.10259307341374</v>
      </c>
      <c r="B2356" s="45">
        <v>7</v>
      </c>
      <c r="D2356" s="2"/>
      <c r="E2356" s="31"/>
      <c r="G2356" s="43"/>
      <c r="H2356" s="2"/>
    </row>
    <row r="2357" spans="1:8">
      <c r="A2357" s="39">
        <v>4.10247016841086</v>
      </c>
      <c r="B2357" s="45">
        <v>2</v>
      </c>
      <c r="D2357" s="2"/>
      <c r="E2357" s="31"/>
      <c r="G2357" s="43"/>
      <c r="H2357" s="2"/>
    </row>
    <row r="2358" spans="1:8">
      <c r="A2358" s="39">
        <v>4.10151641606539</v>
      </c>
      <c r="B2358" s="45">
        <v>8</v>
      </c>
      <c r="D2358" s="2"/>
      <c r="E2358" s="31"/>
      <c r="G2358" s="43"/>
      <c r="H2358" s="2"/>
    </row>
    <row r="2359" spans="1:8">
      <c r="A2359" s="39">
        <v>4.10078893887205</v>
      </c>
      <c r="B2359" s="45">
        <v>6</v>
      </c>
      <c r="D2359" s="2"/>
      <c r="E2359" s="31"/>
      <c r="G2359" s="43"/>
      <c r="H2359" s="2"/>
    </row>
    <row r="2360" spans="1:8">
      <c r="A2360" s="39">
        <v>4.10037048352682</v>
      </c>
      <c r="B2360" s="45">
        <v>8.2</v>
      </c>
      <c r="D2360" s="2"/>
      <c r="E2360" s="31"/>
      <c r="G2360" s="43"/>
      <c r="H2360" s="2"/>
    </row>
    <row r="2361" spans="1:8">
      <c r="A2361" s="39">
        <v>4.10006146167871</v>
      </c>
      <c r="B2361" s="45">
        <v>12</v>
      </c>
      <c r="D2361" s="2"/>
      <c r="E2361" s="31"/>
      <c r="G2361" s="43"/>
      <c r="H2361" s="2"/>
    </row>
    <row r="2362" spans="1:8">
      <c r="A2362" s="39">
        <v>4.09905952557252</v>
      </c>
      <c r="B2362" s="45">
        <v>2</v>
      </c>
      <c r="D2362" s="2"/>
      <c r="E2362" s="31"/>
      <c r="G2362" s="43"/>
      <c r="H2362" s="2"/>
    </row>
    <row r="2363" spans="1:8">
      <c r="A2363" s="39">
        <v>4.09864383930037</v>
      </c>
      <c r="B2363" s="45">
        <v>16.2</v>
      </c>
      <c r="D2363" s="2"/>
      <c r="E2363" s="31"/>
      <c r="G2363" s="43"/>
      <c r="H2363" s="2"/>
    </row>
    <row r="2364" spans="1:8">
      <c r="A2364" s="39">
        <v>4.09824879626021</v>
      </c>
      <c r="B2364" s="45">
        <v>9</v>
      </c>
      <c r="D2364" s="2"/>
      <c r="E2364" s="31"/>
      <c r="G2364" s="43"/>
      <c r="H2364" s="2"/>
    </row>
    <row r="2365" spans="1:8">
      <c r="A2365" s="39">
        <v>4.09824276869535</v>
      </c>
      <c r="B2365" s="45">
        <v>10</v>
      </c>
      <c r="D2365" s="2"/>
      <c r="E2365" s="31"/>
      <c r="G2365" s="43"/>
      <c r="H2365" s="2"/>
    </row>
    <row r="2366" spans="1:8">
      <c r="A2366" s="39">
        <v>4.09768646774923</v>
      </c>
      <c r="B2366" s="45">
        <v>4.5</v>
      </c>
      <c r="D2366" s="2"/>
      <c r="E2366" s="31"/>
      <c r="G2366" s="43"/>
      <c r="H2366" s="2"/>
    </row>
    <row r="2367" spans="1:8">
      <c r="A2367" s="39">
        <v>4.09723633798193</v>
      </c>
      <c r="B2367" s="45">
        <v>8.6</v>
      </c>
      <c r="D2367" s="2"/>
      <c r="E2367" s="31"/>
      <c r="G2367" s="43"/>
      <c r="H2367" s="2"/>
    </row>
    <row r="2368" spans="1:8">
      <c r="A2368" s="39">
        <v>4.09723633798193</v>
      </c>
      <c r="B2368" s="45">
        <v>29</v>
      </c>
      <c r="D2368" s="2"/>
      <c r="E2368" s="31"/>
      <c r="G2368" s="43"/>
      <c r="H2368" s="2"/>
    </row>
    <row r="2369" spans="1:8">
      <c r="A2369" s="39">
        <v>4.09683267609672</v>
      </c>
      <c r="B2369" s="45">
        <v>5.5</v>
      </c>
      <c r="D2369" s="2"/>
      <c r="E2369" s="31"/>
      <c r="G2369" s="43"/>
      <c r="H2369" s="2"/>
    </row>
    <row r="2370" spans="1:8">
      <c r="A2370" s="39">
        <v>4.09642407571199</v>
      </c>
      <c r="B2370" s="45">
        <v>29</v>
      </c>
      <c r="D2370" s="2"/>
      <c r="E2370" s="31"/>
      <c r="G2370" s="43"/>
      <c r="H2370" s="2"/>
    </row>
    <row r="2371" spans="1:8">
      <c r="A2371" s="39">
        <v>4.09604289820339</v>
      </c>
      <c r="B2371" s="45">
        <v>1</v>
      </c>
      <c r="D2371" s="2"/>
      <c r="E2371" s="31"/>
      <c r="G2371" s="43"/>
      <c r="H2371" s="2"/>
    </row>
    <row r="2372" spans="1:8">
      <c r="A2372" s="39">
        <v>4.09582883666349</v>
      </c>
      <c r="B2372" s="45">
        <v>19</v>
      </c>
      <c r="D2372" s="2"/>
      <c r="E2372" s="31"/>
      <c r="G2372" s="43"/>
      <c r="H2372" s="2"/>
    </row>
    <row r="2373" spans="1:8">
      <c r="A2373" s="39">
        <v>4.09569659851865</v>
      </c>
      <c r="B2373" s="45">
        <v>8.8</v>
      </c>
      <c r="D2373" s="2"/>
      <c r="E2373" s="31"/>
      <c r="G2373" s="43"/>
      <c r="H2373" s="2"/>
    </row>
    <row r="2374" spans="1:8">
      <c r="A2374" s="39">
        <v>4.09569659851865</v>
      </c>
      <c r="B2374" s="45">
        <v>4.3</v>
      </c>
      <c r="D2374" s="2"/>
      <c r="E2374" s="31"/>
      <c r="G2374" s="43"/>
      <c r="H2374" s="2"/>
    </row>
    <row r="2375" spans="1:8">
      <c r="A2375" s="39">
        <v>4.0953151009578</v>
      </c>
      <c r="B2375" s="45">
        <v>10</v>
      </c>
      <c r="D2375" s="2"/>
      <c r="E2375" s="31"/>
      <c r="G2375" s="43"/>
      <c r="H2375" s="2"/>
    </row>
    <row r="2376" spans="1:8">
      <c r="A2376" s="39">
        <v>4.0953151009578</v>
      </c>
      <c r="B2376" s="45">
        <v>11.5</v>
      </c>
      <c r="D2376" s="2"/>
      <c r="E2376" s="31"/>
      <c r="G2376" s="43"/>
      <c r="H2376" s="2"/>
    </row>
    <row r="2377" spans="1:8">
      <c r="A2377" s="39">
        <v>4.09501971657885</v>
      </c>
      <c r="B2377" s="45">
        <v>19</v>
      </c>
      <c r="D2377" s="2"/>
      <c r="E2377" s="31"/>
      <c r="G2377" s="43"/>
      <c r="H2377" s="2"/>
    </row>
    <row r="2378" spans="1:8">
      <c r="A2378" s="39">
        <v>4.09474192198797</v>
      </c>
      <c r="B2378" s="45">
        <v>6</v>
      </c>
      <c r="D2378" s="2"/>
      <c r="E2378" s="31"/>
      <c r="G2378" s="43"/>
      <c r="H2378" s="2"/>
    </row>
    <row r="2379" spans="1:8">
      <c r="A2379" s="39">
        <v>4.09464070817866</v>
      </c>
      <c r="B2379" s="45">
        <v>12</v>
      </c>
      <c r="D2379" s="2"/>
      <c r="E2379" s="31"/>
      <c r="G2379" s="43"/>
      <c r="H2379" s="2"/>
    </row>
    <row r="2380" spans="1:8">
      <c r="A2380" s="39">
        <v>4.0945873037122</v>
      </c>
      <c r="B2380" s="45">
        <v>7.8</v>
      </c>
      <c r="D2380" s="2"/>
      <c r="E2380" s="31"/>
      <c r="G2380" s="43"/>
      <c r="H2380" s="2"/>
    </row>
    <row r="2381" spans="1:8">
      <c r="A2381" s="39">
        <v>4.09445646771204</v>
      </c>
      <c r="B2381" s="45">
        <v>7</v>
      </c>
      <c r="D2381" s="2"/>
      <c r="E2381" s="31"/>
      <c r="G2381" s="43"/>
      <c r="H2381" s="2"/>
    </row>
    <row r="2382" spans="1:8">
      <c r="A2382" s="39">
        <v>4.09392448626014</v>
      </c>
      <c r="B2382" s="45">
        <v>9.2</v>
      </c>
      <c r="D2382" s="2"/>
      <c r="E2382" s="31"/>
      <c r="G2382" s="43"/>
      <c r="H2382" s="2"/>
    </row>
    <row r="2383" spans="1:8">
      <c r="A2383" s="39">
        <v>4.09385950646661</v>
      </c>
      <c r="B2383" s="45">
        <v>14.8</v>
      </c>
      <c r="D2383" s="2"/>
      <c r="E2383" s="31"/>
      <c r="G2383" s="43"/>
      <c r="H2383" s="2"/>
    </row>
    <row r="2384" spans="1:8">
      <c r="A2384" s="39">
        <v>4.09359777640244</v>
      </c>
      <c r="B2384" s="45">
        <v>8.5</v>
      </c>
      <c r="D2384" s="2"/>
      <c r="E2384" s="31"/>
      <c r="G2384" s="43"/>
      <c r="H2384" s="2"/>
    </row>
    <row r="2385" spans="1:8">
      <c r="A2385" s="39">
        <v>4.0930138340266</v>
      </c>
      <c r="B2385" s="45">
        <v>16</v>
      </c>
      <c r="D2385" s="2"/>
      <c r="E2385" s="31"/>
      <c r="G2385" s="43"/>
      <c r="H2385" s="2"/>
    </row>
    <row r="2386" spans="1:8">
      <c r="A2386" s="39">
        <v>4.09167611472983</v>
      </c>
      <c r="B2386" s="45">
        <v>15</v>
      </c>
      <c r="D2386" s="2"/>
      <c r="E2386" s="31"/>
      <c r="G2386" s="43"/>
      <c r="H2386" s="2"/>
    </row>
    <row r="2387" spans="1:8">
      <c r="A2387" s="39">
        <v>4.09094831748423</v>
      </c>
      <c r="B2387" s="45">
        <v>0</v>
      </c>
      <c r="D2387" s="2"/>
      <c r="E2387" s="31"/>
      <c r="G2387" s="43"/>
      <c r="H2387" s="2"/>
    </row>
    <row r="2388" spans="1:8">
      <c r="A2388" s="39">
        <v>4.09094831748423</v>
      </c>
      <c r="B2388" s="45">
        <v>12</v>
      </c>
      <c r="D2388" s="2"/>
      <c r="E2388" s="31"/>
      <c r="G2388" s="43"/>
      <c r="H2388" s="2"/>
    </row>
    <row r="2389" spans="1:8">
      <c r="A2389" s="39">
        <v>4.09090258204894</v>
      </c>
      <c r="B2389" s="45">
        <v>9.4</v>
      </c>
      <c r="D2389" s="2"/>
      <c r="E2389" s="31"/>
      <c r="G2389" s="43"/>
      <c r="H2389" s="2"/>
    </row>
    <row r="2390" spans="1:8">
      <c r="A2390" s="39">
        <v>4.09034337666754</v>
      </c>
      <c r="B2390" s="45">
        <v>8.4</v>
      </c>
      <c r="D2390" s="2"/>
      <c r="E2390" s="31"/>
      <c r="G2390" s="43"/>
      <c r="H2390" s="2"/>
    </row>
    <row r="2391" spans="1:8">
      <c r="A2391" s="39">
        <v>4.09034337666754</v>
      </c>
      <c r="B2391" s="45">
        <v>22</v>
      </c>
      <c r="D2391" s="2"/>
      <c r="E2391" s="31"/>
      <c r="G2391" s="43"/>
      <c r="H2391" s="2"/>
    </row>
    <row r="2392" spans="1:8">
      <c r="A2392" s="39">
        <v>4.09034337666754</v>
      </c>
      <c r="B2392" s="45">
        <v>17</v>
      </c>
      <c r="D2392" s="2"/>
      <c r="E2392" s="31"/>
      <c r="G2392" s="43"/>
      <c r="H2392" s="2"/>
    </row>
    <row r="2393" spans="1:8">
      <c r="A2393" s="39">
        <v>4.08962715474902</v>
      </c>
      <c r="B2393" s="45">
        <v>13.5</v>
      </c>
      <c r="D2393" s="2"/>
      <c r="E2393" s="31"/>
      <c r="G2393" s="43"/>
      <c r="H2393" s="2"/>
    </row>
    <row r="2394" spans="1:8">
      <c r="A2394" s="39">
        <v>4.08926904378976</v>
      </c>
      <c r="B2394" s="45">
        <v>16.5</v>
      </c>
      <c r="D2394" s="2"/>
      <c r="E2394" s="31"/>
      <c r="G2394" s="43"/>
      <c r="H2394" s="2"/>
    </row>
    <row r="2395" spans="1:8">
      <c r="A2395" s="39">
        <v>4.08914930377857</v>
      </c>
      <c r="B2395" s="45">
        <v>2</v>
      </c>
      <c r="D2395" s="2"/>
      <c r="E2395" s="31"/>
      <c r="G2395" s="43"/>
      <c r="H2395" s="2"/>
    </row>
    <row r="2396" spans="1:8">
      <c r="A2396" s="39">
        <v>4.08914930377857</v>
      </c>
      <c r="B2396" s="45">
        <v>12</v>
      </c>
      <c r="D2396" s="2"/>
      <c r="E2396" s="31"/>
      <c r="G2396" s="43"/>
      <c r="H2396" s="2"/>
    </row>
    <row r="2397" spans="1:8">
      <c r="A2397" s="39">
        <v>4.08914930377857</v>
      </c>
      <c r="B2397" s="45">
        <v>9</v>
      </c>
      <c r="D2397" s="2"/>
      <c r="E2397" s="31"/>
      <c r="G2397" s="43"/>
      <c r="H2397" s="2"/>
    </row>
    <row r="2398" spans="1:8">
      <c r="A2398" s="39">
        <v>4.08876492574745</v>
      </c>
      <c r="B2398" s="45">
        <v>9.2</v>
      </c>
      <c r="D2398" s="2"/>
      <c r="E2398" s="31"/>
      <c r="G2398" s="43"/>
      <c r="H2398" s="2"/>
    </row>
    <row r="2399" spans="1:8">
      <c r="A2399" s="39">
        <v>4.08876492574745</v>
      </c>
      <c r="B2399" s="45">
        <v>11.7</v>
      </c>
      <c r="D2399" s="2"/>
      <c r="E2399" s="31"/>
      <c r="G2399" s="43"/>
      <c r="H2399" s="2"/>
    </row>
    <row r="2400" spans="1:8">
      <c r="A2400" s="39">
        <v>4.08803712850186</v>
      </c>
      <c r="B2400" s="45">
        <v>12</v>
      </c>
      <c r="D2400" s="2"/>
      <c r="E2400" s="31"/>
      <c r="G2400" s="43"/>
      <c r="H2400" s="2"/>
    </row>
    <row r="2401" spans="1:8">
      <c r="A2401" s="39">
        <v>4.08676226707494</v>
      </c>
      <c r="B2401" s="45">
        <v>19</v>
      </c>
      <c r="D2401" s="2"/>
      <c r="E2401" s="31"/>
      <c r="G2401" s="43"/>
      <c r="H2401" s="2"/>
    </row>
    <row r="2402" spans="1:8">
      <c r="A2402" s="39">
        <v>4.08676226707494</v>
      </c>
      <c r="B2402" s="45">
        <v>11</v>
      </c>
      <c r="D2402" s="2"/>
      <c r="E2402" s="31"/>
      <c r="G2402" s="43"/>
      <c r="H2402" s="2"/>
    </row>
    <row r="2403" spans="1:8">
      <c r="A2403" s="39">
        <v>4.08552881508814</v>
      </c>
      <c r="B2403" s="45">
        <v>18.6</v>
      </c>
      <c r="D2403" s="2"/>
      <c r="E2403" s="31"/>
      <c r="G2403" s="43"/>
      <c r="H2403" s="2"/>
    </row>
    <row r="2404" spans="1:8">
      <c r="A2404" s="39">
        <v>4.08542039370887</v>
      </c>
      <c r="B2404" s="45">
        <v>10</v>
      </c>
      <c r="D2404" s="2"/>
      <c r="E2404" s="31"/>
      <c r="G2404" s="43"/>
      <c r="H2404" s="2"/>
    </row>
    <row r="2405" spans="1:8">
      <c r="A2405" s="39">
        <v>4.08512593951948</v>
      </c>
      <c r="B2405" s="45">
        <v>2</v>
      </c>
      <c r="D2405" s="2"/>
      <c r="E2405" s="31"/>
      <c r="G2405" s="43"/>
      <c r="H2405" s="2"/>
    </row>
    <row r="2406" spans="1:8">
      <c r="A2406" s="39">
        <v>4.08492019409469</v>
      </c>
      <c r="B2406" s="45">
        <v>12.4</v>
      </c>
      <c r="D2406" s="2"/>
      <c r="E2406" s="31"/>
      <c r="G2406" s="43"/>
      <c r="H2406" s="2"/>
    </row>
    <row r="2407" spans="1:8">
      <c r="A2407" s="39">
        <v>4.08487398851646</v>
      </c>
      <c r="B2407" s="45">
        <v>7.5</v>
      </c>
      <c r="D2407" s="2"/>
      <c r="E2407" s="31"/>
      <c r="G2407" s="43"/>
      <c r="H2407" s="2"/>
    </row>
    <row r="2408" spans="1:8">
      <c r="A2408" s="39">
        <v>4.08428815144422</v>
      </c>
      <c r="B2408" s="45">
        <v>3.5</v>
      </c>
      <c r="D2408" s="2"/>
      <c r="E2408" s="31"/>
      <c r="G2408" s="43"/>
      <c r="H2408" s="2"/>
    </row>
    <row r="2409" spans="1:8">
      <c r="A2409" s="39">
        <v>4.08428815144422</v>
      </c>
      <c r="B2409" s="45">
        <v>5.6</v>
      </c>
      <c r="D2409" s="2"/>
      <c r="E2409" s="31"/>
      <c r="G2409" s="43"/>
      <c r="H2409" s="2"/>
    </row>
    <row r="2410" spans="1:8">
      <c r="A2410" s="39">
        <v>4.08386507545674</v>
      </c>
      <c r="B2410" s="45">
        <v>14</v>
      </c>
      <c r="D2410" s="2"/>
      <c r="E2410" s="31"/>
      <c r="G2410" s="43"/>
      <c r="H2410" s="2"/>
    </row>
    <row r="2411" spans="1:8">
      <c r="A2411" s="39">
        <v>4.08332948623183</v>
      </c>
      <c r="B2411" s="45">
        <v>21</v>
      </c>
      <c r="D2411" s="2"/>
      <c r="E2411" s="31"/>
      <c r="G2411" s="43"/>
      <c r="H2411" s="2"/>
    </row>
    <row r="2412" spans="1:8">
      <c r="A2412" s="39">
        <v>4.08318115748234</v>
      </c>
      <c r="B2412" s="45">
        <v>9.8</v>
      </c>
      <c r="D2412" s="2"/>
      <c r="E2412" s="31"/>
      <c r="G2412" s="43"/>
      <c r="H2412" s="2"/>
    </row>
    <row r="2413" spans="1:8">
      <c r="A2413" s="39">
        <v>4.08318115748234</v>
      </c>
      <c r="B2413" s="45">
        <v>12</v>
      </c>
      <c r="D2413" s="2"/>
      <c r="E2413" s="31"/>
      <c r="G2413" s="43"/>
      <c r="H2413" s="2"/>
    </row>
    <row r="2414" spans="1:8">
      <c r="A2414" s="39">
        <v>4.08318115748234</v>
      </c>
      <c r="B2414" s="45">
        <v>13.5</v>
      </c>
      <c r="D2414" s="2"/>
      <c r="E2414" s="31"/>
      <c r="G2414" s="43"/>
      <c r="H2414" s="2"/>
    </row>
    <row r="2415" spans="1:8">
      <c r="A2415" s="39">
        <v>4.08187453184514</v>
      </c>
      <c r="B2415" s="45">
        <v>11</v>
      </c>
      <c r="D2415" s="2"/>
      <c r="E2415" s="31"/>
      <c r="G2415" s="43"/>
      <c r="H2415" s="2"/>
    </row>
    <row r="2416" spans="1:8">
      <c r="A2416" s="39">
        <v>4.08148695329151</v>
      </c>
      <c r="B2416" s="45">
        <v>1</v>
      </c>
      <c r="D2416" s="2"/>
      <c r="E2416" s="31"/>
      <c r="G2416" s="43"/>
      <c r="H2416" s="2"/>
    </row>
    <row r="2417" spans="1:8">
      <c r="A2417" s="39">
        <v>4.08136330765759</v>
      </c>
      <c r="B2417" s="45">
        <v>15</v>
      </c>
      <c r="D2417" s="2"/>
      <c r="E2417" s="31"/>
      <c r="G2417" s="43"/>
      <c r="H2417" s="2"/>
    </row>
    <row r="2418" spans="1:8">
      <c r="A2418" s="39">
        <v>4.08136330765759</v>
      </c>
      <c r="B2418" s="45">
        <v>2</v>
      </c>
      <c r="D2418" s="2"/>
      <c r="E2418" s="31"/>
      <c r="G2418" s="43"/>
      <c r="H2418" s="2"/>
    </row>
    <row r="2419" spans="1:8">
      <c r="A2419" s="39">
        <v>4.08075915604591</v>
      </c>
      <c r="B2419" s="45">
        <v>12</v>
      </c>
      <c r="D2419" s="2"/>
      <c r="E2419" s="31"/>
      <c r="G2419" s="43"/>
      <c r="H2419" s="2"/>
    </row>
    <row r="2420" spans="1:8">
      <c r="A2420" s="39">
        <v>4.08010664322672</v>
      </c>
      <c r="B2420" s="45">
        <v>9.8</v>
      </c>
      <c r="D2420" s="2"/>
      <c r="E2420" s="31"/>
      <c r="G2420" s="43"/>
      <c r="H2420" s="2"/>
    </row>
    <row r="2421" spans="1:8">
      <c r="A2421" s="39">
        <v>4.08003135880032</v>
      </c>
      <c r="B2421" s="45">
        <v>2</v>
      </c>
      <c r="D2421" s="2"/>
      <c r="E2421" s="31"/>
      <c r="G2421" s="43"/>
      <c r="H2421" s="2"/>
    </row>
    <row r="2422" spans="1:8">
      <c r="A2422" s="39">
        <v>4.07933188169408</v>
      </c>
      <c r="B2422" s="45">
        <v>1</v>
      </c>
      <c r="D2422" s="2"/>
      <c r="E2422" s="31"/>
      <c r="G2422" s="43"/>
      <c r="H2422" s="2"/>
    </row>
    <row r="2423" spans="1:8">
      <c r="A2423" s="39">
        <v>4.07893882084219</v>
      </c>
      <c r="B2423" s="45">
        <v>17</v>
      </c>
      <c r="D2423" s="2"/>
      <c r="E2423" s="31"/>
      <c r="G2423" s="43"/>
      <c r="H2423" s="2"/>
    </row>
    <row r="2424" spans="1:8">
      <c r="A2424" s="39">
        <v>4.07888024093725</v>
      </c>
      <c r="B2424" s="45">
        <v>5</v>
      </c>
      <c r="D2424" s="2"/>
      <c r="E2424" s="31"/>
      <c r="G2424" s="43"/>
      <c r="H2424" s="2"/>
    </row>
    <row r="2425" spans="1:8">
      <c r="A2425" s="39">
        <v>4.07784796706354</v>
      </c>
      <c r="B2425" s="45">
        <v>6.5</v>
      </c>
      <c r="D2425" s="2"/>
      <c r="E2425" s="31"/>
      <c r="G2425" s="43"/>
      <c r="H2425" s="2"/>
    </row>
    <row r="2426" spans="1:8">
      <c r="A2426" s="39">
        <v>4.07734489771993</v>
      </c>
      <c r="B2426" s="45">
        <v>5.5</v>
      </c>
      <c r="D2426" s="2"/>
      <c r="E2426" s="31"/>
      <c r="G2426" s="43"/>
      <c r="H2426" s="2"/>
    </row>
    <row r="2427" spans="1:8">
      <c r="A2427" s="39">
        <v>4.07708139628854</v>
      </c>
      <c r="B2427" s="45">
        <v>9.7</v>
      </c>
      <c r="D2427" s="2"/>
      <c r="E2427" s="31"/>
      <c r="G2427" s="43"/>
      <c r="H2427" s="2"/>
    </row>
    <row r="2428" spans="1:8">
      <c r="A2428" s="39">
        <v>4.07682756886453</v>
      </c>
      <c r="B2428" s="45">
        <v>12</v>
      </c>
      <c r="D2428" s="2"/>
      <c r="E2428" s="31"/>
      <c r="G2428" s="43"/>
      <c r="H2428" s="2"/>
    </row>
    <row r="2429" spans="1:8">
      <c r="A2429" s="39">
        <v>4.07673516021566</v>
      </c>
      <c r="B2429" s="45">
        <v>9.6</v>
      </c>
      <c r="D2429" s="2"/>
      <c r="E2429" s="31"/>
      <c r="G2429" s="43"/>
      <c r="H2429" s="2"/>
    </row>
    <row r="2430" spans="1:8">
      <c r="A2430" s="39">
        <v>4.07639237257235</v>
      </c>
      <c r="B2430" s="45">
        <v>11</v>
      </c>
      <c r="D2430" s="2"/>
      <c r="E2430" s="31"/>
      <c r="G2430" s="43"/>
      <c r="H2430" s="2"/>
    </row>
    <row r="2431" spans="1:8">
      <c r="A2431" s="39">
        <v>4.07639237257235</v>
      </c>
      <c r="B2431" s="45">
        <v>9.5</v>
      </c>
      <c r="D2431" s="2"/>
      <c r="E2431" s="31"/>
      <c r="G2431" s="43"/>
      <c r="H2431" s="2"/>
    </row>
    <row r="2432" spans="1:8">
      <c r="A2432" s="39">
        <v>4.07612381820531</v>
      </c>
      <c r="B2432" s="45">
        <v>10</v>
      </c>
      <c r="D2432" s="2"/>
      <c r="E2432" s="31"/>
      <c r="G2432" s="43"/>
      <c r="H2432" s="2"/>
    </row>
    <row r="2433" spans="1:8">
      <c r="A2433" s="39">
        <v>4.07601893829714</v>
      </c>
      <c r="B2433" s="45">
        <v>8.8</v>
      </c>
      <c r="D2433" s="2"/>
      <c r="E2433" s="31"/>
      <c r="G2433" s="43"/>
      <c r="H2433" s="2"/>
    </row>
    <row r="2434" spans="1:8">
      <c r="A2434" s="39">
        <v>4.07601893829714</v>
      </c>
      <c r="B2434" s="45">
        <v>12.2</v>
      </c>
      <c r="D2434" s="2"/>
      <c r="E2434" s="31"/>
      <c r="G2434" s="43"/>
      <c r="H2434" s="2"/>
    </row>
    <row r="2435" spans="1:8">
      <c r="A2435" s="39">
        <v>4.07471631688687</v>
      </c>
      <c r="B2435" s="45">
        <v>10.6</v>
      </c>
      <c r="D2435" s="2"/>
      <c r="E2435" s="31"/>
      <c r="G2435" s="43"/>
      <c r="H2435" s="2"/>
    </row>
    <row r="2436" spans="1:8">
      <c r="A2436" s="39">
        <v>4.07460704652119</v>
      </c>
      <c r="B2436" s="45">
        <v>2</v>
      </c>
      <c r="D2436" s="2"/>
      <c r="E2436" s="31"/>
      <c r="G2436" s="43"/>
      <c r="H2436" s="2"/>
    </row>
    <row r="2437" spans="1:8">
      <c r="A2437" s="39">
        <v>4.0745864944601</v>
      </c>
      <c r="B2437" s="45">
        <v>14.3</v>
      </c>
      <c r="D2437" s="2"/>
      <c r="E2437" s="31"/>
      <c r="G2437" s="43"/>
      <c r="H2437" s="2"/>
    </row>
    <row r="2438" spans="1:8">
      <c r="A2438" s="39">
        <v>4.0745864944601</v>
      </c>
      <c r="B2438" s="45">
        <v>12.5</v>
      </c>
      <c r="D2438" s="2"/>
      <c r="E2438" s="31"/>
      <c r="G2438" s="43"/>
      <c r="H2438" s="2"/>
    </row>
    <row r="2439" spans="1:8">
      <c r="A2439" s="39">
        <v>4.07348118358997</v>
      </c>
      <c r="B2439" s="45">
        <v>11.3</v>
      </c>
      <c r="D2439" s="2"/>
      <c r="E2439" s="31"/>
      <c r="G2439" s="43"/>
      <c r="H2439" s="2"/>
    </row>
    <row r="2440" spans="1:8">
      <c r="A2440" s="39">
        <v>4.07348118358997</v>
      </c>
      <c r="B2440" s="45">
        <v>8.7</v>
      </c>
      <c r="D2440" s="2"/>
      <c r="E2440" s="31"/>
      <c r="G2440" s="43"/>
      <c r="H2440" s="2"/>
    </row>
    <row r="2441" spans="1:8">
      <c r="A2441" s="39">
        <v>4.07330881556843</v>
      </c>
      <c r="B2441" s="45">
        <v>2.5</v>
      </c>
      <c r="D2441" s="2"/>
      <c r="E2441" s="31"/>
      <c r="G2441" s="43"/>
      <c r="H2441" s="2"/>
    </row>
    <row r="2442" spans="1:8">
      <c r="A2442" s="39">
        <v>4.07315431966851</v>
      </c>
      <c r="B2442" s="45">
        <v>7</v>
      </c>
      <c r="D2442" s="2"/>
      <c r="E2442" s="31"/>
      <c r="G2442" s="43"/>
      <c r="H2442" s="2"/>
    </row>
    <row r="2443" spans="1:8">
      <c r="A2443" s="39">
        <v>4.07314480552503</v>
      </c>
      <c r="B2443" s="45">
        <v>14.6</v>
      </c>
      <c r="D2443" s="2"/>
      <c r="E2443" s="31"/>
      <c r="G2443" s="43"/>
      <c r="H2443" s="2"/>
    </row>
    <row r="2444" spans="1:8">
      <c r="A2444" s="39">
        <v>4.07278900384609</v>
      </c>
      <c r="B2444" s="45">
        <v>7</v>
      </c>
      <c r="D2444" s="2"/>
      <c r="E2444" s="31"/>
      <c r="G2444" s="43"/>
      <c r="H2444" s="2"/>
    </row>
    <row r="2445" spans="1:8">
      <c r="A2445" s="39">
        <v>4.07260506490921</v>
      </c>
      <c r="B2445" s="45">
        <v>12.1</v>
      </c>
      <c r="D2445" s="2"/>
      <c r="E2445" s="31"/>
      <c r="G2445" s="43"/>
      <c r="H2445" s="2"/>
    </row>
    <row r="2446" spans="1:8">
      <c r="A2446" s="39">
        <v>4.07243782870454</v>
      </c>
      <c r="B2446" s="45">
        <v>12.9</v>
      </c>
      <c r="D2446" s="2"/>
      <c r="E2446" s="31"/>
      <c r="G2446" s="43"/>
      <c r="H2446" s="2"/>
    </row>
    <row r="2447" spans="1:8">
      <c r="A2447" s="39">
        <v>4.07243782870454</v>
      </c>
      <c r="B2447" s="45">
        <v>8</v>
      </c>
      <c r="D2447" s="2"/>
      <c r="E2447" s="31"/>
      <c r="G2447" s="43"/>
      <c r="H2447" s="2"/>
    </row>
    <row r="2448" spans="1:8">
      <c r="A2448" s="39">
        <v>4.07212746561475</v>
      </c>
      <c r="B2448" s="45">
        <v>5.6</v>
      </c>
      <c r="D2448" s="2"/>
      <c r="E2448" s="31"/>
      <c r="G2448" s="43"/>
      <c r="H2448" s="2"/>
    </row>
    <row r="2449" spans="1:8">
      <c r="A2449" s="39">
        <v>4.07190131424999</v>
      </c>
      <c r="B2449" s="45">
        <v>17.6</v>
      </c>
      <c r="D2449" s="2"/>
      <c r="E2449" s="31"/>
      <c r="G2449" s="43"/>
      <c r="H2449" s="2"/>
    </row>
    <row r="2450" spans="1:8">
      <c r="A2450" s="39">
        <v>4.07168486234243</v>
      </c>
      <c r="B2450" s="45">
        <v>9</v>
      </c>
      <c r="D2450" s="2"/>
      <c r="E2450" s="31"/>
      <c r="G2450" s="43"/>
      <c r="H2450" s="2"/>
    </row>
    <row r="2451" spans="1:8">
      <c r="A2451" s="39">
        <v>4.07168486234243</v>
      </c>
      <c r="B2451" s="45">
        <v>12.8</v>
      </c>
      <c r="D2451" s="2"/>
      <c r="E2451" s="31"/>
      <c r="G2451" s="43"/>
      <c r="H2451" s="2"/>
    </row>
    <row r="2452" spans="1:8">
      <c r="A2452" s="39">
        <v>4.0715188431298</v>
      </c>
      <c r="B2452" s="45">
        <v>5.4</v>
      </c>
      <c r="D2452" s="2"/>
      <c r="E2452" s="31"/>
      <c r="G2452" s="43"/>
      <c r="H2452" s="2"/>
    </row>
    <row r="2453" spans="1:8">
      <c r="A2453" s="39">
        <v>4.07119756359077</v>
      </c>
      <c r="B2453" s="45">
        <v>11</v>
      </c>
      <c r="D2453" s="2"/>
      <c r="E2453" s="31"/>
      <c r="G2453" s="43"/>
      <c r="H2453" s="2"/>
    </row>
    <row r="2454" spans="1:8">
      <c r="A2454" s="39">
        <v>4.070962373945</v>
      </c>
      <c r="B2454" s="45">
        <v>8</v>
      </c>
      <c r="D2454" s="2"/>
      <c r="E2454" s="31"/>
      <c r="G2454" s="43"/>
      <c r="H2454" s="2"/>
    </row>
    <row r="2455" spans="1:8">
      <c r="A2455" s="39">
        <v>4.069842197362</v>
      </c>
      <c r="B2455" s="45">
        <v>14</v>
      </c>
      <c r="D2455" s="2"/>
      <c r="E2455" s="31"/>
      <c r="G2455" s="43"/>
      <c r="H2455" s="2"/>
    </row>
    <row r="2456" spans="1:8">
      <c r="A2456" s="39">
        <v>4.06979006227233</v>
      </c>
      <c r="B2456" s="45">
        <v>11.5</v>
      </c>
      <c r="D2456" s="2"/>
      <c r="E2456" s="31"/>
      <c r="G2456" s="43"/>
      <c r="H2456" s="2"/>
    </row>
    <row r="2457" spans="1:8">
      <c r="A2457" s="39">
        <v>4.0697221481683</v>
      </c>
      <c r="B2457" s="45">
        <v>2.5</v>
      </c>
      <c r="D2457" s="2"/>
      <c r="E2457" s="31"/>
      <c r="G2457" s="43"/>
      <c r="H2457" s="2"/>
    </row>
    <row r="2458" spans="1:8">
      <c r="A2458" s="39">
        <v>4.0697221481683</v>
      </c>
      <c r="B2458" s="45">
        <v>4.3</v>
      </c>
      <c r="D2458" s="2"/>
      <c r="E2458" s="31"/>
      <c r="G2458" s="43"/>
      <c r="H2458" s="2"/>
    </row>
    <row r="2459" spans="1:8">
      <c r="A2459" s="39">
        <v>4.0697221481683</v>
      </c>
      <c r="B2459" s="45">
        <v>9</v>
      </c>
      <c r="D2459" s="2"/>
      <c r="E2459" s="31"/>
      <c r="G2459" s="43"/>
      <c r="H2459" s="2"/>
    </row>
    <row r="2460" spans="1:8">
      <c r="A2460" s="39">
        <v>4.06957294103046</v>
      </c>
      <c r="B2460" s="45">
        <v>10</v>
      </c>
      <c r="D2460" s="2"/>
      <c r="E2460" s="31"/>
      <c r="G2460" s="43"/>
      <c r="H2460" s="2"/>
    </row>
    <row r="2461" spans="1:8">
      <c r="A2461" s="39">
        <v>4.06885671911194</v>
      </c>
      <c r="B2461" s="45">
        <v>16</v>
      </c>
      <c r="D2461" s="2"/>
      <c r="E2461" s="31"/>
      <c r="G2461" s="43"/>
      <c r="H2461" s="2"/>
    </row>
    <row r="2462" spans="1:8">
      <c r="A2462" s="39">
        <v>4.06885671911194</v>
      </c>
      <c r="B2462" s="45">
        <v>8.8</v>
      </c>
      <c r="D2462" s="2"/>
      <c r="E2462" s="31"/>
      <c r="G2462" s="43"/>
      <c r="H2462" s="2"/>
    </row>
    <row r="2463" spans="1:8">
      <c r="A2463" s="39">
        <v>4.06885671911194</v>
      </c>
      <c r="B2463" s="45">
        <v>13.5</v>
      </c>
      <c r="D2463" s="2"/>
      <c r="E2463" s="31"/>
      <c r="G2463" s="43"/>
      <c r="H2463" s="2"/>
    </row>
    <row r="2464" spans="1:8">
      <c r="A2464" s="39">
        <v>4.06860749562859</v>
      </c>
      <c r="B2464" s="45">
        <v>9.4</v>
      </c>
      <c r="D2464" s="2"/>
      <c r="E2464" s="31"/>
      <c r="G2464" s="43"/>
      <c r="H2464" s="2"/>
    </row>
    <row r="2465" spans="1:8">
      <c r="A2465" s="39">
        <v>4.06838256095389</v>
      </c>
      <c r="B2465" s="45">
        <v>16.7</v>
      </c>
      <c r="D2465" s="2"/>
      <c r="E2465" s="31"/>
      <c r="G2465" s="43"/>
      <c r="H2465" s="2"/>
    </row>
    <row r="2466" spans="1:8">
      <c r="A2466" s="39">
        <v>4.06805246517163</v>
      </c>
      <c r="B2466" s="45">
        <v>5.9</v>
      </c>
      <c r="D2466" s="2"/>
      <c r="E2466" s="31"/>
      <c r="G2466" s="43"/>
      <c r="H2466" s="2"/>
    </row>
    <row r="2467" spans="1:8">
      <c r="A2467" s="39">
        <v>4.06765880562522</v>
      </c>
      <c r="B2467" s="45">
        <v>5.6</v>
      </c>
      <c r="D2467" s="2"/>
      <c r="E2467" s="31"/>
      <c r="G2467" s="43"/>
      <c r="H2467" s="2"/>
    </row>
    <row r="2468" spans="1:8">
      <c r="A2468" s="39">
        <v>4.06756211857421</v>
      </c>
      <c r="B2468" s="45">
        <v>6.2</v>
      </c>
      <c r="D2468" s="2"/>
      <c r="E2468" s="31"/>
      <c r="G2468" s="43"/>
      <c r="H2468" s="2"/>
    </row>
    <row r="2469" spans="1:8">
      <c r="A2469" s="39">
        <v>4.06756211857421</v>
      </c>
      <c r="B2469" s="45">
        <v>3.4</v>
      </c>
      <c r="D2469" s="2"/>
      <c r="E2469" s="31"/>
      <c r="G2469" s="43"/>
      <c r="H2469" s="2"/>
    </row>
    <row r="2470" spans="1:8">
      <c r="A2470" s="39">
        <v>4.06732498797829</v>
      </c>
      <c r="B2470" s="45">
        <v>10.6</v>
      </c>
      <c r="D2470" s="2"/>
      <c r="E2470" s="31"/>
      <c r="G2470" s="43"/>
      <c r="H2470" s="2"/>
    </row>
    <row r="2471" spans="1:8">
      <c r="A2471" s="39">
        <v>4.06627130897622</v>
      </c>
      <c r="B2471" s="45">
        <v>8</v>
      </c>
      <c r="D2471" s="2"/>
      <c r="E2471" s="31"/>
      <c r="G2471" s="43"/>
      <c r="H2471" s="2"/>
    </row>
    <row r="2472" spans="1:8">
      <c r="A2472" s="39">
        <v>4.06620321113403</v>
      </c>
      <c r="B2472" s="45">
        <v>2.8</v>
      </c>
      <c r="D2472" s="2"/>
      <c r="E2472" s="31"/>
      <c r="G2472" s="43"/>
      <c r="H2472" s="2"/>
    </row>
    <row r="2473" spans="1:8">
      <c r="A2473" s="39">
        <v>4.06599183143786</v>
      </c>
      <c r="B2473" s="45">
        <v>9</v>
      </c>
      <c r="D2473" s="2"/>
      <c r="E2473" s="31"/>
      <c r="G2473" s="43"/>
      <c r="H2473" s="2"/>
    </row>
    <row r="2474" spans="1:8">
      <c r="A2474" s="39">
        <v>4.0657946752443</v>
      </c>
      <c r="B2474" s="45">
        <v>8.1</v>
      </c>
      <c r="D2474" s="2"/>
      <c r="E2474" s="31"/>
      <c r="G2474" s="43"/>
      <c r="H2474" s="2"/>
    </row>
    <row r="2475" spans="1:8">
      <c r="A2475" s="39">
        <v>4.06559462394109</v>
      </c>
      <c r="B2475" s="45">
        <v>11.4</v>
      </c>
      <c r="D2475" s="2"/>
      <c r="E2475" s="31"/>
      <c r="G2475" s="43"/>
      <c r="H2475" s="2"/>
    </row>
    <row r="2476" spans="1:8">
      <c r="A2476" s="39">
        <v>4.06472114912636</v>
      </c>
      <c r="B2476" s="45">
        <v>13</v>
      </c>
      <c r="D2476" s="2"/>
      <c r="E2476" s="31"/>
      <c r="G2476" s="43"/>
      <c r="H2476" s="2"/>
    </row>
    <row r="2477" spans="1:8">
      <c r="A2477" s="39">
        <v>4.06415919870558</v>
      </c>
      <c r="B2477" s="45">
        <v>9.7</v>
      </c>
      <c r="D2477" s="2"/>
      <c r="E2477" s="31"/>
      <c r="G2477" s="43"/>
      <c r="H2477" s="2"/>
    </row>
    <row r="2478" spans="1:8">
      <c r="A2478" s="39">
        <v>4.06395630805283</v>
      </c>
      <c r="B2478" s="45">
        <v>7</v>
      </c>
      <c r="D2478" s="2"/>
      <c r="E2478" s="31"/>
      <c r="G2478" s="43"/>
      <c r="H2478" s="2"/>
    </row>
    <row r="2479" spans="1:8">
      <c r="A2479" s="39">
        <v>4.0638431656823</v>
      </c>
      <c r="B2479" s="45">
        <v>10</v>
      </c>
      <c r="D2479" s="2"/>
      <c r="E2479" s="31"/>
      <c r="G2479" s="43"/>
      <c r="H2479" s="2"/>
    </row>
    <row r="2480" spans="1:8">
      <c r="A2480" s="39">
        <v>4.06345630633934</v>
      </c>
      <c r="B2480" s="45">
        <v>11.8</v>
      </c>
      <c r="D2480" s="2"/>
      <c r="E2480" s="31"/>
      <c r="G2480" s="43"/>
      <c r="H2480" s="2"/>
    </row>
    <row r="2481" spans="1:8">
      <c r="A2481" s="39">
        <v>4.06338061035671</v>
      </c>
      <c r="B2481" s="45">
        <v>3</v>
      </c>
      <c r="D2481" s="2"/>
      <c r="E2481" s="31"/>
      <c r="G2481" s="43"/>
      <c r="H2481" s="2"/>
    </row>
    <row r="2482" spans="1:8">
      <c r="A2482" s="39">
        <v>4.06338061035671</v>
      </c>
      <c r="B2482" s="45">
        <v>4.5</v>
      </c>
      <c r="D2482" s="2"/>
      <c r="E2482" s="31"/>
      <c r="G2482" s="43"/>
      <c r="H2482" s="2"/>
    </row>
    <row r="2483" spans="1:8">
      <c r="A2483" s="39">
        <v>4.06334146043623</v>
      </c>
      <c r="B2483" s="45">
        <v>5.9</v>
      </c>
      <c r="D2483" s="2"/>
      <c r="E2483" s="31"/>
      <c r="G2483" s="43"/>
      <c r="H2483" s="2"/>
    </row>
    <row r="2484" spans="1:8">
      <c r="A2484" s="39">
        <v>4.06334146043623</v>
      </c>
      <c r="B2484" s="45">
        <v>8.8</v>
      </c>
      <c r="D2484" s="2"/>
      <c r="E2484" s="31"/>
      <c r="G2484" s="43"/>
      <c r="H2484" s="2"/>
    </row>
    <row r="2485" spans="1:8">
      <c r="A2485" s="39">
        <v>4.06330709380946</v>
      </c>
      <c r="B2485" s="45">
        <v>8.1</v>
      </c>
      <c r="D2485" s="2"/>
      <c r="E2485" s="31"/>
      <c r="G2485" s="43"/>
      <c r="H2485" s="2"/>
    </row>
    <row r="2486" spans="1:8">
      <c r="A2486" s="39">
        <v>4.06269063909891</v>
      </c>
      <c r="B2486" s="45">
        <v>5.4</v>
      </c>
      <c r="D2486" s="2"/>
      <c r="E2486" s="31"/>
      <c r="G2486" s="43"/>
      <c r="H2486" s="2"/>
    </row>
    <row r="2487" spans="1:8">
      <c r="A2487" s="39">
        <v>4.06256422490606</v>
      </c>
      <c r="B2487" s="45">
        <v>11</v>
      </c>
      <c r="D2487" s="2"/>
      <c r="E2487" s="31"/>
      <c r="G2487" s="43"/>
      <c r="H2487" s="2"/>
    </row>
    <row r="2488" spans="1:8">
      <c r="A2488" s="39">
        <v>4.0620488050209</v>
      </c>
      <c r="B2488" s="45">
        <v>13.8</v>
      </c>
      <c r="D2488" s="2"/>
      <c r="E2488" s="31"/>
      <c r="G2488" s="43"/>
      <c r="H2488" s="2"/>
    </row>
    <row r="2489" spans="1:8">
      <c r="A2489" s="39">
        <v>4.0620488050209</v>
      </c>
      <c r="B2489" s="45">
        <v>22</v>
      </c>
      <c r="D2489" s="2"/>
      <c r="E2489" s="31"/>
      <c r="G2489" s="43"/>
      <c r="H2489" s="2"/>
    </row>
    <row r="2490" spans="1:8">
      <c r="A2490" s="39">
        <v>4.06203436134768</v>
      </c>
      <c r="B2490" s="45">
        <v>7.9</v>
      </c>
      <c r="D2490" s="2"/>
      <c r="E2490" s="31"/>
      <c r="G2490" s="43"/>
      <c r="H2490" s="2"/>
    </row>
    <row r="2491" spans="1:8">
      <c r="A2491" s="39">
        <v>4.06203436134768</v>
      </c>
      <c r="B2491" s="45">
        <v>7.8</v>
      </c>
      <c r="D2491" s="2"/>
      <c r="E2491" s="31"/>
      <c r="G2491" s="43"/>
      <c r="H2491" s="2"/>
    </row>
    <row r="2492" spans="1:8">
      <c r="A2492" s="39">
        <v>4.06169449992674</v>
      </c>
      <c r="B2492" s="45">
        <v>14.8</v>
      </c>
      <c r="D2492" s="2"/>
      <c r="E2492" s="31"/>
      <c r="G2492" s="43"/>
      <c r="H2492" s="2"/>
    </row>
    <row r="2493" spans="1:8">
      <c r="A2493" s="39">
        <v>4.06169449992674</v>
      </c>
      <c r="B2493" s="45">
        <v>17</v>
      </c>
      <c r="D2493" s="2"/>
      <c r="E2493" s="31"/>
      <c r="G2493" s="43"/>
      <c r="H2493" s="2"/>
    </row>
    <row r="2494" spans="1:8">
      <c r="A2494" s="39">
        <v>4.06169449992674</v>
      </c>
      <c r="B2494" s="45">
        <v>7.5</v>
      </c>
      <c r="D2494" s="2"/>
      <c r="E2494" s="31"/>
      <c r="G2494" s="43"/>
      <c r="H2494" s="2"/>
    </row>
    <row r="2495" spans="1:8">
      <c r="A2495" s="39">
        <v>4.06169449992674</v>
      </c>
      <c r="B2495" s="45">
        <v>5.1</v>
      </c>
      <c r="D2495" s="2"/>
      <c r="E2495" s="31"/>
      <c r="G2495" s="43"/>
      <c r="H2495" s="2"/>
    </row>
    <row r="2496" spans="1:8">
      <c r="A2496" s="39">
        <v>4.06135464163164</v>
      </c>
      <c r="B2496" s="45">
        <v>10.3</v>
      </c>
      <c r="D2496" s="2"/>
      <c r="E2496" s="31"/>
      <c r="G2496" s="43"/>
      <c r="H2496" s="2"/>
    </row>
    <row r="2497" spans="1:8">
      <c r="A2497" s="39">
        <v>4.06088824562815</v>
      </c>
      <c r="B2497" s="45">
        <v>9.4</v>
      </c>
      <c r="D2497" s="2"/>
      <c r="E2497" s="31"/>
      <c r="G2497" s="43"/>
      <c r="H2497" s="2"/>
    </row>
    <row r="2498" spans="1:8">
      <c r="A2498" s="39">
        <v>4.06000803863375</v>
      </c>
      <c r="B2498" s="45">
        <v>10.5</v>
      </c>
      <c r="D2498" s="2"/>
      <c r="E2498" s="31"/>
      <c r="G2498" s="43"/>
      <c r="H2498" s="2"/>
    </row>
    <row r="2499" spans="1:8">
      <c r="A2499" s="39">
        <v>4.05932273885152</v>
      </c>
      <c r="B2499" s="45">
        <v>8.7</v>
      </c>
      <c r="D2499" s="2"/>
      <c r="E2499" s="31"/>
      <c r="G2499" s="43"/>
      <c r="H2499" s="2"/>
    </row>
    <row r="2500" spans="1:8">
      <c r="A2500" s="39">
        <v>4.05923380238402</v>
      </c>
      <c r="B2500" s="45">
        <v>15.5</v>
      </c>
      <c r="D2500" s="2"/>
      <c r="E2500" s="31"/>
      <c r="G2500" s="43"/>
      <c r="H2500" s="2"/>
    </row>
    <row r="2501" spans="1:8">
      <c r="A2501" s="39">
        <v>4.05866143563586</v>
      </c>
      <c r="B2501" s="45">
        <v>2</v>
      </c>
      <c r="D2501" s="2"/>
      <c r="E2501" s="31"/>
      <c r="G2501" s="43"/>
      <c r="H2501" s="2"/>
    </row>
    <row r="2502" spans="1:8">
      <c r="A2502" s="39">
        <v>4.05815372508483</v>
      </c>
      <c r="B2502" s="45">
        <v>6.7</v>
      </c>
      <c r="D2502" s="2"/>
      <c r="E2502" s="31"/>
      <c r="G2502" s="43"/>
      <c r="H2502" s="2"/>
    </row>
    <row r="2503" spans="1:8">
      <c r="A2503" s="39">
        <v>4.05811339033414</v>
      </c>
      <c r="B2503" s="45">
        <v>11.1</v>
      </c>
      <c r="D2503" s="2"/>
      <c r="E2503" s="31"/>
      <c r="G2503" s="43"/>
      <c r="H2503" s="2"/>
    </row>
    <row r="2504" spans="1:8">
      <c r="A2504" s="39">
        <v>4.05761729255072</v>
      </c>
      <c r="B2504" s="45">
        <v>6.6</v>
      </c>
      <c r="D2504" s="2"/>
      <c r="E2504" s="31"/>
      <c r="G2504" s="43"/>
      <c r="H2504" s="2"/>
    </row>
    <row r="2505" spans="1:8">
      <c r="A2505" s="39">
        <v>4.05712255040636</v>
      </c>
      <c r="B2505" s="45">
        <v>4</v>
      </c>
      <c r="D2505" s="2"/>
      <c r="E2505" s="31"/>
      <c r="G2505" s="43"/>
      <c r="H2505" s="2"/>
    </row>
    <row r="2506" spans="1:8">
      <c r="A2506" s="39">
        <v>4.05639468282844</v>
      </c>
      <c r="B2506" s="45">
        <v>8</v>
      </c>
      <c r="D2506" s="2"/>
      <c r="E2506" s="31"/>
      <c r="G2506" s="43"/>
      <c r="H2506" s="2"/>
    </row>
    <row r="2507" spans="1:8">
      <c r="A2507" s="39">
        <v>4.05639468282844</v>
      </c>
      <c r="B2507" s="45">
        <v>6.7</v>
      </c>
      <c r="D2507" s="2"/>
      <c r="E2507" s="31"/>
      <c r="G2507" s="43"/>
      <c r="H2507" s="2"/>
    </row>
    <row r="2508" spans="1:8">
      <c r="A2508" s="39">
        <v>4.05612655092971</v>
      </c>
      <c r="B2508" s="45">
        <v>7</v>
      </c>
      <c r="D2508" s="2"/>
      <c r="E2508" s="31"/>
      <c r="G2508" s="43"/>
      <c r="H2508" s="2"/>
    </row>
    <row r="2509" spans="1:8">
      <c r="A2509" s="39">
        <v>4.05606297097608</v>
      </c>
      <c r="B2509" s="45">
        <v>7.9</v>
      </c>
      <c r="D2509" s="2"/>
      <c r="E2509" s="31"/>
      <c r="G2509" s="43"/>
      <c r="H2509" s="2"/>
    </row>
    <row r="2510" spans="1:8">
      <c r="A2510" s="39">
        <v>4.05601404969572</v>
      </c>
      <c r="B2510" s="45">
        <v>8.2</v>
      </c>
      <c r="D2510" s="2"/>
      <c r="E2510" s="31"/>
      <c r="G2510" s="43"/>
      <c r="H2510" s="2"/>
    </row>
    <row r="2511" spans="1:8">
      <c r="A2511" s="39">
        <v>4.05530754787963</v>
      </c>
      <c r="B2511" s="45">
        <v>2</v>
      </c>
      <c r="D2511" s="2"/>
      <c r="E2511" s="31"/>
      <c r="G2511" s="43"/>
      <c r="H2511" s="2"/>
    </row>
    <row r="2512" spans="1:8">
      <c r="A2512" s="39">
        <v>4.0550112984287</v>
      </c>
      <c r="B2512" s="45">
        <v>18</v>
      </c>
      <c r="D2512" s="2"/>
      <c r="E2512" s="31"/>
      <c r="G2512" s="43"/>
      <c r="H2512" s="2"/>
    </row>
    <row r="2513" spans="1:8">
      <c r="A2513" s="39">
        <v>4.0546216266422</v>
      </c>
      <c r="B2513" s="45">
        <v>9.5</v>
      </c>
      <c r="D2513" s="2"/>
      <c r="E2513" s="31"/>
      <c r="G2513" s="43"/>
      <c r="H2513" s="2"/>
    </row>
    <row r="2514" spans="1:8">
      <c r="A2514" s="39">
        <v>4.0546216266422</v>
      </c>
      <c r="B2514" s="45">
        <v>6</v>
      </c>
      <c r="D2514" s="2"/>
      <c r="E2514" s="31"/>
      <c r="G2514" s="43"/>
      <c r="H2514" s="2"/>
    </row>
    <row r="2515" spans="1:8">
      <c r="A2515" s="39">
        <v>4.05459583817974</v>
      </c>
      <c r="B2515" s="45">
        <v>4.1</v>
      </c>
      <c r="D2515" s="2"/>
      <c r="E2515" s="31"/>
      <c r="G2515" s="43"/>
      <c r="H2515" s="2"/>
    </row>
    <row r="2516" spans="1:8">
      <c r="A2516" s="39">
        <v>4.05453228074154</v>
      </c>
      <c r="B2516" s="45">
        <v>12.3</v>
      </c>
      <c r="D2516" s="2"/>
      <c r="E2516" s="31"/>
      <c r="G2516" s="43"/>
      <c r="H2516" s="2"/>
    </row>
    <row r="2517" spans="1:8">
      <c r="A2517" s="39">
        <v>4.05453228074154</v>
      </c>
      <c r="B2517" s="45">
        <v>4</v>
      </c>
      <c r="D2517" s="2"/>
      <c r="E2517" s="31"/>
      <c r="G2517" s="43"/>
      <c r="H2517" s="2"/>
    </row>
    <row r="2518" spans="1:8">
      <c r="A2518" s="39">
        <v>4.05338560117447</v>
      </c>
      <c r="B2518" s="45">
        <v>9</v>
      </c>
      <c r="D2518" s="2"/>
      <c r="E2518" s="31"/>
      <c r="G2518" s="43"/>
      <c r="H2518" s="2"/>
    </row>
    <row r="2519" spans="1:8">
      <c r="A2519" s="39">
        <v>4.0530998369045</v>
      </c>
      <c r="B2519" s="45">
        <v>14.3</v>
      </c>
      <c r="D2519" s="2"/>
      <c r="E2519" s="31"/>
      <c r="G2519" s="43"/>
      <c r="H2519" s="2"/>
    </row>
    <row r="2520" spans="1:8">
      <c r="A2520" s="39">
        <v>4.05271086293458</v>
      </c>
      <c r="B2520" s="45">
        <v>4</v>
      </c>
      <c r="D2520" s="2"/>
      <c r="E2520" s="31"/>
      <c r="G2520" s="43"/>
      <c r="H2520" s="2"/>
    </row>
    <row r="2521" spans="1:8">
      <c r="A2521" s="39">
        <v>4.05271086293458</v>
      </c>
      <c r="B2521" s="45">
        <v>3.9</v>
      </c>
      <c r="D2521" s="2"/>
      <c r="E2521" s="31"/>
      <c r="G2521" s="43"/>
      <c r="H2521" s="2"/>
    </row>
    <row r="2522" spans="1:8">
      <c r="A2522" s="39">
        <v>4.05242462782189</v>
      </c>
      <c r="B2522" s="45">
        <v>7.9</v>
      </c>
      <c r="D2522" s="2"/>
      <c r="E2522" s="31"/>
      <c r="G2522" s="43"/>
      <c r="H2522" s="2"/>
    </row>
    <row r="2523" spans="1:8">
      <c r="A2523" s="39">
        <v>4.05192842064642</v>
      </c>
      <c r="B2523" s="45">
        <v>9.4</v>
      </c>
      <c r="D2523" s="2"/>
      <c r="E2523" s="31"/>
      <c r="G2523" s="43"/>
      <c r="H2523" s="2"/>
    </row>
    <row r="2524" spans="1:8">
      <c r="A2524" s="39">
        <v>4.05192842064642</v>
      </c>
      <c r="B2524" s="45">
        <v>11.4</v>
      </c>
      <c r="D2524" s="2"/>
      <c r="E2524" s="31"/>
      <c r="G2524" s="43"/>
      <c r="H2524" s="2"/>
    </row>
    <row r="2525" spans="1:8">
      <c r="A2525" s="39">
        <v>4.05164726622215</v>
      </c>
      <c r="B2525" s="45">
        <v>15</v>
      </c>
      <c r="D2525" s="2"/>
      <c r="E2525" s="31"/>
      <c r="G2525" s="43"/>
      <c r="H2525" s="2"/>
    </row>
    <row r="2526" spans="1:8">
      <c r="A2526" s="39">
        <v>4.05164726622215</v>
      </c>
      <c r="B2526" s="45">
        <v>12</v>
      </c>
      <c r="D2526" s="2"/>
      <c r="E2526" s="31"/>
      <c r="G2526" s="43"/>
      <c r="H2526" s="2"/>
    </row>
    <row r="2527" spans="1:8">
      <c r="A2527" s="39">
        <v>4.05149254513259</v>
      </c>
      <c r="B2527" s="45">
        <v>11.5</v>
      </c>
      <c r="D2527" s="2"/>
      <c r="E2527" s="31"/>
      <c r="G2527" s="43"/>
      <c r="H2527" s="2"/>
    </row>
    <row r="2528" spans="1:8">
      <c r="A2528" s="39">
        <v>4.05149254513259</v>
      </c>
      <c r="B2528" s="45">
        <v>7.5</v>
      </c>
      <c r="D2528" s="2"/>
      <c r="E2528" s="31"/>
      <c r="G2528" s="43"/>
      <c r="H2528" s="2"/>
    </row>
    <row r="2529" spans="1:8">
      <c r="A2529" s="39">
        <v>4.05095117114894</v>
      </c>
      <c r="B2529" s="45">
        <v>13.4</v>
      </c>
      <c r="D2529" s="2"/>
      <c r="E2529" s="31"/>
      <c r="G2529" s="43"/>
      <c r="H2529" s="2"/>
    </row>
    <row r="2530" spans="1:8">
      <c r="A2530" s="39">
        <v>4.05095117114894</v>
      </c>
      <c r="B2530" s="45">
        <v>8.6</v>
      </c>
      <c r="D2530" s="2"/>
      <c r="E2530" s="31"/>
      <c r="G2530" s="43"/>
      <c r="H2530" s="2"/>
    </row>
    <row r="2531" spans="1:8">
      <c r="A2531" s="39">
        <v>4.05095117114894</v>
      </c>
      <c r="B2531" s="45">
        <v>7.8</v>
      </c>
      <c r="D2531" s="2"/>
      <c r="E2531" s="31"/>
      <c r="G2531" s="43"/>
      <c r="H2531" s="2"/>
    </row>
    <row r="2532" spans="1:8">
      <c r="A2532" s="39">
        <v>4.05091946897656</v>
      </c>
      <c r="B2532" s="45">
        <v>9.5</v>
      </c>
      <c r="D2532" s="2"/>
      <c r="E2532" s="31"/>
      <c r="G2532" s="43"/>
      <c r="H2532" s="2"/>
    </row>
    <row r="2533" spans="1:8">
      <c r="A2533" s="39">
        <v>4.05083608570421</v>
      </c>
      <c r="B2533" s="45">
        <v>3.4</v>
      </c>
      <c r="D2533" s="2"/>
      <c r="E2533" s="31"/>
      <c r="G2533" s="43"/>
      <c r="H2533" s="2"/>
    </row>
    <row r="2534" spans="1:8">
      <c r="A2534" s="39">
        <v>4.05078879447337</v>
      </c>
      <c r="B2534" s="45">
        <v>16</v>
      </c>
      <c r="D2534" s="2"/>
      <c r="E2534" s="31"/>
      <c r="G2534" s="43"/>
      <c r="H2534" s="2"/>
    </row>
    <row r="2535" spans="1:8">
      <c r="A2535" s="39">
        <v>4.0502354930573</v>
      </c>
      <c r="B2535" s="45">
        <v>20.3</v>
      </c>
      <c r="D2535" s="2"/>
      <c r="E2535" s="31"/>
      <c r="G2535" s="43"/>
      <c r="H2535" s="2"/>
    </row>
    <row r="2536" spans="1:8">
      <c r="A2536" s="39">
        <v>4.0502354930573</v>
      </c>
      <c r="B2536" s="45">
        <v>13.5</v>
      </c>
      <c r="D2536" s="2"/>
      <c r="E2536" s="31"/>
      <c r="G2536" s="43"/>
      <c r="H2536" s="2"/>
    </row>
    <row r="2537" spans="1:8">
      <c r="A2537" s="39">
        <v>4.05023494923042</v>
      </c>
      <c r="B2537" s="45">
        <v>14.5</v>
      </c>
      <c r="D2537" s="2"/>
      <c r="E2537" s="31"/>
      <c r="G2537" s="43"/>
      <c r="H2537" s="2"/>
    </row>
    <row r="2538" spans="1:8">
      <c r="A2538" s="39">
        <v>4.04996638573255</v>
      </c>
      <c r="B2538" s="45">
        <v>8</v>
      </c>
      <c r="D2538" s="2"/>
      <c r="E2538" s="31"/>
      <c r="G2538" s="43"/>
      <c r="H2538" s="2"/>
    </row>
    <row r="2539" spans="1:8">
      <c r="A2539" s="39">
        <v>4.04800827999418</v>
      </c>
      <c r="B2539" s="45">
        <v>11.2</v>
      </c>
      <c r="D2539" s="2"/>
      <c r="E2539" s="31"/>
      <c r="G2539" s="43"/>
      <c r="H2539" s="2"/>
    </row>
    <row r="2540" spans="1:8">
      <c r="A2540" s="39">
        <v>4.04769995454108</v>
      </c>
      <c r="B2540" s="45">
        <v>5</v>
      </c>
      <c r="D2540" s="2"/>
      <c r="E2540" s="31"/>
      <c r="G2540" s="43"/>
      <c r="H2540" s="2"/>
    </row>
    <row r="2541" spans="1:8">
      <c r="A2541" s="39">
        <v>4.04737006155634</v>
      </c>
      <c r="B2541" s="45">
        <v>19.1</v>
      </c>
      <c r="D2541" s="2"/>
      <c r="E2541" s="31"/>
      <c r="G2541" s="43"/>
      <c r="H2541" s="2"/>
    </row>
    <row r="2542" spans="1:8">
      <c r="A2542" s="39">
        <v>4.04737006155634</v>
      </c>
      <c r="B2542" s="45">
        <v>9.9</v>
      </c>
      <c r="D2542" s="2"/>
      <c r="E2542" s="31"/>
      <c r="G2542" s="43"/>
      <c r="H2542" s="2"/>
    </row>
    <row r="2543" spans="1:8">
      <c r="A2543" s="39">
        <v>4.04727004117727</v>
      </c>
      <c r="B2543" s="45">
        <v>11</v>
      </c>
      <c r="D2543" s="2"/>
      <c r="E2543" s="31"/>
      <c r="G2543" s="43"/>
      <c r="H2543" s="2"/>
    </row>
    <row r="2544" spans="1:8">
      <c r="A2544" s="39">
        <v>4.04698669504908</v>
      </c>
      <c r="B2544" s="45">
        <v>3</v>
      </c>
      <c r="D2544" s="2"/>
      <c r="E2544" s="31"/>
      <c r="G2544" s="43"/>
      <c r="H2544" s="2"/>
    </row>
    <row r="2545" spans="1:8">
      <c r="A2545" s="39">
        <v>4.04696759286926</v>
      </c>
      <c r="B2545" s="45">
        <v>25</v>
      </c>
      <c r="D2545" s="2"/>
      <c r="E2545" s="31"/>
      <c r="G2545" s="43"/>
      <c r="H2545" s="2"/>
    </row>
    <row r="2546" spans="1:8">
      <c r="A2546" s="39">
        <v>4.04696759286926</v>
      </c>
      <c r="B2546" s="45">
        <v>23</v>
      </c>
      <c r="D2546" s="2"/>
      <c r="E2546" s="31"/>
      <c r="G2546" s="43"/>
      <c r="H2546" s="2"/>
    </row>
    <row r="2547" spans="1:8">
      <c r="A2547" s="39">
        <v>4.04696759286926</v>
      </c>
      <c r="B2547" s="45">
        <v>5</v>
      </c>
      <c r="D2547" s="2"/>
      <c r="E2547" s="31"/>
      <c r="G2547" s="43"/>
      <c r="H2547" s="2"/>
    </row>
    <row r="2548" spans="1:8">
      <c r="A2548" s="39">
        <v>4.04665457748671</v>
      </c>
      <c r="B2548" s="45">
        <v>4.1</v>
      </c>
      <c r="D2548" s="2"/>
      <c r="E2548" s="31"/>
      <c r="G2548" s="43"/>
      <c r="H2548" s="2"/>
    </row>
    <row r="2549" spans="1:8">
      <c r="A2549" s="39">
        <v>4.04656629051805</v>
      </c>
      <c r="B2549" s="45">
        <v>16.6</v>
      </c>
      <c r="D2549" s="2"/>
      <c r="E2549" s="31"/>
      <c r="G2549" s="43"/>
      <c r="H2549" s="2"/>
    </row>
    <row r="2550" spans="1:8">
      <c r="A2550" s="39">
        <v>4.04654407173413</v>
      </c>
      <c r="B2550" s="45">
        <v>2</v>
      </c>
      <c r="D2550" s="2"/>
      <c r="E2550" s="31"/>
      <c r="G2550" s="43"/>
      <c r="H2550" s="2"/>
    </row>
    <row r="2551" spans="1:8">
      <c r="A2551" s="39">
        <v>4.04629572867856</v>
      </c>
      <c r="B2551" s="45">
        <v>14</v>
      </c>
      <c r="D2551" s="2"/>
      <c r="E2551" s="31"/>
      <c r="G2551" s="43"/>
      <c r="H2551" s="2"/>
    </row>
    <row r="2552" spans="1:8">
      <c r="A2552" s="39">
        <v>4.04512986336447</v>
      </c>
      <c r="B2552" s="45">
        <v>15</v>
      </c>
      <c r="D2552" s="2"/>
      <c r="E2552" s="31"/>
      <c r="G2552" s="43"/>
      <c r="H2552" s="2"/>
    </row>
    <row r="2553" spans="1:8">
      <c r="A2553" s="39">
        <v>4.04453348024101</v>
      </c>
      <c r="B2553" s="45">
        <v>7.2</v>
      </c>
      <c r="D2553" s="2"/>
      <c r="E2553" s="31"/>
      <c r="G2553" s="43"/>
      <c r="H2553" s="2"/>
    </row>
    <row r="2554" spans="1:8">
      <c r="A2554" s="39">
        <v>4.04450517388226</v>
      </c>
      <c r="B2554" s="45">
        <v>12.4</v>
      </c>
      <c r="D2554" s="2"/>
      <c r="E2554" s="31"/>
      <c r="G2554" s="43"/>
      <c r="H2554" s="2"/>
    </row>
    <row r="2555" spans="1:8">
      <c r="A2555" s="39">
        <v>4.04436929376621</v>
      </c>
      <c r="B2555" s="45">
        <v>14</v>
      </c>
      <c r="D2555" s="2"/>
      <c r="E2555" s="31"/>
      <c r="G2555" s="43"/>
      <c r="H2555" s="2"/>
    </row>
    <row r="2556" spans="1:8">
      <c r="A2556" s="39">
        <v>4.04404571779133</v>
      </c>
      <c r="B2556" s="45">
        <v>10</v>
      </c>
      <c r="D2556" s="2"/>
      <c r="E2556" s="31"/>
      <c r="G2556" s="43"/>
      <c r="H2556" s="2"/>
    </row>
    <row r="2557" spans="1:8">
      <c r="A2557" s="39">
        <v>4.04380277028751</v>
      </c>
      <c r="B2557" s="45">
        <v>7.1</v>
      </c>
      <c r="D2557" s="2"/>
      <c r="E2557" s="31"/>
      <c r="G2557" s="43"/>
      <c r="H2557" s="2"/>
    </row>
    <row r="2558" spans="1:8">
      <c r="A2558" s="39">
        <v>4.04378895196374</v>
      </c>
      <c r="B2558" s="45">
        <v>9.7</v>
      </c>
      <c r="D2558" s="2"/>
      <c r="E2558" s="31"/>
      <c r="G2558" s="43"/>
      <c r="H2558" s="2"/>
    </row>
    <row r="2559" spans="1:8">
      <c r="A2559" s="39">
        <v>4.04375128788117</v>
      </c>
      <c r="B2559" s="45">
        <v>19</v>
      </c>
      <c r="D2559" s="2"/>
      <c r="E2559" s="31"/>
      <c r="G2559" s="43"/>
      <c r="H2559" s="2"/>
    </row>
    <row r="2560" spans="1:8">
      <c r="A2560" s="39">
        <v>4.04375128788117</v>
      </c>
      <c r="B2560" s="45">
        <v>19.6</v>
      </c>
      <c r="D2560" s="2"/>
      <c r="E2560" s="31"/>
      <c r="G2560" s="43"/>
      <c r="H2560" s="2"/>
    </row>
    <row r="2561" spans="1:8">
      <c r="A2561" s="39">
        <v>4.04351844632358</v>
      </c>
      <c r="B2561" s="45">
        <v>9.7</v>
      </c>
      <c r="D2561" s="2"/>
      <c r="E2561" s="31"/>
      <c r="G2561" s="43"/>
      <c r="H2561" s="2"/>
    </row>
    <row r="2562" spans="1:8">
      <c r="A2562" s="39">
        <v>4.04312175773571</v>
      </c>
      <c r="B2562" s="45">
        <v>3.5</v>
      </c>
      <c r="D2562" s="2"/>
      <c r="E2562" s="31"/>
      <c r="G2562" s="43"/>
      <c r="H2562" s="2"/>
    </row>
    <row r="2563" spans="1:8">
      <c r="A2563" s="39">
        <v>4.04290334796316</v>
      </c>
      <c r="B2563" s="45">
        <v>5</v>
      </c>
      <c r="D2563" s="2"/>
      <c r="E2563" s="31"/>
      <c r="G2563" s="43"/>
      <c r="H2563" s="2"/>
    </row>
    <row r="2564" spans="1:8">
      <c r="A2564" s="39">
        <v>4.04247306926921</v>
      </c>
      <c r="B2564" s="45">
        <v>11.2</v>
      </c>
      <c r="D2564" s="2"/>
      <c r="E2564" s="31"/>
      <c r="G2564" s="43"/>
      <c r="H2564" s="2"/>
    </row>
    <row r="2565" spans="1:8">
      <c r="A2565" s="39">
        <v>4.04247306926921</v>
      </c>
      <c r="B2565" s="45">
        <v>2.2</v>
      </c>
      <c r="D2565" s="2"/>
      <c r="E2565" s="31"/>
      <c r="G2565" s="43"/>
      <c r="H2565" s="2"/>
    </row>
    <row r="2566" spans="1:8">
      <c r="A2566" s="39">
        <v>4.04247306926921</v>
      </c>
      <c r="B2566" s="45">
        <v>5.9</v>
      </c>
      <c r="D2566" s="2"/>
      <c r="E2566" s="31"/>
      <c r="G2566" s="43"/>
      <c r="H2566" s="2"/>
    </row>
    <row r="2567" spans="1:8">
      <c r="A2567" s="39">
        <v>4.04247306926921</v>
      </c>
      <c r="B2567" s="45">
        <v>5</v>
      </c>
      <c r="D2567" s="2"/>
      <c r="E2567" s="31"/>
      <c r="G2567" s="43"/>
      <c r="H2567" s="2"/>
    </row>
    <row r="2568" spans="1:8">
      <c r="A2568" s="39">
        <v>4.04239253260601</v>
      </c>
      <c r="B2568" s="45">
        <v>9</v>
      </c>
      <c r="D2568" s="2"/>
      <c r="E2568" s="31"/>
      <c r="G2568" s="43"/>
      <c r="H2568" s="2"/>
    </row>
    <row r="2569" spans="1:8">
      <c r="A2569" s="39">
        <v>4.0418632862113</v>
      </c>
      <c r="B2569" s="45">
        <v>6</v>
      </c>
      <c r="D2569" s="2"/>
      <c r="E2569" s="31"/>
      <c r="G2569" s="43"/>
      <c r="H2569" s="2"/>
    </row>
    <row r="2570" spans="1:8">
      <c r="A2570" s="39">
        <v>4.0418632862113</v>
      </c>
      <c r="B2570" s="45">
        <v>4.7</v>
      </c>
      <c r="D2570" s="2"/>
      <c r="E2570" s="31"/>
      <c r="G2570" s="43"/>
      <c r="H2570" s="2"/>
    </row>
    <row r="2571" spans="1:8">
      <c r="A2571" s="39">
        <v>4.04175283213634</v>
      </c>
      <c r="B2571" s="45">
        <v>8.5</v>
      </c>
      <c r="D2571" s="2"/>
      <c r="E2571" s="31"/>
      <c r="G2571" s="43"/>
      <c r="H2571" s="2"/>
    </row>
    <row r="2572" spans="1:8">
      <c r="A2572" s="39">
        <v>4.04164003590351</v>
      </c>
      <c r="B2572" s="45">
        <v>12</v>
      </c>
      <c r="D2572" s="2"/>
      <c r="E2572" s="31"/>
      <c r="G2572" s="43"/>
      <c r="H2572" s="2"/>
    </row>
    <row r="2573" spans="1:8">
      <c r="A2573" s="39">
        <v>4.04145810478384</v>
      </c>
      <c r="B2573" s="45">
        <v>13.2</v>
      </c>
      <c r="D2573" s="2"/>
      <c r="E2573" s="31"/>
      <c r="G2573" s="43"/>
      <c r="H2573" s="2"/>
    </row>
    <row r="2574" spans="1:8">
      <c r="A2574" s="39">
        <v>4.04142769221483</v>
      </c>
      <c r="B2574" s="45">
        <v>4.4</v>
      </c>
      <c r="D2574" s="2"/>
      <c r="E2574" s="31"/>
      <c r="G2574" s="43"/>
      <c r="H2574" s="2"/>
    </row>
    <row r="2575" spans="1:8">
      <c r="A2575" s="39">
        <v>4.04113580901796</v>
      </c>
      <c r="B2575" s="45">
        <v>11.5</v>
      </c>
      <c r="D2575" s="2"/>
      <c r="E2575" s="31"/>
      <c r="G2575" s="43"/>
      <c r="H2575" s="2"/>
    </row>
    <row r="2576" spans="1:8">
      <c r="A2576" s="39">
        <v>4.04093628524429</v>
      </c>
      <c r="B2576" s="45">
        <v>8.7</v>
      </c>
      <c r="D2576" s="2"/>
      <c r="E2576" s="31"/>
      <c r="G2576" s="43"/>
      <c r="H2576" s="2"/>
    </row>
    <row r="2577" spans="1:8">
      <c r="A2577" s="39">
        <v>4.04055671020127</v>
      </c>
      <c r="B2577" s="45">
        <v>8.2</v>
      </c>
      <c r="D2577" s="2"/>
      <c r="E2577" s="31"/>
      <c r="G2577" s="43"/>
      <c r="H2577" s="2"/>
    </row>
    <row r="2578" spans="1:8">
      <c r="A2578" s="39">
        <v>4.04048229516437</v>
      </c>
      <c r="B2578" s="45">
        <v>4.5</v>
      </c>
      <c r="D2578" s="2"/>
      <c r="E2578" s="31"/>
      <c r="G2578" s="43"/>
      <c r="H2578" s="2"/>
    </row>
    <row r="2579" spans="1:8">
      <c r="A2579" s="39">
        <v>4.04044478889422</v>
      </c>
      <c r="B2579" s="45">
        <v>2</v>
      </c>
      <c r="D2579" s="2"/>
      <c r="E2579" s="31"/>
      <c r="G2579" s="43"/>
      <c r="H2579" s="2"/>
    </row>
    <row r="2580" spans="1:8">
      <c r="A2580" s="39">
        <v>4.04044478889422</v>
      </c>
      <c r="B2580" s="45">
        <v>7.8</v>
      </c>
      <c r="D2580" s="2"/>
      <c r="E2580" s="31"/>
      <c r="G2580" s="43"/>
      <c r="H2580" s="2"/>
    </row>
    <row r="2581" spans="1:8">
      <c r="A2581" s="39">
        <v>4.04044478889422</v>
      </c>
      <c r="B2581" s="45">
        <v>3.5</v>
      </c>
      <c r="D2581" s="2"/>
      <c r="E2581" s="31"/>
      <c r="G2581" s="43"/>
      <c r="H2581" s="2"/>
    </row>
    <row r="2582" spans="1:8">
      <c r="A2582" s="39">
        <v>4.04040833182461</v>
      </c>
      <c r="B2582" s="45">
        <v>3</v>
      </c>
      <c r="D2582" s="2"/>
      <c r="E2582" s="31"/>
      <c r="G2582" s="43"/>
      <c r="H2582" s="2"/>
    </row>
    <row r="2583" spans="1:8">
      <c r="A2583" s="39">
        <v>4.04020784237114</v>
      </c>
      <c r="B2583" s="45">
        <v>7.5</v>
      </c>
      <c r="D2583" s="2"/>
      <c r="E2583" s="31"/>
      <c r="G2583" s="43"/>
      <c r="H2583" s="2"/>
    </row>
    <row r="2584" spans="1:8">
      <c r="A2584" s="39">
        <v>4.03952878392584</v>
      </c>
      <c r="B2584" s="45">
        <v>21.2</v>
      </c>
      <c r="D2584" s="2"/>
      <c r="E2584" s="31"/>
      <c r="G2584" s="43"/>
      <c r="H2584" s="2"/>
    </row>
    <row r="2585" spans="1:8">
      <c r="A2585" s="39">
        <v>4.03846239066754</v>
      </c>
      <c r="B2585" s="45">
        <v>21</v>
      </c>
      <c r="D2585" s="2"/>
      <c r="E2585" s="31"/>
      <c r="G2585" s="43"/>
      <c r="H2585" s="2"/>
    </row>
    <row r="2586" spans="1:8">
      <c r="A2586" s="39">
        <v>4.03822590024459</v>
      </c>
      <c r="B2586" s="45">
        <v>9</v>
      </c>
      <c r="D2586" s="2"/>
      <c r="E2586" s="31"/>
      <c r="G2586" s="43"/>
      <c r="H2586" s="2"/>
    </row>
    <row r="2587" spans="1:8">
      <c r="A2587" s="39">
        <v>4.03822590024459</v>
      </c>
      <c r="B2587" s="45">
        <v>8.2</v>
      </c>
      <c r="D2587" s="2"/>
      <c r="E2587" s="31"/>
      <c r="G2587" s="43"/>
      <c r="H2587" s="2"/>
    </row>
    <row r="2588" spans="1:8">
      <c r="A2588" s="39">
        <v>4.03734295469706</v>
      </c>
      <c r="B2588" s="45">
        <v>12.9</v>
      </c>
      <c r="D2588" s="2"/>
      <c r="E2588" s="31"/>
      <c r="G2588" s="43"/>
      <c r="H2588" s="2"/>
    </row>
    <row r="2589" spans="1:8">
      <c r="A2589" s="39">
        <v>4.03734295469706</v>
      </c>
      <c r="B2589" s="45">
        <v>18</v>
      </c>
      <c r="D2589" s="2"/>
      <c r="E2589" s="31"/>
      <c r="G2589" s="43"/>
      <c r="H2589" s="2"/>
    </row>
    <row r="2590" spans="1:8">
      <c r="A2590" s="39">
        <v>4.0367709458579</v>
      </c>
      <c r="B2590" s="45">
        <v>18</v>
      </c>
      <c r="D2590" s="2"/>
      <c r="E2590" s="31"/>
      <c r="G2590" s="43"/>
      <c r="H2590" s="2"/>
    </row>
    <row r="2591" spans="1:8">
      <c r="A2591" s="39">
        <v>4.03662673277854</v>
      </c>
      <c r="B2591" s="45">
        <v>7.8</v>
      </c>
      <c r="D2591" s="2"/>
      <c r="E2591" s="31"/>
      <c r="G2591" s="43"/>
      <c r="H2591" s="2"/>
    </row>
    <row r="2592" spans="1:8">
      <c r="A2592" s="39">
        <v>4.0364424861707</v>
      </c>
      <c r="B2592" s="45">
        <v>9</v>
      </c>
      <c r="D2592" s="2"/>
      <c r="E2592" s="31"/>
      <c r="G2592" s="43"/>
      <c r="H2592" s="2"/>
    </row>
    <row r="2593" spans="1:8">
      <c r="A2593" s="39">
        <v>4.03627712973887</v>
      </c>
      <c r="B2593" s="45">
        <v>3.4</v>
      </c>
      <c r="D2593" s="2"/>
      <c r="E2593" s="31"/>
      <c r="G2593" s="43"/>
      <c r="H2593" s="2"/>
    </row>
    <row r="2594" spans="1:8">
      <c r="A2594" s="39">
        <v>4.03620080694295</v>
      </c>
      <c r="B2594" s="45">
        <v>4.3</v>
      </c>
      <c r="D2594" s="2"/>
      <c r="E2594" s="31"/>
      <c r="G2594" s="43"/>
      <c r="H2594" s="2"/>
    </row>
    <row r="2595" spans="1:8">
      <c r="A2595" s="39">
        <v>4.03608808082807</v>
      </c>
      <c r="B2595" s="45">
        <v>7.4</v>
      </c>
      <c r="D2595" s="2"/>
      <c r="E2595" s="31"/>
      <c r="G2595" s="43"/>
      <c r="H2595" s="2"/>
    </row>
    <row r="2596" spans="1:8">
      <c r="A2596" s="39">
        <v>4.03591051086002</v>
      </c>
      <c r="B2596" s="45">
        <v>16</v>
      </c>
      <c r="D2596" s="2"/>
      <c r="E2596" s="31"/>
      <c r="G2596" s="43"/>
      <c r="H2596" s="2"/>
    </row>
    <row r="2597" spans="1:8">
      <c r="A2597" s="39">
        <v>4.03530627997052</v>
      </c>
      <c r="B2597" s="45">
        <v>10</v>
      </c>
      <c r="D2597" s="2"/>
      <c r="E2597" s="31"/>
      <c r="G2597" s="43"/>
      <c r="H2597" s="2"/>
    </row>
    <row r="2598" spans="1:8">
      <c r="A2598" s="39">
        <v>4.03515542988858</v>
      </c>
      <c r="B2598" s="45">
        <v>11</v>
      </c>
      <c r="D2598" s="2"/>
      <c r="E2598" s="31"/>
      <c r="G2598" s="43"/>
      <c r="H2598" s="2"/>
    </row>
    <row r="2599" spans="1:8">
      <c r="A2599" s="39">
        <v>4.03442258167387</v>
      </c>
      <c r="B2599" s="45">
        <v>10.3</v>
      </c>
      <c r="D2599" s="2"/>
      <c r="E2599" s="31"/>
      <c r="G2599" s="43"/>
      <c r="H2599" s="2"/>
    </row>
    <row r="2600" spans="1:8">
      <c r="A2600" s="39">
        <v>4.03418013232789</v>
      </c>
      <c r="B2600" s="45">
        <v>10.1</v>
      </c>
      <c r="D2600" s="2"/>
      <c r="E2600" s="31"/>
      <c r="G2600" s="43"/>
      <c r="H2600" s="2"/>
    </row>
    <row r="2601" spans="1:8">
      <c r="A2601" s="39">
        <v>4.03418013232789</v>
      </c>
      <c r="B2601" s="45">
        <v>0</v>
      </c>
      <c r="D2601" s="2"/>
      <c r="E2601" s="31"/>
      <c r="G2601" s="43"/>
      <c r="H2601" s="2"/>
    </row>
    <row r="2602" spans="1:8">
      <c r="A2602" s="39">
        <v>4.03418013232789</v>
      </c>
      <c r="B2602" s="45">
        <v>2</v>
      </c>
      <c r="D2602" s="2"/>
      <c r="E2602" s="31"/>
      <c r="G2602" s="43"/>
      <c r="H2602" s="2"/>
    </row>
    <row r="2603" spans="1:8">
      <c r="A2603" s="39">
        <v>4.03390912471964</v>
      </c>
      <c r="B2603" s="45">
        <v>7</v>
      </c>
      <c r="D2603" s="2"/>
      <c r="E2603" s="31"/>
      <c r="G2603" s="43"/>
      <c r="H2603" s="2"/>
    </row>
    <row r="2604" spans="1:8">
      <c r="A2604" s="39">
        <v>4.0334523350823</v>
      </c>
      <c r="B2604" s="45">
        <v>15</v>
      </c>
      <c r="D2604" s="2"/>
      <c r="E2604" s="31"/>
      <c r="G2604" s="43"/>
      <c r="H2604" s="2"/>
    </row>
    <row r="2605" spans="1:8">
      <c r="A2605" s="39">
        <v>4.0334523350823</v>
      </c>
      <c r="B2605" s="45">
        <v>8.5</v>
      </c>
      <c r="D2605" s="2"/>
      <c r="E2605" s="31"/>
      <c r="G2605" s="43"/>
      <c r="H2605" s="2"/>
    </row>
    <row r="2606" spans="1:8">
      <c r="A2606" s="39">
        <v>4.03320516077033</v>
      </c>
      <c r="B2606" s="45">
        <v>7.5</v>
      </c>
      <c r="D2606" s="2"/>
      <c r="E2606" s="31"/>
      <c r="G2606" s="43"/>
      <c r="H2606" s="2"/>
    </row>
    <row r="2607" spans="1:8">
      <c r="A2607" s="39">
        <v>4.03308514447001</v>
      </c>
      <c r="B2607" s="45">
        <v>7.7</v>
      </c>
      <c r="D2607" s="2"/>
      <c r="E2607" s="31"/>
      <c r="G2607" s="43"/>
      <c r="H2607" s="2"/>
    </row>
    <row r="2608" spans="1:8">
      <c r="A2608" s="39">
        <v>4.03307597867598</v>
      </c>
      <c r="B2608" s="45">
        <v>8</v>
      </c>
      <c r="D2608" s="2"/>
      <c r="E2608" s="31"/>
      <c r="G2608" s="43"/>
      <c r="H2608" s="2"/>
    </row>
    <row r="2609" spans="1:8">
      <c r="A2609" s="39">
        <v>4.03304562318594</v>
      </c>
      <c r="B2609" s="45">
        <v>2</v>
      </c>
      <c r="D2609" s="2"/>
      <c r="E2609" s="31"/>
      <c r="G2609" s="43"/>
      <c r="H2609" s="2"/>
    </row>
    <row r="2610" spans="1:8">
      <c r="A2610" s="39">
        <v>4.03258883204188</v>
      </c>
      <c r="B2610" s="45">
        <v>10.5</v>
      </c>
      <c r="D2610" s="2"/>
      <c r="E2610" s="31"/>
      <c r="G2610" s="43"/>
      <c r="H2610" s="2"/>
    </row>
    <row r="2611" spans="1:8">
      <c r="A2611" s="39">
        <v>4.03240608269785</v>
      </c>
      <c r="B2611" s="45">
        <v>24</v>
      </c>
      <c r="D2611" s="2"/>
      <c r="E2611" s="31"/>
      <c r="G2611" s="43"/>
      <c r="H2611" s="2"/>
    </row>
    <row r="2612" spans="1:8">
      <c r="A2612" s="39">
        <v>4.03226740620065</v>
      </c>
      <c r="B2612" s="45">
        <v>3.5</v>
      </c>
      <c r="D2612" s="2"/>
      <c r="E2612" s="31"/>
      <c r="G2612" s="43"/>
      <c r="H2612" s="2"/>
    </row>
    <row r="2613" spans="1:8">
      <c r="A2613" s="39">
        <v>4.03201929872545</v>
      </c>
      <c r="B2613" s="45">
        <v>9.2</v>
      </c>
      <c r="D2613" s="2"/>
      <c r="E2613" s="31"/>
      <c r="G2613" s="43"/>
      <c r="H2613" s="2"/>
    </row>
    <row r="2614" spans="1:8">
      <c r="A2614" s="39">
        <v>4.03201929872545</v>
      </c>
      <c r="B2614" s="45">
        <v>5</v>
      </c>
      <c r="D2614" s="2"/>
      <c r="E2614" s="31"/>
      <c r="G2614" s="43"/>
      <c r="H2614" s="2"/>
    </row>
    <row r="2615" spans="1:8">
      <c r="A2615" s="39">
        <v>4.03201929872545</v>
      </c>
      <c r="B2615" s="45">
        <v>4</v>
      </c>
      <c r="D2615" s="2"/>
      <c r="E2615" s="31"/>
      <c r="G2615" s="43"/>
      <c r="H2615" s="2"/>
    </row>
    <row r="2616" spans="1:8">
      <c r="A2616" s="39">
        <v>4.03172937567809</v>
      </c>
      <c r="B2616" s="45">
        <v>9</v>
      </c>
      <c r="D2616" s="2"/>
      <c r="E2616" s="31"/>
      <c r="G2616" s="43"/>
      <c r="H2616" s="2"/>
    </row>
    <row r="2617" spans="1:8">
      <c r="A2617" s="39">
        <v>4.03062809192906</v>
      </c>
      <c r="B2617" s="45">
        <v>0</v>
      </c>
      <c r="D2617" s="2"/>
      <c r="E2617" s="31"/>
      <c r="G2617" s="43"/>
      <c r="H2617" s="2"/>
    </row>
    <row r="2618" spans="1:8">
      <c r="A2618" s="39">
        <v>4.03018073551186</v>
      </c>
      <c r="B2618" s="45">
        <v>7</v>
      </c>
      <c r="D2618" s="2"/>
      <c r="E2618" s="31"/>
      <c r="G2618" s="43"/>
      <c r="H2618" s="2"/>
    </row>
    <row r="2619" spans="1:8">
      <c r="A2619" s="39">
        <v>4.03018073551186</v>
      </c>
      <c r="B2619" s="45">
        <v>22</v>
      </c>
      <c r="D2619" s="2"/>
      <c r="E2619" s="31"/>
      <c r="G2619" s="43"/>
      <c r="H2619" s="2"/>
    </row>
    <row r="2620" spans="1:8">
      <c r="A2620" s="39">
        <v>4.0299285446167</v>
      </c>
      <c r="B2620" s="45">
        <v>8.6</v>
      </c>
      <c r="D2620" s="2"/>
      <c r="E2620" s="31"/>
      <c r="G2620" s="43"/>
      <c r="H2620" s="2"/>
    </row>
    <row r="2621" spans="1:8">
      <c r="A2621" s="39">
        <v>4.02970947118126</v>
      </c>
      <c r="B2621" s="45">
        <v>11</v>
      </c>
      <c r="D2621" s="2"/>
      <c r="E2621" s="31"/>
      <c r="G2621" s="43"/>
      <c r="H2621" s="2"/>
    </row>
    <row r="2622" spans="1:8">
      <c r="A2622" s="39">
        <v>4.02949617392448</v>
      </c>
      <c r="B2622" s="45">
        <v>7.2</v>
      </c>
      <c r="D2622" s="2"/>
      <c r="E2622" s="31"/>
      <c r="G2622" s="43"/>
      <c r="H2622" s="2"/>
    </row>
    <row r="2623" spans="1:8">
      <c r="A2623" s="39">
        <v>4.02949617392448</v>
      </c>
      <c r="B2623" s="45">
        <v>11.6</v>
      </c>
      <c r="D2623" s="2"/>
      <c r="E2623" s="31"/>
      <c r="G2623" s="43"/>
      <c r="H2623" s="2"/>
    </row>
    <row r="2624" spans="1:8">
      <c r="A2624" s="39">
        <v>4.02946451359334</v>
      </c>
      <c r="B2624" s="45">
        <v>8</v>
      </c>
      <c r="D2624" s="2"/>
      <c r="E2624" s="31"/>
      <c r="G2624" s="43"/>
      <c r="H2624" s="2"/>
    </row>
    <row r="2625" spans="1:8">
      <c r="A2625" s="39">
        <v>4.02946451359334</v>
      </c>
      <c r="B2625" s="45">
        <v>7.6</v>
      </c>
      <c r="D2625" s="2"/>
      <c r="E2625" s="31"/>
      <c r="G2625" s="43"/>
      <c r="H2625" s="2"/>
    </row>
    <row r="2626" spans="1:8">
      <c r="A2626" s="39">
        <v>4.02941201309788</v>
      </c>
      <c r="B2626" s="45">
        <v>12.8</v>
      </c>
      <c r="D2626" s="2"/>
      <c r="E2626" s="31"/>
      <c r="G2626" s="43"/>
      <c r="H2626" s="2"/>
    </row>
    <row r="2627" spans="1:8">
      <c r="A2627" s="39">
        <v>4.02932093185384</v>
      </c>
      <c r="B2627" s="45">
        <v>10</v>
      </c>
      <c r="D2627" s="2"/>
      <c r="E2627" s="31"/>
      <c r="G2627" s="43"/>
      <c r="H2627" s="2"/>
    </row>
    <row r="2628" spans="1:8">
      <c r="A2628" s="39">
        <v>4.02908555160874</v>
      </c>
      <c r="B2628" s="45">
        <v>2</v>
      </c>
      <c r="D2628" s="2"/>
      <c r="E2628" s="31"/>
      <c r="G2628" s="43"/>
      <c r="H2628" s="2"/>
    </row>
    <row r="2629" spans="1:8">
      <c r="A2629" s="39">
        <v>4.02851259077352</v>
      </c>
      <c r="B2629" s="45">
        <v>3.8</v>
      </c>
      <c r="D2629" s="2"/>
      <c r="E2629" s="31"/>
      <c r="G2629" s="43"/>
      <c r="H2629" s="2"/>
    </row>
    <row r="2630" spans="1:8">
      <c r="A2630" s="39">
        <v>4.02851259077352</v>
      </c>
      <c r="B2630" s="45">
        <v>13</v>
      </c>
      <c r="D2630" s="2"/>
      <c r="E2630" s="31"/>
      <c r="G2630" s="43"/>
      <c r="H2630" s="2"/>
    </row>
    <row r="2631" spans="1:8">
      <c r="A2631" s="39">
        <v>4.02840029400744</v>
      </c>
      <c r="B2631" s="45">
        <v>6.5</v>
      </c>
      <c r="D2631" s="2"/>
      <c r="E2631" s="31"/>
      <c r="G2631" s="43"/>
      <c r="H2631" s="2"/>
    </row>
    <row r="2632" spans="1:8">
      <c r="A2632" s="39">
        <v>4.02836286818337</v>
      </c>
      <c r="B2632" s="45">
        <v>11.5</v>
      </c>
      <c r="D2632" s="2"/>
      <c r="E2632" s="31"/>
      <c r="G2632" s="43"/>
      <c r="H2632" s="2"/>
    </row>
    <row r="2633" spans="1:8">
      <c r="A2633" s="39">
        <v>4.02804121953779</v>
      </c>
      <c r="B2633" s="45">
        <v>9.5</v>
      </c>
      <c r="D2633" s="2"/>
      <c r="E2633" s="31"/>
      <c r="G2633" s="43"/>
      <c r="H2633" s="2"/>
    </row>
    <row r="2634" spans="1:8">
      <c r="A2634" s="39">
        <v>4.02679241345358</v>
      </c>
      <c r="B2634" s="45">
        <v>3.4</v>
      </c>
      <c r="D2634" s="2"/>
      <c r="E2634" s="31"/>
      <c r="G2634" s="43"/>
      <c r="H2634" s="2"/>
    </row>
    <row r="2635" spans="1:8">
      <c r="A2635" s="39">
        <v>4.02679241345358</v>
      </c>
      <c r="B2635" s="45">
        <v>4.5</v>
      </c>
      <c r="D2635" s="2"/>
      <c r="E2635" s="31"/>
      <c r="G2635" s="43"/>
      <c r="H2635" s="2"/>
    </row>
    <row r="2636" spans="1:8">
      <c r="A2636" s="39">
        <v>4.02671374612482</v>
      </c>
      <c r="B2636" s="45">
        <v>13.7</v>
      </c>
      <c r="D2636" s="2"/>
      <c r="E2636" s="31"/>
      <c r="G2636" s="43"/>
      <c r="H2636" s="2"/>
    </row>
    <row r="2637" spans="1:8">
      <c r="A2637" s="39">
        <v>4.02647834730228</v>
      </c>
      <c r="B2637" s="45">
        <v>5</v>
      </c>
      <c r="D2637" s="2"/>
      <c r="E2637" s="31"/>
      <c r="G2637" s="43"/>
      <c r="H2637" s="2"/>
    </row>
    <row r="2638" spans="1:8">
      <c r="A2638" s="39">
        <v>4.02617436262636</v>
      </c>
      <c r="B2638" s="45">
        <v>8.8</v>
      </c>
      <c r="D2638" s="2"/>
      <c r="E2638" s="31"/>
      <c r="G2638" s="43"/>
      <c r="H2638" s="2"/>
    </row>
    <row r="2639" spans="1:8">
      <c r="A2639" s="39">
        <v>4.0260101877436</v>
      </c>
      <c r="B2639" s="45">
        <v>4.9</v>
      </c>
      <c r="D2639" s="2"/>
      <c r="E2639" s="31"/>
      <c r="G2639" s="43"/>
      <c r="H2639" s="2"/>
    </row>
    <row r="2640" spans="1:8">
      <c r="A2640" s="39">
        <v>4.02588340400074</v>
      </c>
      <c r="B2640" s="45">
        <v>2</v>
      </c>
      <c r="D2640" s="2"/>
      <c r="E2640" s="31"/>
      <c r="G2640" s="43"/>
      <c r="H2640" s="2"/>
    </row>
    <row r="2641" spans="1:8">
      <c r="A2641" s="39">
        <v>4.0256696621876</v>
      </c>
      <c r="B2641" s="45">
        <v>8</v>
      </c>
      <c r="D2641" s="2"/>
      <c r="E2641" s="31"/>
      <c r="G2641" s="43"/>
      <c r="H2641" s="2"/>
    </row>
    <row r="2642" spans="1:8">
      <c r="A2642" s="39">
        <v>4.02551737394971</v>
      </c>
      <c r="B2642" s="45">
        <v>7.9</v>
      </c>
      <c r="D2642" s="2"/>
      <c r="E2642" s="31"/>
      <c r="G2642" s="43"/>
      <c r="H2642" s="2"/>
    </row>
    <row r="2643" spans="1:8">
      <c r="A2643" s="39">
        <v>4.02507834564887</v>
      </c>
      <c r="B2643" s="45">
        <v>14</v>
      </c>
      <c r="D2643" s="2"/>
      <c r="E2643" s="31"/>
      <c r="G2643" s="43"/>
      <c r="H2643" s="2"/>
    </row>
    <row r="2644" spans="1:8">
      <c r="A2644" s="39">
        <v>4.02404626942299</v>
      </c>
      <c r="B2644" s="45">
        <v>24</v>
      </c>
      <c r="D2644" s="2"/>
      <c r="E2644" s="31"/>
      <c r="G2644" s="43"/>
      <c r="H2644" s="2"/>
    </row>
    <row r="2645" spans="1:8">
      <c r="A2645" s="39">
        <v>4.02404626942299</v>
      </c>
      <c r="B2645" s="45">
        <v>15</v>
      </c>
      <c r="D2645" s="2"/>
      <c r="E2645" s="31"/>
      <c r="G2645" s="43"/>
      <c r="H2645" s="2"/>
    </row>
    <row r="2646" spans="1:8">
      <c r="A2646" s="39">
        <v>4.02401547915176</v>
      </c>
      <c r="B2646" s="45">
        <v>12</v>
      </c>
      <c r="D2646" s="2"/>
      <c r="E2646" s="31"/>
      <c r="G2646" s="43"/>
      <c r="H2646" s="2"/>
    </row>
    <row r="2647" spans="1:8">
      <c r="A2647" s="39">
        <v>4.02367635637774</v>
      </c>
      <c r="B2647" s="45">
        <v>6</v>
      </c>
      <c r="D2647" s="2"/>
      <c r="E2647" s="31"/>
      <c r="G2647" s="43"/>
      <c r="H2647" s="2"/>
    </row>
    <row r="2648" spans="1:8">
      <c r="A2648" s="39">
        <v>4.02326317364398</v>
      </c>
      <c r="B2648" s="45">
        <v>13</v>
      </c>
      <c r="D2648" s="2"/>
      <c r="E2648" s="31"/>
      <c r="G2648" s="43"/>
      <c r="H2648" s="2"/>
    </row>
    <row r="2649" spans="1:8">
      <c r="A2649" s="39">
        <v>4.02297645619182</v>
      </c>
      <c r="B2649" s="45">
        <v>8.5</v>
      </c>
      <c r="D2649" s="2"/>
      <c r="E2649" s="31"/>
      <c r="G2649" s="43"/>
      <c r="H2649" s="2"/>
    </row>
    <row r="2650" spans="1:8">
      <c r="A2650" s="39">
        <v>4.02296765957354</v>
      </c>
      <c r="B2650" s="45">
        <v>9.8</v>
      </c>
      <c r="D2650" s="2"/>
      <c r="E2650" s="31"/>
      <c r="G2650" s="43"/>
      <c r="H2650" s="2"/>
    </row>
    <row r="2651" spans="1:8">
      <c r="A2651" s="39">
        <v>4.02296765957354</v>
      </c>
      <c r="B2651" s="45">
        <v>8.6</v>
      </c>
      <c r="D2651" s="2"/>
      <c r="E2651" s="31"/>
      <c r="G2651" s="43"/>
      <c r="H2651" s="2"/>
    </row>
    <row r="2652" spans="1:8">
      <c r="A2652" s="39">
        <v>4.02263876810455</v>
      </c>
      <c r="B2652" s="45">
        <v>21.2</v>
      </c>
      <c r="D2652" s="2"/>
      <c r="E2652" s="31"/>
      <c r="G2652" s="43"/>
      <c r="H2652" s="2"/>
    </row>
    <row r="2653" spans="1:8">
      <c r="A2653" s="39">
        <v>4.02263876810455</v>
      </c>
      <c r="B2653" s="45">
        <v>9.7</v>
      </c>
      <c r="D2653" s="2"/>
      <c r="E2653" s="31"/>
      <c r="G2653" s="43"/>
      <c r="H2653" s="2"/>
    </row>
    <row r="2654" spans="1:8">
      <c r="A2654" s="39">
        <v>4.02263445389197</v>
      </c>
      <c r="B2654" s="45">
        <v>1</v>
      </c>
      <c r="D2654" s="2"/>
      <c r="E2654" s="31"/>
      <c r="G2654" s="43"/>
      <c r="H2654" s="2"/>
    </row>
    <row r="2655" spans="1:8">
      <c r="A2655" s="39">
        <v>4.02261090523607</v>
      </c>
      <c r="B2655" s="45">
        <v>12</v>
      </c>
      <c r="D2655" s="2"/>
      <c r="E2655" s="31"/>
      <c r="G2655" s="43"/>
      <c r="H2655" s="2"/>
    </row>
    <row r="2656" spans="1:8">
      <c r="A2656" s="39">
        <v>4.02230229440814</v>
      </c>
      <c r="B2656" s="45">
        <v>13.9</v>
      </c>
      <c r="D2656" s="2"/>
      <c r="E2656" s="31"/>
      <c r="G2656" s="43"/>
      <c r="H2656" s="2"/>
    </row>
    <row r="2657" spans="1:8">
      <c r="A2657" s="39">
        <v>4.02226409754843</v>
      </c>
      <c r="B2657" s="45">
        <v>4.5</v>
      </c>
      <c r="D2657" s="2"/>
      <c r="E2657" s="31"/>
      <c r="G2657" s="43"/>
      <c r="H2657" s="2"/>
    </row>
    <row r="2658" spans="1:8">
      <c r="A2658" s="39">
        <v>4.02190341094549</v>
      </c>
      <c r="B2658" s="45">
        <v>8.8</v>
      </c>
      <c r="D2658" s="2"/>
      <c r="E2658" s="31"/>
      <c r="G2658" s="43"/>
      <c r="H2658" s="2"/>
    </row>
    <row r="2659" spans="1:8">
      <c r="A2659" s="39">
        <v>4.0218075791528</v>
      </c>
      <c r="B2659" s="45">
        <v>2</v>
      </c>
      <c r="D2659" s="2"/>
      <c r="E2659" s="31"/>
      <c r="G2659" s="43"/>
      <c r="H2659" s="2"/>
    </row>
    <row r="2660" spans="1:8">
      <c r="A2660" s="39">
        <v>4.02163680869901</v>
      </c>
      <c r="B2660" s="45">
        <v>4</v>
      </c>
      <c r="D2660" s="2"/>
      <c r="E2660" s="31"/>
      <c r="G2660" s="43"/>
      <c r="H2660" s="2"/>
    </row>
    <row r="2661" spans="1:8">
      <c r="A2661" s="39">
        <v>4.0215655281817</v>
      </c>
      <c r="B2661" s="45">
        <v>8.3</v>
      </c>
      <c r="D2661" s="2"/>
      <c r="E2661" s="31"/>
      <c r="G2661" s="43"/>
      <c r="H2661" s="2"/>
    </row>
    <row r="2662" spans="1:8">
      <c r="A2662" s="39">
        <v>4.0215655281817</v>
      </c>
      <c r="B2662" s="45">
        <v>3.5</v>
      </c>
      <c r="D2662" s="2"/>
      <c r="E2662" s="31"/>
      <c r="G2662" s="43"/>
      <c r="H2662" s="2"/>
    </row>
    <row r="2663" spans="1:8">
      <c r="A2663" s="39">
        <v>4.01982376546767</v>
      </c>
      <c r="B2663" s="45">
        <v>21.8</v>
      </c>
      <c r="D2663" s="2"/>
      <c r="E2663" s="31"/>
      <c r="G2663" s="43"/>
      <c r="H2663" s="2"/>
    </row>
    <row r="2664" spans="1:8">
      <c r="A2664" s="39">
        <v>4.01982376546767</v>
      </c>
      <c r="B2664" s="45">
        <v>9.5</v>
      </c>
      <c r="D2664" s="2"/>
      <c r="E2664" s="31"/>
      <c r="G2664" s="43"/>
      <c r="H2664" s="2"/>
    </row>
    <row r="2665" spans="1:8">
      <c r="A2665" s="39">
        <v>4.01962418741601</v>
      </c>
      <c r="B2665" s="45">
        <v>0</v>
      </c>
      <c r="D2665" s="2"/>
      <c r="E2665" s="31"/>
      <c r="G2665" s="43"/>
      <c r="H2665" s="2"/>
    </row>
    <row r="2666" spans="1:8">
      <c r="A2666" s="39">
        <v>4.01916555974675</v>
      </c>
      <c r="B2666" s="45">
        <v>2</v>
      </c>
      <c r="D2666" s="2"/>
      <c r="E2666" s="31"/>
      <c r="G2666" s="43"/>
      <c r="H2666" s="2"/>
    </row>
    <row r="2667" spans="1:8">
      <c r="A2667" s="39">
        <v>4.01889639017042</v>
      </c>
      <c r="B2667" s="45">
        <v>11.2</v>
      </c>
      <c r="D2667" s="2"/>
      <c r="E2667" s="31"/>
      <c r="G2667" s="43"/>
      <c r="H2667" s="2"/>
    </row>
    <row r="2668" spans="1:8">
      <c r="A2668" s="39">
        <v>4.01879056048166</v>
      </c>
      <c r="B2668" s="45">
        <v>1.5</v>
      </c>
      <c r="D2668" s="2"/>
      <c r="E2668" s="31"/>
      <c r="G2668" s="43"/>
      <c r="H2668" s="2"/>
    </row>
    <row r="2669" spans="1:8">
      <c r="A2669" s="39">
        <v>4.01879056048166</v>
      </c>
      <c r="B2669" s="45">
        <v>1.3</v>
      </c>
      <c r="D2669" s="2"/>
      <c r="E2669" s="31"/>
      <c r="G2669" s="43"/>
      <c r="H2669" s="2"/>
    </row>
    <row r="2670" spans="1:8">
      <c r="A2670" s="39">
        <v>4.01872118481554</v>
      </c>
      <c r="B2670" s="45">
        <v>8.6</v>
      </c>
      <c r="D2670" s="2"/>
      <c r="E2670" s="31"/>
      <c r="G2670" s="43"/>
      <c r="H2670" s="2"/>
    </row>
    <row r="2671" spans="1:8">
      <c r="A2671" s="39">
        <v>4.01872118481554</v>
      </c>
      <c r="B2671" s="45">
        <v>9.3</v>
      </c>
      <c r="D2671" s="2"/>
      <c r="E2671" s="31"/>
      <c r="G2671" s="43"/>
      <c r="H2671" s="2"/>
    </row>
    <row r="2672" spans="1:8">
      <c r="A2672" s="39">
        <v>4.01872118481554</v>
      </c>
      <c r="B2672" s="45">
        <v>2</v>
      </c>
      <c r="D2672" s="2"/>
      <c r="E2672" s="31"/>
      <c r="G2672" s="43"/>
      <c r="H2672" s="2"/>
    </row>
    <row r="2673" spans="1:8">
      <c r="A2673" s="39">
        <v>4.01872118481554</v>
      </c>
      <c r="B2673" s="45">
        <v>3.2</v>
      </c>
      <c r="D2673" s="2"/>
      <c r="E2673" s="31"/>
      <c r="G2673" s="43"/>
      <c r="H2673" s="2"/>
    </row>
    <row r="2674" spans="1:8">
      <c r="A2674" s="39">
        <v>4.01804272539778</v>
      </c>
      <c r="B2674" s="45">
        <v>25</v>
      </c>
      <c r="D2674" s="2"/>
      <c r="E2674" s="31"/>
      <c r="G2674" s="43"/>
      <c r="H2674" s="2"/>
    </row>
    <row r="2675" spans="1:8">
      <c r="A2675" s="39">
        <v>4.01800496289702</v>
      </c>
      <c r="B2675" s="45">
        <v>9.3</v>
      </c>
      <c r="D2675" s="2"/>
      <c r="E2675" s="31"/>
      <c r="G2675" s="43"/>
      <c r="H2675" s="2"/>
    </row>
    <row r="2676" spans="1:8">
      <c r="A2676" s="39">
        <v>4.01691674270132</v>
      </c>
      <c r="B2676" s="45">
        <v>10</v>
      </c>
      <c r="D2676" s="2"/>
      <c r="E2676" s="31"/>
      <c r="G2676" s="43"/>
      <c r="H2676" s="2"/>
    </row>
    <row r="2677" spans="1:8">
      <c r="A2677" s="39">
        <v>4.01673037908286</v>
      </c>
      <c r="B2677" s="45">
        <v>7.5</v>
      </c>
      <c r="D2677" s="2"/>
      <c r="E2677" s="31"/>
      <c r="G2677" s="43"/>
      <c r="H2677" s="2"/>
    </row>
    <row r="2678" spans="1:8">
      <c r="A2678" s="39">
        <v>4.01640158444431</v>
      </c>
      <c r="B2678" s="45">
        <v>8.5</v>
      </c>
      <c r="D2678" s="2"/>
      <c r="E2678" s="31"/>
      <c r="G2678" s="43"/>
      <c r="H2678" s="2"/>
    </row>
    <row r="2679" spans="1:8">
      <c r="A2679" s="39">
        <v>4.01640158444431</v>
      </c>
      <c r="B2679" s="45">
        <v>5</v>
      </c>
      <c r="D2679" s="2"/>
      <c r="E2679" s="31"/>
      <c r="G2679" s="43"/>
      <c r="H2679" s="2"/>
    </row>
    <row r="2680" spans="1:8">
      <c r="A2680" s="39">
        <v>4.01633864290982</v>
      </c>
      <c r="B2680" s="45">
        <v>10</v>
      </c>
      <c r="D2680" s="2"/>
      <c r="E2680" s="31"/>
      <c r="G2680" s="43"/>
      <c r="H2680" s="2"/>
    </row>
    <row r="2681" spans="1:8">
      <c r="A2681" s="39">
        <v>4.01633864290982</v>
      </c>
      <c r="B2681" s="45">
        <v>6.9</v>
      </c>
      <c r="D2681" s="2"/>
      <c r="E2681" s="31"/>
      <c r="G2681" s="43"/>
      <c r="H2681" s="2"/>
    </row>
    <row r="2682" spans="1:8">
      <c r="A2682" s="39">
        <v>4.01633864290982</v>
      </c>
      <c r="B2682" s="45">
        <v>6.2</v>
      </c>
      <c r="D2682" s="2"/>
      <c r="E2682" s="31"/>
      <c r="G2682" s="43"/>
      <c r="H2682" s="2"/>
    </row>
    <row r="2683" spans="1:8">
      <c r="A2683" s="39">
        <v>4.01593203932245</v>
      </c>
      <c r="B2683" s="45">
        <v>8.3</v>
      </c>
      <c r="D2683" s="2"/>
      <c r="E2683" s="31"/>
      <c r="G2683" s="43"/>
      <c r="H2683" s="2"/>
    </row>
    <row r="2684" spans="1:8">
      <c r="A2684" s="39">
        <v>4.0159126408135</v>
      </c>
      <c r="B2684" s="45">
        <v>3.7</v>
      </c>
      <c r="D2684" s="2"/>
      <c r="E2684" s="31"/>
      <c r="G2684" s="43"/>
      <c r="H2684" s="2"/>
    </row>
    <row r="2685" spans="1:8">
      <c r="A2685" s="39">
        <v>4.01574324574833</v>
      </c>
      <c r="B2685" s="45">
        <v>6</v>
      </c>
      <c r="D2685" s="2"/>
      <c r="E2685" s="31"/>
      <c r="G2685" s="43"/>
      <c r="H2685" s="2"/>
    </row>
    <row r="2686" spans="1:8">
      <c r="A2686" s="39">
        <v>4.01574324574833</v>
      </c>
      <c r="B2686" s="45">
        <v>7.1</v>
      </c>
      <c r="D2686" s="2"/>
      <c r="E2686" s="31"/>
      <c r="G2686" s="43"/>
      <c r="H2686" s="2"/>
    </row>
    <row r="2687" spans="1:8">
      <c r="A2687" s="39">
        <v>4.01560126151235</v>
      </c>
      <c r="B2687" s="45">
        <v>5.2</v>
      </c>
      <c r="D2687" s="2"/>
      <c r="E2687" s="31"/>
      <c r="G2687" s="43"/>
      <c r="H2687" s="2"/>
    </row>
    <row r="2688" spans="1:8">
      <c r="A2688" s="39">
        <v>4.01456227773032</v>
      </c>
      <c r="B2688" s="45">
        <v>6.3</v>
      </c>
      <c r="D2688" s="2"/>
      <c r="E2688" s="31"/>
      <c r="G2688" s="43"/>
      <c r="H2688" s="2"/>
    </row>
    <row r="2689" spans="1:8">
      <c r="A2689" s="39">
        <v>4.01442385330442</v>
      </c>
      <c r="B2689" s="45">
        <v>12.8</v>
      </c>
      <c r="D2689" s="2"/>
      <c r="E2689" s="31"/>
      <c r="G2689" s="43"/>
      <c r="H2689" s="2"/>
    </row>
    <row r="2690" spans="1:8">
      <c r="A2690" s="39">
        <v>4.01427716427479</v>
      </c>
      <c r="B2690" s="45">
        <v>5.2</v>
      </c>
      <c r="D2690" s="2"/>
      <c r="E2690" s="31"/>
      <c r="G2690" s="43"/>
      <c r="H2690" s="2"/>
    </row>
    <row r="2691" spans="1:8">
      <c r="A2691" s="39">
        <v>4.01424788880107</v>
      </c>
      <c r="B2691" s="45">
        <v>2.5</v>
      </c>
      <c r="D2691" s="2"/>
      <c r="E2691" s="31"/>
      <c r="G2691" s="43"/>
      <c r="H2691" s="2"/>
    </row>
    <row r="2692" spans="1:8">
      <c r="A2692" s="39">
        <v>4.01382135324712</v>
      </c>
      <c r="B2692" s="45">
        <v>9.1</v>
      </c>
      <c r="D2692" s="2"/>
      <c r="E2692" s="31"/>
      <c r="G2692" s="43"/>
      <c r="H2692" s="2"/>
    </row>
    <row r="2693" spans="1:8">
      <c r="A2693" s="39">
        <v>4.0127641984776</v>
      </c>
      <c r="B2693" s="45">
        <v>5</v>
      </c>
      <c r="D2693" s="2"/>
      <c r="E2693" s="31"/>
      <c r="G2693" s="43"/>
      <c r="H2693" s="2"/>
    </row>
    <row r="2694" spans="1:8">
      <c r="A2694" s="39">
        <v>4.0127641984776</v>
      </c>
      <c r="B2694" s="45">
        <v>2.3</v>
      </c>
      <c r="D2694" s="2"/>
      <c r="E2694" s="31"/>
      <c r="G2694" s="43"/>
      <c r="H2694" s="2"/>
    </row>
    <row r="2695" spans="1:8">
      <c r="A2695" s="39">
        <v>4.0124142291969</v>
      </c>
      <c r="B2695" s="45">
        <v>7.2</v>
      </c>
      <c r="D2695" s="2"/>
      <c r="E2695" s="31"/>
      <c r="G2695" s="43"/>
      <c r="H2695" s="2"/>
    </row>
    <row r="2696" spans="1:8">
      <c r="A2696" s="39">
        <v>4.0124142291969</v>
      </c>
      <c r="B2696" s="45">
        <v>5.8</v>
      </c>
      <c r="D2696" s="2"/>
      <c r="E2696" s="31"/>
      <c r="G2696" s="43"/>
      <c r="H2696" s="2"/>
    </row>
    <row r="2697" spans="1:8">
      <c r="A2697" s="39">
        <v>4.01227518754886</v>
      </c>
      <c r="B2697" s="45">
        <v>5.5</v>
      </c>
      <c r="D2697" s="2"/>
      <c r="E2697" s="31"/>
      <c r="G2697" s="43"/>
      <c r="H2697" s="2"/>
    </row>
    <row r="2698" spans="1:8">
      <c r="A2698" s="39">
        <v>4.01155896563034</v>
      </c>
      <c r="B2698" s="45">
        <v>12.1</v>
      </c>
      <c r="D2698" s="2"/>
      <c r="E2698" s="31"/>
      <c r="G2698" s="43"/>
      <c r="H2698" s="2"/>
    </row>
    <row r="2699" spans="1:8">
      <c r="A2699" s="39">
        <v>4.01111175763795</v>
      </c>
      <c r="B2699" s="45">
        <v>4.8</v>
      </c>
      <c r="D2699" s="2"/>
      <c r="E2699" s="31"/>
      <c r="G2699" s="43"/>
      <c r="H2699" s="2"/>
    </row>
    <row r="2700" spans="1:8">
      <c r="A2700" s="39">
        <v>4.01102069080082</v>
      </c>
      <c r="B2700" s="45">
        <v>0</v>
      </c>
      <c r="D2700" s="2"/>
      <c r="E2700" s="31"/>
      <c r="G2700" s="43"/>
      <c r="H2700" s="2"/>
    </row>
    <row r="2701" spans="1:8">
      <c r="A2701" s="39">
        <v>4.01100710514668</v>
      </c>
      <c r="B2701" s="45">
        <v>10</v>
      </c>
      <c r="D2701" s="2"/>
      <c r="E2701" s="31"/>
      <c r="G2701" s="43"/>
      <c r="H2701" s="2"/>
    </row>
    <row r="2702" spans="1:8">
      <c r="A2702" s="39">
        <v>4.01100710514668</v>
      </c>
      <c r="B2702" s="45">
        <v>15</v>
      </c>
      <c r="D2702" s="2"/>
      <c r="E2702" s="31"/>
      <c r="G2702" s="43"/>
      <c r="H2702" s="2"/>
    </row>
    <row r="2703" spans="1:8">
      <c r="A2703" s="39">
        <v>4.01089062046888</v>
      </c>
      <c r="B2703" s="45">
        <v>12.5</v>
      </c>
      <c r="D2703" s="2"/>
      <c r="E2703" s="31"/>
      <c r="G2703" s="43"/>
      <c r="H2703" s="2"/>
    </row>
    <row r="2704" spans="1:8">
      <c r="A2704" s="39">
        <v>4.01058176689757</v>
      </c>
      <c r="B2704" s="45">
        <v>13.7</v>
      </c>
      <c r="D2704" s="2"/>
      <c r="E2704" s="31"/>
      <c r="G2704" s="43"/>
      <c r="H2704" s="2"/>
    </row>
    <row r="2705" spans="1:8">
      <c r="A2705" s="39">
        <v>4.01052414428648</v>
      </c>
      <c r="B2705" s="45">
        <v>5.8</v>
      </c>
      <c r="D2705" s="2"/>
      <c r="E2705" s="31"/>
      <c r="G2705" s="43"/>
      <c r="H2705" s="2"/>
    </row>
    <row r="2706" spans="1:8">
      <c r="A2706" s="39">
        <v>4.00997125623858</v>
      </c>
      <c r="B2706" s="45">
        <v>4</v>
      </c>
      <c r="D2706" s="2"/>
      <c r="E2706" s="31"/>
      <c r="G2706" s="43"/>
      <c r="H2706" s="2"/>
    </row>
    <row r="2707" spans="1:8">
      <c r="A2707" s="39">
        <v>4.00985428970423</v>
      </c>
      <c r="B2707" s="45">
        <v>3.5</v>
      </c>
      <c r="D2707" s="2"/>
      <c r="E2707" s="31"/>
      <c r="G2707" s="43"/>
      <c r="H2707" s="2"/>
    </row>
    <row r="2708" spans="1:8">
      <c r="A2708" s="39">
        <v>4.00976841083404</v>
      </c>
      <c r="B2708" s="45">
        <v>7.4</v>
      </c>
      <c r="D2708" s="2"/>
      <c r="E2708" s="31"/>
      <c r="G2708" s="43"/>
      <c r="H2708" s="2"/>
    </row>
    <row r="2709" spans="1:8">
      <c r="A2709" s="39">
        <v>4.00937073465865</v>
      </c>
      <c r="B2709" s="45">
        <v>3.5</v>
      </c>
      <c r="D2709" s="2"/>
      <c r="E2709" s="31"/>
      <c r="G2709" s="43"/>
      <c r="H2709" s="2"/>
    </row>
    <row r="2710" spans="1:8">
      <c r="A2710" s="39">
        <v>4.00926750557936</v>
      </c>
      <c r="B2710" s="45">
        <v>12</v>
      </c>
      <c r="D2710" s="2"/>
      <c r="E2710" s="31"/>
      <c r="G2710" s="43"/>
      <c r="H2710" s="2"/>
    </row>
    <row r="2711" spans="1:8">
      <c r="A2711" s="39">
        <v>4.00889861775149</v>
      </c>
      <c r="B2711" s="45">
        <v>7</v>
      </c>
      <c r="D2711" s="2"/>
      <c r="E2711" s="31"/>
      <c r="G2711" s="43"/>
      <c r="H2711" s="2"/>
    </row>
    <row r="2712" spans="1:8">
      <c r="A2712" s="39">
        <v>4.00889861775149</v>
      </c>
      <c r="B2712" s="45">
        <v>7.1</v>
      </c>
      <c r="D2712" s="2"/>
      <c r="E2712" s="31"/>
      <c r="G2712" s="43"/>
      <c r="H2712" s="2"/>
    </row>
    <row r="2713" spans="1:8">
      <c r="A2713" s="39">
        <v>4.00872529963777</v>
      </c>
      <c r="B2713" s="45">
        <v>11.4</v>
      </c>
      <c r="D2713" s="2"/>
      <c r="E2713" s="31"/>
      <c r="G2713" s="43"/>
      <c r="H2713" s="2"/>
    </row>
    <row r="2714" spans="1:8">
      <c r="A2714" s="39">
        <v>4.00872529963777</v>
      </c>
      <c r="B2714" s="45">
        <v>7.8</v>
      </c>
      <c r="D2714" s="2"/>
      <c r="E2714" s="31"/>
      <c r="G2714" s="43"/>
      <c r="H2714" s="2"/>
    </row>
    <row r="2715" spans="1:8">
      <c r="A2715" s="39">
        <v>4.00869407795626</v>
      </c>
      <c r="B2715" s="45">
        <v>24</v>
      </c>
      <c r="D2715" s="2"/>
      <c r="E2715" s="31"/>
      <c r="G2715" s="43"/>
      <c r="H2715" s="2"/>
    </row>
    <row r="2716" spans="1:8">
      <c r="A2716" s="39">
        <v>4.00856375492014</v>
      </c>
      <c r="B2716" s="45">
        <v>19</v>
      </c>
      <c r="D2716" s="2"/>
      <c r="E2716" s="31"/>
      <c r="G2716" s="43"/>
      <c r="H2716" s="2"/>
    </row>
    <row r="2717" spans="1:8">
      <c r="A2717" s="39">
        <v>4.00856375492014</v>
      </c>
      <c r="B2717" s="45">
        <v>11</v>
      </c>
      <c r="D2717" s="2"/>
      <c r="E2717" s="31"/>
      <c r="G2717" s="43"/>
      <c r="H2717" s="2"/>
    </row>
    <row r="2718" spans="1:8">
      <c r="A2718" s="39">
        <v>4.00839933531754</v>
      </c>
      <c r="B2718" s="45">
        <v>6.2</v>
      </c>
      <c r="D2718" s="2"/>
      <c r="E2718" s="31"/>
      <c r="G2718" s="43"/>
      <c r="H2718" s="2"/>
    </row>
    <row r="2719" spans="1:8">
      <c r="A2719" s="39">
        <v>4.00797943148651</v>
      </c>
      <c r="B2719" s="45">
        <v>0</v>
      </c>
      <c r="D2719" s="2"/>
      <c r="E2719" s="31"/>
      <c r="G2719" s="43"/>
      <c r="H2719" s="2"/>
    </row>
    <row r="2720" spans="1:8">
      <c r="A2720" s="39">
        <v>4.00773525811993</v>
      </c>
      <c r="B2720" s="45">
        <v>5.6</v>
      </c>
      <c r="D2720" s="2"/>
      <c r="E2720" s="31"/>
      <c r="G2720" s="43"/>
      <c r="H2720" s="2"/>
    </row>
    <row r="2721" spans="1:8">
      <c r="A2721" s="39">
        <v>4.0074905217161</v>
      </c>
      <c r="B2721" s="45">
        <v>6</v>
      </c>
      <c r="D2721" s="2"/>
      <c r="E2721" s="31"/>
      <c r="G2721" s="43"/>
      <c r="H2721" s="2"/>
    </row>
    <row r="2722" spans="1:8">
      <c r="A2722" s="39">
        <v>4.00748929502114</v>
      </c>
      <c r="B2722" s="45">
        <v>11</v>
      </c>
      <c r="D2722" s="2"/>
      <c r="E2722" s="31"/>
      <c r="G2722" s="43"/>
      <c r="H2722" s="2"/>
    </row>
    <row r="2723" spans="1:8">
      <c r="A2723" s="39">
        <v>4.00725888025072</v>
      </c>
      <c r="B2723" s="45">
        <v>3.7</v>
      </c>
      <c r="D2723" s="2"/>
      <c r="E2723" s="31"/>
      <c r="G2723" s="43"/>
      <c r="H2723" s="2"/>
    </row>
    <row r="2724" spans="1:8">
      <c r="A2724" s="39">
        <v>4.0071562536017</v>
      </c>
      <c r="B2724" s="45">
        <v>21.4</v>
      </c>
      <c r="D2724" s="2"/>
      <c r="E2724" s="31"/>
      <c r="G2724" s="43"/>
      <c r="H2724" s="2"/>
    </row>
    <row r="2725" spans="1:8">
      <c r="A2725" s="39">
        <v>4.0071562536017</v>
      </c>
      <c r="B2725" s="45">
        <v>10.5</v>
      </c>
      <c r="D2725" s="2"/>
      <c r="E2725" s="31"/>
      <c r="G2725" s="43"/>
      <c r="H2725" s="2"/>
    </row>
    <row r="2726" spans="1:8">
      <c r="A2726" s="39">
        <v>4.00645250294248</v>
      </c>
      <c r="B2726" s="45">
        <v>4</v>
      </c>
      <c r="D2726" s="2"/>
      <c r="E2726" s="31"/>
      <c r="G2726" s="43"/>
      <c r="H2726" s="2"/>
    </row>
    <row r="2727" spans="1:8">
      <c r="A2727" s="39">
        <v>4.00629790689814</v>
      </c>
      <c r="B2727" s="45">
        <v>4</v>
      </c>
      <c r="D2727" s="2"/>
      <c r="E2727" s="31"/>
      <c r="G2727" s="43"/>
      <c r="H2727" s="2"/>
    </row>
    <row r="2728" spans="1:8">
      <c r="A2728" s="39">
        <v>4.00588487236607</v>
      </c>
      <c r="B2728" s="45">
        <v>6.1</v>
      </c>
      <c r="D2728" s="2"/>
      <c r="E2728" s="31"/>
      <c r="G2728" s="43"/>
      <c r="H2728" s="2"/>
    </row>
    <row r="2729" spans="1:8">
      <c r="A2729" s="39">
        <v>4.00588487236607</v>
      </c>
      <c r="B2729" s="45">
        <v>5.4</v>
      </c>
      <c r="D2729" s="2"/>
      <c r="E2729" s="31"/>
      <c r="G2729" s="43"/>
      <c r="H2729" s="2"/>
    </row>
    <row r="2730" spans="1:8">
      <c r="A2730" s="39">
        <v>4.00574875228326</v>
      </c>
      <c r="B2730" s="45">
        <v>3.5</v>
      </c>
      <c r="D2730" s="2"/>
      <c r="E2730" s="31"/>
      <c r="G2730" s="43"/>
      <c r="H2730" s="2"/>
    </row>
    <row r="2731" spans="1:8">
      <c r="A2731" s="39">
        <v>4.00574875228326</v>
      </c>
      <c r="B2731" s="45">
        <v>10</v>
      </c>
      <c r="D2731" s="2"/>
      <c r="E2731" s="31"/>
      <c r="G2731" s="43"/>
      <c r="H2731" s="2"/>
    </row>
    <row r="2732" spans="1:8">
      <c r="A2732" s="39">
        <v>4.00574875228326</v>
      </c>
      <c r="B2732" s="45">
        <v>8.5</v>
      </c>
      <c r="D2732" s="2"/>
      <c r="E2732" s="31"/>
      <c r="G2732" s="43"/>
      <c r="H2732" s="2"/>
    </row>
    <row r="2733" spans="1:8">
      <c r="A2733" s="39">
        <v>4.00506824250413</v>
      </c>
      <c r="B2733" s="45">
        <v>13.5</v>
      </c>
      <c r="D2733" s="2"/>
      <c r="E2733" s="31"/>
      <c r="G2733" s="43"/>
      <c r="H2733" s="2"/>
    </row>
    <row r="2734" spans="1:8">
      <c r="A2734" s="39">
        <v>4.00506824250413</v>
      </c>
      <c r="B2734" s="45">
        <v>2</v>
      </c>
      <c r="D2734" s="2"/>
      <c r="E2734" s="31"/>
      <c r="G2734" s="43"/>
      <c r="H2734" s="2"/>
    </row>
    <row r="2735" spans="1:8">
      <c r="A2735" s="39">
        <v>4.00479731572032</v>
      </c>
      <c r="B2735" s="45">
        <v>9.2</v>
      </c>
      <c r="D2735" s="2"/>
      <c r="E2735" s="31"/>
      <c r="G2735" s="43"/>
      <c r="H2735" s="2"/>
    </row>
    <row r="2736" spans="1:8">
      <c r="A2736" s="39">
        <v>4.00479731572032</v>
      </c>
      <c r="B2736" s="45">
        <v>10.4</v>
      </c>
      <c r="D2736" s="2"/>
      <c r="E2736" s="31"/>
      <c r="G2736" s="43"/>
      <c r="H2736" s="2"/>
    </row>
    <row r="2737" spans="1:8">
      <c r="A2737" s="39">
        <v>4.00476194935083</v>
      </c>
      <c r="B2737" s="45">
        <v>12</v>
      </c>
      <c r="D2737" s="2"/>
      <c r="E2737" s="31"/>
      <c r="G2737" s="43"/>
      <c r="H2737" s="2"/>
    </row>
    <row r="2738" spans="1:8">
      <c r="A2738" s="39">
        <v>4.00439674644514</v>
      </c>
      <c r="B2738" s="45">
        <v>5.9</v>
      </c>
      <c r="D2738" s="2"/>
      <c r="E2738" s="31"/>
      <c r="G2738" s="43"/>
      <c r="H2738" s="2"/>
    </row>
    <row r="2739" spans="1:8">
      <c r="A2739" s="39">
        <v>4.00439674644514</v>
      </c>
      <c r="B2739" s="45">
        <v>8.3</v>
      </c>
      <c r="D2739" s="2"/>
      <c r="E2739" s="31"/>
      <c r="G2739" s="43"/>
      <c r="H2739" s="2"/>
    </row>
    <row r="2740" spans="1:8">
      <c r="A2740" s="39">
        <v>4.00439674644514</v>
      </c>
      <c r="B2740" s="45">
        <v>13.2</v>
      </c>
      <c r="D2740" s="2"/>
      <c r="E2740" s="31"/>
      <c r="G2740" s="43"/>
      <c r="H2740" s="2"/>
    </row>
    <row r="2741" spans="1:8">
      <c r="A2741" s="39">
        <v>4.00439674644514</v>
      </c>
      <c r="B2741" s="45">
        <v>6.5</v>
      </c>
      <c r="D2741" s="2"/>
      <c r="E2741" s="31"/>
      <c r="G2741" s="43"/>
      <c r="H2741" s="2"/>
    </row>
    <row r="2742" spans="1:8">
      <c r="A2742" s="39">
        <v>4.00439674644514</v>
      </c>
      <c r="B2742" s="45">
        <v>11</v>
      </c>
      <c r="D2742" s="2"/>
      <c r="E2742" s="31"/>
      <c r="G2742" s="43"/>
      <c r="H2742" s="2"/>
    </row>
    <row r="2743" spans="1:8">
      <c r="A2743" s="39">
        <v>4.00437596019299</v>
      </c>
      <c r="B2743" s="45">
        <v>1</v>
      </c>
      <c r="D2743" s="2"/>
      <c r="E2743" s="31"/>
      <c r="G2743" s="43"/>
      <c r="H2743" s="2"/>
    </row>
    <row r="2744" spans="1:8">
      <c r="A2744" s="39">
        <v>4.00434125096482</v>
      </c>
      <c r="B2744" s="45">
        <v>1</v>
      </c>
      <c r="D2744" s="2"/>
      <c r="E2744" s="31"/>
      <c r="G2744" s="43"/>
      <c r="H2744" s="2"/>
    </row>
    <row r="2745" spans="1:8">
      <c r="A2745" s="39">
        <v>4.00434044525854</v>
      </c>
      <c r="B2745" s="45">
        <v>0</v>
      </c>
      <c r="D2745" s="2"/>
      <c r="E2745" s="31"/>
      <c r="G2745" s="43"/>
      <c r="H2745" s="2"/>
    </row>
    <row r="2746" spans="1:8">
      <c r="A2746" s="39">
        <v>4.00345071272244</v>
      </c>
      <c r="B2746" s="45">
        <v>7.1</v>
      </c>
      <c r="D2746" s="2"/>
      <c r="E2746" s="31"/>
      <c r="G2746" s="43"/>
      <c r="H2746" s="2"/>
    </row>
    <row r="2747" spans="1:8">
      <c r="A2747" s="39">
        <v>4.0029643026081</v>
      </c>
      <c r="B2747" s="45">
        <v>12.3</v>
      </c>
      <c r="D2747" s="2"/>
      <c r="E2747" s="31"/>
      <c r="G2747" s="43"/>
      <c r="H2747" s="2"/>
    </row>
    <row r="2748" spans="1:8">
      <c r="A2748" s="39">
        <v>4.00245401348783</v>
      </c>
      <c r="B2748" s="45">
        <v>7.2</v>
      </c>
      <c r="D2748" s="2"/>
      <c r="E2748" s="31"/>
      <c r="G2748" s="43"/>
      <c r="H2748" s="2"/>
    </row>
    <row r="2749" spans="1:8">
      <c r="A2749" s="39">
        <v>4.00205398975465</v>
      </c>
      <c r="B2749" s="45">
        <v>6.9</v>
      </c>
      <c r="D2749" s="2"/>
      <c r="E2749" s="31"/>
      <c r="G2749" s="43"/>
      <c r="H2749" s="2"/>
    </row>
    <row r="2750" spans="1:8">
      <c r="A2750" s="39">
        <v>4.00205398975465</v>
      </c>
      <c r="B2750" s="45">
        <v>3.4</v>
      </c>
      <c r="D2750" s="2"/>
      <c r="E2750" s="31"/>
      <c r="G2750" s="43"/>
      <c r="H2750" s="2"/>
    </row>
    <row r="2751" spans="1:8">
      <c r="A2751" s="39">
        <v>4.00185204057746</v>
      </c>
      <c r="B2751" s="45">
        <v>8</v>
      </c>
      <c r="D2751" s="2"/>
      <c r="E2751" s="31"/>
      <c r="G2751" s="43"/>
      <c r="H2751" s="2"/>
    </row>
    <row r="2752" spans="1:8">
      <c r="A2752" s="39">
        <v>4.00142925627616</v>
      </c>
      <c r="B2752" s="45">
        <v>9.2</v>
      </c>
      <c r="D2752" s="2"/>
      <c r="E2752" s="31"/>
      <c r="G2752" s="43"/>
      <c r="H2752" s="2"/>
    </row>
    <row r="2753" spans="1:8">
      <c r="A2753" s="39">
        <v>4.00136952695496</v>
      </c>
      <c r="B2753" s="45">
        <v>8</v>
      </c>
      <c r="D2753" s="2"/>
      <c r="E2753" s="31"/>
      <c r="G2753" s="43"/>
      <c r="H2753" s="2"/>
    </row>
    <row r="2754" spans="1:8">
      <c r="A2754" s="39">
        <v>4.0012169902367</v>
      </c>
      <c r="B2754" s="45">
        <v>13</v>
      </c>
      <c r="D2754" s="2"/>
      <c r="E2754" s="31"/>
      <c r="G2754" s="43"/>
      <c r="H2754" s="2"/>
    </row>
    <row r="2755" spans="1:8">
      <c r="A2755" s="39">
        <v>4.00112456338412</v>
      </c>
      <c r="B2755" s="45">
        <v>16</v>
      </c>
      <c r="D2755" s="2"/>
      <c r="E2755" s="31"/>
      <c r="G2755" s="43"/>
      <c r="H2755" s="2"/>
    </row>
    <row r="2756" spans="1:8">
      <c r="A2756" s="39">
        <v>4.00081563685254</v>
      </c>
      <c r="B2756" s="45">
        <v>13.6</v>
      </c>
      <c r="D2756" s="2"/>
      <c r="E2756" s="31"/>
      <c r="G2756" s="43"/>
      <c r="H2756" s="2"/>
    </row>
    <row r="2757" spans="1:8">
      <c r="A2757" s="39">
        <v>4.00065798709419</v>
      </c>
      <c r="B2757" s="45">
        <v>7</v>
      </c>
      <c r="D2757" s="2"/>
      <c r="E2757" s="31"/>
      <c r="G2757" s="43"/>
      <c r="H2757" s="2"/>
    </row>
    <row r="2758" spans="1:8">
      <c r="A2758" s="39">
        <v>4.00065798709419</v>
      </c>
      <c r="B2758" s="45">
        <v>7.4</v>
      </c>
      <c r="D2758" s="2"/>
      <c r="E2758" s="31"/>
      <c r="G2758" s="43"/>
      <c r="H2758" s="2"/>
    </row>
    <row r="2759" spans="1:8">
      <c r="A2759" s="39">
        <v>4.00065798709419</v>
      </c>
      <c r="B2759" s="45">
        <v>6</v>
      </c>
      <c r="D2759" s="2"/>
      <c r="E2759" s="31"/>
      <c r="G2759" s="43"/>
      <c r="H2759" s="2"/>
    </row>
    <row r="2760" spans="1:8">
      <c r="A2760" s="39">
        <v>4.00065798709419</v>
      </c>
      <c r="B2760" s="45">
        <v>6.5</v>
      </c>
      <c r="D2760" s="2"/>
      <c r="E2760" s="31"/>
      <c r="G2760" s="43"/>
      <c r="H2760" s="2"/>
    </row>
    <row r="2761" spans="1:8">
      <c r="A2761" s="39">
        <v>3.99961261003982</v>
      </c>
      <c r="B2761" s="45">
        <v>12.4</v>
      </c>
      <c r="D2761" s="2"/>
      <c r="E2761" s="31"/>
      <c r="G2761" s="43"/>
      <c r="H2761" s="2"/>
    </row>
    <row r="2762" spans="1:8">
      <c r="A2762" s="39">
        <v>3.9995710934301</v>
      </c>
      <c r="B2762" s="45">
        <v>1.3</v>
      </c>
      <c r="D2762" s="2"/>
      <c r="E2762" s="31"/>
      <c r="G2762" s="43"/>
      <c r="H2762" s="2"/>
    </row>
    <row r="2763" spans="1:8">
      <c r="A2763" s="39">
        <v>3.99955787542636</v>
      </c>
      <c r="B2763" s="45">
        <v>6</v>
      </c>
      <c r="D2763" s="2"/>
      <c r="E2763" s="31"/>
      <c r="G2763" s="43"/>
      <c r="H2763" s="2"/>
    </row>
    <row r="2764" spans="1:8">
      <c r="A2764" s="39">
        <v>3.99955787542636</v>
      </c>
      <c r="B2764" s="45">
        <v>5.3</v>
      </c>
      <c r="D2764" s="2"/>
      <c r="E2764" s="31"/>
      <c r="G2764" s="43"/>
      <c r="H2764" s="2"/>
    </row>
    <row r="2765" spans="1:8">
      <c r="A2765" s="39">
        <v>3.99931613855591</v>
      </c>
      <c r="B2765" s="45">
        <v>5</v>
      </c>
      <c r="D2765" s="2"/>
      <c r="E2765" s="31"/>
      <c r="G2765" s="43"/>
      <c r="H2765" s="2"/>
    </row>
    <row r="2766" spans="1:8">
      <c r="A2766" s="39">
        <v>3.99866697109698</v>
      </c>
      <c r="B2766" s="45">
        <v>12.6</v>
      </c>
      <c r="D2766" s="2"/>
      <c r="E2766" s="31"/>
      <c r="G2766" s="43"/>
      <c r="H2766" s="2"/>
    </row>
    <row r="2767" spans="1:8">
      <c r="A2767" s="39">
        <v>3.99860267008626</v>
      </c>
      <c r="B2767" s="45">
        <v>9</v>
      </c>
      <c r="D2767" s="2"/>
      <c r="E2767" s="31"/>
      <c r="G2767" s="43"/>
      <c r="H2767" s="2"/>
    </row>
    <row r="2768" spans="1:8">
      <c r="A2768" s="39">
        <v>3.99856723298544</v>
      </c>
      <c r="B2768" s="45">
        <v>4.5</v>
      </c>
      <c r="D2768" s="2"/>
      <c r="E2768" s="31"/>
      <c r="G2768" s="43"/>
      <c r="H2768" s="2"/>
    </row>
    <row r="2769" spans="1:8">
      <c r="A2769" s="39">
        <v>3.99828944435638</v>
      </c>
      <c r="B2769" s="45">
        <v>2</v>
      </c>
      <c r="D2769" s="2"/>
      <c r="E2769" s="31"/>
      <c r="G2769" s="43"/>
      <c r="H2769" s="2"/>
    </row>
    <row r="2770" spans="1:8">
      <c r="A2770" s="39">
        <v>3.99806430073088</v>
      </c>
      <c r="B2770" s="45">
        <v>1</v>
      </c>
      <c r="D2770" s="2"/>
      <c r="E2770" s="31"/>
      <c r="G2770" s="43"/>
      <c r="H2770" s="2"/>
    </row>
    <row r="2771" spans="1:8">
      <c r="A2771" s="39">
        <v>3.99764914672494</v>
      </c>
      <c r="B2771" s="45">
        <v>7.5</v>
      </c>
      <c r="D2771" s="2"/>
      <c r="E2771" s="31"/>
      <c r="G2771" s="43"/>
      <c r="H2771" s="2"/>
    </row>
    <row r="2772" spans="1:8">
      <c r="A2772" s="39">
        <v>3.99763942666961</v>
      </c>
      <c r="B2772" s="45">
        <v>11.9</v>
      </c>
      <c r="D2772" s="2"/>
      <c r="E2772" s="31"/>
      <c r="G2772" s="43"/>
      <c r="H2772" s="2"/>
    </row>
    <row r="2773" spans="1:8">
      <c r="A2773" s="39">
        <v>3.99739099923194</v>
      </c>
      <c r="B2773" s="45">
        <v>18</v>
      </c>
      <c r="D2773" s="2"/>
      <c r="E2773" s="31"/>
      <c r="G2773" s="43"/>
      <c r="H2773" s="2"/>
    </row>
    <row r="2774" spans="1:8">
      <c r="A2774" s="39">
        <v>3.99730374437261</v>
      </c>
      <c r="B2774" s="45">
        <v>2</v>
      </c>
      <c r="D2774" s="2"/>
      <c r="E2774" s="31"/>
      <c r="G2774" s="43"/>
      <c r="H2774" s="2"/>
    </row>
    <row r="2775" spans="1:8">
      <c r="A2775" s="39">
        <v>3.99723452725994</v>
      </c>
      <c r="B2775" s="45">
        <v>8.6</v>
      </c>
      <c r="D2775" s="2"/>
      <c r="E2775" s="31"/>
      <c r="G2775" s="43"/>
      <c r="H2775" s="2"/>
    </row>
    <row r="2776" spans="1:8">
      <c r="A2776" s="39">
        <v>3.9970624728026</v>
      </c>
      <c r="B2776" s="45">
        <v>9.8</v>
      </c>
      <c r="D2776" s="2"/>
      <c r="E2776" s="31"/>
      <c r="G2776" s="43"/>
      <c r="H2776" s="2"/>
    </row>
    <row r="2777" spans="1:8">
      <c r="A2777" s="39">
        <v>3.9970624728026</v>
      </c>
      <c r="B2777" s="45">
        <v>1</v>
      </c>
      <c r="D2777" s="2"/>
      <c r="E2777" s="31"/>
      <c r="G2777" s="43"/>
      <c r="H2777" s="2"/>
    </row>
    <row r="2778" spans="1:8">
      <c r="A2778" s="39">
        <v>3.9970624728026</v>
      </c>
      <c r="B2778" s="45">
        <v>10.8</v>
      </c>
      <c r="D2778" s="2"/>
      <c r="E2778" s="31"/>
      <c r="G2778" s="43"/>
      <c r="H2778" s="2"/>
    </row>
    <row r="2779" spans="1:8">
      <c r="A2779" s="39">
        <v>3.9969358646445</v>
      </c>
      <c r="B2779" s="45">
        <v>16</v>
      </c>
      <c r="D2779" s="2"/>
      <c r="E2779" s="31"/>
      <c r="G2779" s="43"/>
      <c r="H2779" s="2"/>
    </row>
    <row r="2780" spans="1:8">
      <c r="A2780" s="39">
        <v>3.99675970022406</v>
      </c>
      <c r="B2780" s="45">
        <v>9.5</v>
      </c>
      <c r="D2780" s="2"/>
      <c r="E2780" s="31"/>
      <c r="G2780" s="43"/>
      <c r="H2780" s="2"/>
    </row>
    <row r="2781" spans="1:8">
      <c r="A2781" s="39">
        <v>3.99546918407957</v>
      </c>
      <c r="B2781" s="45">
        <v>5.6</v>
      </c>
      <c r="D2781" s="2"/>
      <c r="E2781" s="31"/>
      <c r="G2781" s="43"/>
      <c r="H2781" s="2"/>
    </row>
    <row r="2782" spans="1:8">
      <c r="A2782" s="39">
        <v>3.99469779323616</v>
      </c>
      <c r="B2782" s="45">
        <v>12</v>
      </c>
      <c r="D2782" s="2"/>
      <c r="E2782" s="31"/>
      <c r="G2782" s="43"/>
      <c r="H2782" s="2"/>
    </row>
    <row r="2783" spans="1:8">
      <c r="A2783" s="39">
        <v>3.99457726864403</v>
      </c>
      <c r="B2783" s="45">
        <v>9.6</v>
      </c>
      <c r="D2783" s="2"/>
      <c r="E2783" s="31"/>
      <c r="G2783" s="43"/>
      <c r="H2783" s="2"/>
    </row>
    <row r="2784" spans="1:8">
      <c r="A2784" s="39">
        <v>3.99448874173573</v>
      </c>
      <c r="B2784" s="45">
        <v>10</v>
      </c>
      <c r="D2784" s="2"/>
      <c r="E2784" s="31"/>
      <c r="G2784" s="43"/>
      <c r="H2784" s="2"/>
    </row>
    <row r="2785" spans="1:8">
      <c r="A2785" s="39">
        <v>3.99438572476794</v>
      </c>
      <c r="B2785" s="45">
        <v>5.3</v>
      </c>
      <c r="D2785" s="2"/>
      <c r="E2785" s="31"/>
      <c r="G2785" s="43"/>
      <c r="H2785" s="2"/>
    </row>
    <row r="2786" spans="1:8">
      <c r="A2786" s="39">
        <v>3.99415128382022</v>
      </c>
      <c r="B2786" s="45">
        <v>12.6</v>
      </c>
      <c r="D2786" s="2"/>
      <c r="E2786" s="31"/>
      <c r="G2786" s="43"/>
      <c r="H2786" s="2"/>
    </row>
    <row r="2787" spans="1:8">
      <c r="A2787" s="39">
        <v>3.99384043615843</v>
      </c>
      <c r="B2787" s="45">
        <v>4.5</v>
      </c>
      <c r="D2787" s="2"/>
      <c r="E2787" s="31"/>
      <c r="G2787" s="43"/>
      <c r="H2787" s="2"/>
    </row>
    <row r="2788" spans="1:8">
      <c r="A2788" s="39">
        <v>3.99384043615843</v>
      </c>
      <c r="B2788" s="45">
        <v>21</v>
      </c>
      <c r="D2788" s="2"/>
      <c r="E2788" s="31"/>
      <c r="G2788" s="43"/>
      <c r="H2788" s="2"/>
    </row>
    <row r="2789" spans="1:8">
      <c r="A2789" s="39">
        <v>3.99384043615843</v>
      </c>
      <c r="B2789" s="45">
        <v>4.4</v>
      </c>
      <c r="D2789" s="2"/>
      <c r="E2789" s="31"/>
      <c r="G2789" s="43"/>
      <c r="H2789" s="2"/>
    </row>
    <row r="2790" spans="1:8">
      <c r="A2790" s="39">
        <v>3.99335119023827</v>
      </c>
      <c r="B2790" s="45">
        <v>14</v>
      </c>
      <c r="D2790" s="2"/>
      <c r="E2790" s="31"/>
      <c r="G2790" s="43"/>
      <c r="H2790" s="2"/>
    </row>
    <row r="2791" spans="1:8">
      <c r="A2791" s="39">
        <v>3.99312231425735</v>
      </c>
      <c r="B2791" s="45">
        <v>16.5</v>
      </c>
      <c r="D2791" s="2"/>
      <c r="E2791" s="31"/>
      <c r="G2791" s="43"/>
      <c r="H2791" s="2"/>
    </row>
    <row r="2792" spans="1:8">
      <c r="A2792" s="39">
        <v>3.99271449249385</v>
      </c>
      <c r="B2792" s="45">
        <v>8.3</v>
      </c>
      <c r="D2792" s="2"/>
      <c r="E2792" s="31"/>
      <c r="G2792" s="43"/>
      <c r="H2792" s="2"/>
    </row>
    <row r="2793" spans="1:8">
      <c r="A2793" s="39">
        <v>3.99269568932903</v>
      </c>
      <c r="B2793" s="45">
        <v>20.5</v>
      </c>
      <c r="D2793" s="2"/>
      <c r="E2793" s="31"/>
      <c r="G2793" s="43"/>
      <c r="H2793" s="2"/>
    </row>
    <row r="2794" spans="1:8">
      <c r="A2794" s="39">
        <v>3.99253569779944</v>
      </c>
      <c r="B2794" s="45">
        <v>8.4</v>
      </c>
      <c r="D2794" s="2"/>
      <c r="E2794" s="31"/>
      <c r="G2794" s="43"/>
      <c r="H2794" s="2"/>
    </row>
    <row r="2795" spans="1:8">
      <c r="A2795" s="39">
        <v>3.99219823100214</v>
      </c>
      <c r="B2795" s="45">
        <v>6.6</v>
      </c>
      <c r="D2795" s="2"/>
      <c r="E2795" s="31"/>
      <c r="G2795" s="43"/>
      <c r="H2795" s="2"/>
    </row>
    <row r="2796" spans="1:8">
      <c r="A2796" s="39">
        <v>3.99166735987066</v>
      </c>
      <c r="B2796" s="45">
        <v>8.4</v>
      </c>
      <c r="D2796" s="2"/>
      <c r="E2796" s="31"/>
      <c r="G2796" s="43"/>
      <c r="H2796" s="2"/>
    </row>
    <row r="2797" spans="1:8">
      <c r="A2797" s="39">
        <v>3.99141328967257</v>
      </c>
      <c r="B2797" s="45">
        <v>21.1</v>
      </c>
      <c r="D2797" s="2"/>
      <c r="E2797" s="31"/>
      <c r="G2797" s="43"/>
      <c r="H2797" s="2"/>
    </row>
    <row r="2798" spans="1:8">
      <c r="A2798" s="39">
        <v>3.99130736844363</v>
      </c>
      <c r="B2798" s="45">
        <v>10.6</v>
      </c>
      <c r="D2798" s="2"/>
      <c r="E2798" s="31"/>
      <c r="G2798" s="43"/>
      <c r="H2798" s="2"/>
    </row>
    <row r="2799" spans="1:8">
      <c r="A2799" s="39">
        <v>3.99073685315073</v>
      </c>
      <c r="B2799" s="45">
        <v>2</v>
      </c>
      <c r="D2799" s="2"/>
      <c r="E2799" s="31"/>
      <c r="G2799" s="43"/>
      <c r="H2799" s="2"/>
    </row>
    <row r="2800" spans="1:8">
      <c r="A2800" s="39">
        <v>3.99041812216001</v>
      </c>
      <c r="B2800" s="45">
        <v>7</v>
      </c>
      <c r="D2800" s="2"/>
      <c r="E2800" s="31"/>
      <c r="G2800" s="43"/>
      <c r="H2800" s="2"/>
    </row>
    <row r="2801" spans="1:8">
      <c r="A2801" s="39">
        <v>3.99021240548398</v>
      </c>
      <c r="B2801" s="45">
        <v>11.5</v>
      </c>
      <c r="D2801" s="2"/>
      <c r="E2801" s="31"/>
      <c r="G2801" s="43"/>
      <c r="H2801" s="2"/>
    </row>
    <row r="2802" spans="1:8">
      <c r="A2802" s="39">
        <v>3.99007230807474</v>
      </c>
      <c r="B2802" s="45">
        <v>11.3</v>
      </c>
      <c r="D2802" s="2"/>
      <c r="E2802" s="31"/>
      <c r="G2802" s="43"/>
      <c r="H2802" s="2"/>
    </row>
    <row r="2803" spans="1:8">
      <c r="A2803" s="39">
        <v>3.98983743082638</v>
      </c>
      <c r="B2803" s="45">
        <v>0</v>
      </c>
      <c r="D2803" s="2"/>
      <c r="E2803" s="31"/>
      <c r="G2803" s="43"/>
      <c r="H2803" s="2"/>
    </row>
    <row r="2804" spans="1:8">
      <c r="A2804" s="39">
        <v>3.98978450034666</v>
      </c>
      <c r="B2804" s="45">
        <v>10.4</v>
      </c>
      <c r="D2804" s="2"/>
      <c r="E2804" s="31"/>
      <c r="G2804" s="43"/>
      <c r="H2804" s="2"/>
    </row>
    <row r="2805" spans="1:8">
      <c r="A2805" s="39">
        <v>3.98900038655174</v>
      </c>
      <c r="B2805" s="45">
        <v>2.2</v>
      </c>
      <c r="D2805" s="2"/>
      <c r="E2805" s="31"/>
      <c r="G2805" s="43"/>
      <c r="H2805" s="2"/>
    </row>
    <row r="2806" spans="1:8">
      <c r="A2806" s="39">
        <v>3.98892727792471</v>
      </c>
      <c r="B2806" s="45">
        <v>4</v>
      </c>
      <c r="D2806" s="2"/>
      <c r="E2806" s="31"/>
      <c r="G2806" s="43"/>
      <c r="H2806" s="2"/>
    </row>
    <row r="2807" spans="1:8">
      <c r="A2807" s="39">
        <v>3.98884490135575</v>
      </c>
      <c r="B2807" s="45">
        <v>5</v>
      </c>
      <c r="D2807" s="2"/>
      <c r="E2807" s="31"/>
      <c r="G2807" s="43"/>
      <c r="H2807" s="2"/>
    </row>
    <row r="2808" spans="1:8">
      <c r="A2808" s="39">
        <v>3.98850686113236</v>
      </c>
      <c r="B2808" s="45">
        <v>3</v>
      </c>
      <c r="D2808" s="2"/>
      <c r="E2808" s="31"/>
      <c r="G2808" s="43"/>
      <c r="H2808" s="2"/>
    </row>
    <row r="2809" spans="1:8">
      <c r="A2809" s="39">
        <v>3.98778955831809</v>
      </c>
      <c r="B2809" s="45">
        <v>5.1</v>
      </c>
      <c r="D2809" s="2"/>
      <c r="E2809" s="31"/>
      <c r="G2809" s="43"/>
      <c r="H2809" s="2"/>
    </row>
    <row r="2810" spans="1:8">
      <c r="A2810" s="39">
        <v>3.98768027096127</v>
      </c>
      <c r="B2810" s="45">
        <v>8.1</v>
      </c>
      <c r="D2810" s="2"/>
      <c r="E2810" s="31"/>
      <c r="G2810" s="43"/>
      <c r="H2810" s="2"/>
    </row>
    <row r="2811" spans="1:8">
      <c r="A2811" s="39">
        <v>3.98745123514352</v>
      </c>
      <c r="B2811" s="45">
        <v>22</v>
      </c>
      <c r="D2811" s="2"/>
      <c r="E2811" s="31"/>
      <c r="G2811" s="43"/>
      <c r="H2811" s="2"/>
    </row>
    <row r="2812" spans="1:8">
      <c r="A2812" s="39">
        <v>3.98745123514352</v>
      </c>
      <c r="B2812" s="45">
        <v>11</v>
      </c>
      <c r="D2812" s="2"/>
      <c r="E2812" s="31"/>
      <c r="G2812" s="43"/>
      <c r="H2812" s="2"/>
    </row>
    <row r="2813" spans="1:8">
      <c r="A2813" s="39">
        <v>3.98730249671061</v>
      </c>
      <c r="B2813" s="45">
        <v>17</v>
      </c>
      <c r="D2813" s="2"/>
      <c r="E2813" s="31"/>
      <c r="G2813" s="43"/>
      <c r="H2813" s="2"/>
    </row>
    <row r="2814" spans="1:8">
      <c r="A2814" s="39">
        <v>3.98730249671061</v>
      </c>
      <c r="B2814" s="45">
        <v>15</v>
      </c>
      <c r="D2814" s="2"/>
      <c r="E2814" s="31"/>
      <c r="G2814" s="43"/>
      <c r="H2814" s="2"/>
    </row>
    <row r="2815" spans="1:8">
      <c r="A2815" s="39">
        <v>3.98729147674777</v>
      </c>
      <c r="B2815" s="45">
        <v>6.7</v>
      </c>
      <c r="D2815" s="2"/>
      <c r="E2815" s="31"/>
      <c r="G2815" s="43"/>
      <c r="H2815" s="2"/>
    </row>
    <row r="2816" spans="1:8">
      <c r="A2816" s="39">
        <v>3.98720742040066</v>
      </c>
      <c r="B2816" s="45">
        <v>15.6</v>
      </c>
      <c r="D2816" s="2"/>
      <c r="E2816" s="31"/>
      <c r="G2816" s="43"/>
      <c r="H2816" s="2"/>
    </row>
    <row r="2817" spans="1:8">
      <c r="A2817" s="39">
        <v>3.98708599629298</v>
      </c>
      <c r="B2817" s="45">
        <v>4.7</v>
      </c>
      <c r="D2817" s="2"/>
      <c r="E2817" s="31"/>
      <c r="G2817" s="43"/>
      <c r="H2817" s="2"/>
    </row>
    <row r="2818" spans="1:8">
      <c r="A2818" s="39">
        <v>3.98706808538732</v>
      </c>
      <c r="B2818" s="45">
        <v>3.4</v>
      </c>
      <c r="D2818" s="2"/>
      <c r="E2818" s="31"/>
      <c r="G2818" s="43"/>
      <c r="H2818" s="2"/>
    </row>
    <row r="2819" spans="1:8">
      <c r="A2819" s="39">
        <v>3.9867474844843</v>
      </c>
      <c r="B2819" s="45">
        <v>13</v>
      </c>
      <c r="D2819" s="2"/>
      <c r="E2819" s="31"/>
      <c r="G2819" s="43"/>
      <c r="H2819" s="2"/>
    </row>
    <row r="2820" spans="1:8">
      <c r="A2820" s="39">
        <v>3.9867474844843</v>
      </c>
      <c r="B2820" s="45">
        <v>8</v>
      </c>
      <c r="D2820" s="2"/>
      <c r="E2820" s="31"/>
      <c r="G2820" s="43"/>
      <c r="H2820" s="2"/>
    </row>
    <row r="2821" spans="1:8">
      <c r="A2821" s="39">
        <v>3.98649119848214</v>
      </c>
      <c r="B2821" s="45">
        <v>19.4</v>
      </c>
      <c r="D2821" s="2"/>
      <c r="E2821" s="31"/>
      <c r="G2821" s="43"/>
      <c r="H2821" s="2"/>
    </row>
    <row r="2822" spans="1:8">
      <c r="A2822" s="39">
        <v>3.98649119848214</v>
      </c>
      <c r="B2822" s="45">
        <v>8.5</v>
      </c>
      <c r="D2822" s="2"/>
      <c r="E2822" s="31"/>
      <c r="G2822" s="43"/>
      <c r="H2822" s="2"/>
    </row>
    <row r="2823" spans="1:8">
      <c r="A2823" s="39">
        <v>3.98638243426787</v>
      </c>
      <c r="B2823" s="45">
        <v>10.5</v>
      </c>
      <c r="D2823" s="2"/>
      <c r="E2823" s="31"/>
      <c r="G2823" s="43"/>
      <c r="H2823" s="2"/>
    </row>
    <row r="2824" spans="1:8">
      <c r="A2824" s="39">
        <v>3.98541771687309</v>
      </c>
      <c r="B2824" s="45">
        <v>2</v>
      </c>
      <c r="D2824" s="2"/>
      <c r="E2824" s="31"/>
      <c r="G2824" s="43"/>
      <c r="H2824" s="2"/>
    </row>
    <row r="2825" spans="1:8">
      <c r="A2825" s="39">
        <v>3.98534031920462</v>
      </c>
      <c r="B2825" s="45">
        <v>14</v>
      </c>
      <c r="D2825" s="2"/>
      <c r="E2825" s="31"/>
      <c r="G2825" s="43"/>
      <c r="H2825" s="2"/>
    </row>
    <row r="2826" spans="1:8">
      <c r="A2826" s="39">
        <v>3.98487748929649</v>
      </c>
      <c r="B2826" s="45">
        <v>15.2</v>
      </c>
      <c r="D2826" s="2"/>
      <c r="E2826" s="31"/>
      <c r="G2826" s="43"/>
      <c r="H2826" s="2"/>
    </row>
    <row r="2827" spans="1:8">
      <c r="A2827" s="39">
        <v>3.98487748929649</v>
      </c>
      <c r="B2827" s="45">
        <v>0</v>
      </c>
      <c r="D2827" s="2"/>
      <c r="E2827" s="31"/>
      <c r="G2827" s="43"/>
      <c r="H2827" s="2"/>
    </row>
    <row r="2828" spans="1:8">
      <c r="A2828" s="39">
        <v>3.98444089688026</v>
      </c>
      <c r="B2828" s="45">
        <v>7.8</v>
      </c>
      <c r="D2828" s="2"/>
      <c r="E2828" s="31"/>
      <c r="G2828" s="43"/>
      <c r="H2828" s="2"/>
    </row>
    <row r="2829" spans="1:8">
      <c r="A2829" s="39">
        <v>3.98366511074389</v>
      </c>
      <c r="B2829" s="45">
        <v>5</v>
      </c>
      <c r="D2829" s="2"/>
      <c r="E2829" s="31"/>
      <c r="G2829" s="43"/>
      <c r="H2829" s="2"/>
    </row>
    <row r="2830" spans="1:8">
      <c r="A2830" s="39">
        <v>3.98366511074389</v>
      </c>
      <c r="B2830" s="45">
        <v>0</v>
      </c>
      <c r="D2830" s="2"/>
      <c r="E2830" s="31"/>
      <c r="G2830" s="43"/>
      <c r="H2830" s="2"/>
    </row>
    <row r="2831" spans="1:8">
      <c r="A2831" s="39">
        <v>3.98357349416317</v>
      </c>
      <c r="B2831" s="45">
        <v>15.2</v>
      </c>
      <c r="D2831" s="2"/>
      <c r="E2831" s="31"/>
      <c r="G2831" s="43"/>
      <c r="H2831" s="2"/>
    </row>
    <row r="2832" spans="1:8">
      <c r="A2832" s="39">
        <v>3.98323454643627</v>
      </c>
      <c r="B2832" s="45">
        <v>6.9</v>
      </c>
      <c r="D2832" s="2"/>
      <c r="E2832" s="31"/>
      <c r="G2832" s="43"/>
      <c r="H2832" s="2"/>
    </row>
    <row r="2833" spans="1:8">
      <c r="A2833" s="39">
        <v>3.98320311003921</v>
      </c>
      <c r="B2833" s="45">
        <v>10</v>
      </c>
      <c r="D2833" s="2"/>
      <c r="E2833" s="31"/>
      <c r="G2833" s="43"/>
      <c r="H2833" s="2"/>
    </row>
    <row r="2834" spans="1:8">
      <c r="A2834" s="39">
        <v>3.98291008888954</v>
      </c>
      <c r="B2834" s="45">
        <v>8.1</v>
      </c>
      <c r="D2834" s="2"/>
      <c r="E2834" s="31"/>
      <c r="G2834" s="43"/>
      <c r="H2834" s="2"/>
    </row>
    <row r="2835" spans="1:8">
      <c r="A2835" s="39">
        <v>3.98286462414232</v>
      </c>
      <c r="B2835" s="45">
        <v>23.5</v>
      </c>
      <c r="D2835" s="2"/>
      <c r="E2835" s="31"/>
      <c r="G2835" s="43"/>
      <c r="H2835" s="2"/>
    </row>
    <row r="2836" spans="1:8">
      <c r="A2836" s="39">
        <v>3.98257836625516</v>
      </c>
      <c r="B2836" s="45">
        <v>7.3</v>
      </c>
      <c r="D2836" s="2"/>
      <c r="E2836" s="31"/>
      <c r="G2836" s="43"/>
      <c r="H2836" s="2"/>
    </row>
    <row r="2837" spans="1:8">
      <c r="A2837" s="39">
        <v>3.98252498052898</v>
      </c>
      <c r="B2837" s="45">
        <v>9.8</v>
      </c>
      <c r="D2837" s="2"/>
      <c r="E2837" s="31"/>
      <c r="G2837" s="43"/>
      <c r="H2837" s="2"/>
    </row>
    <row r="2838" spans="1:8">
      <c r="A2838" s="39">
        <v>3.98177873064512</v>
      </c>
      <c r="B2838" s="45">
        <v>2</v>
      </c>
      <c r="D2838" s="2"/>
      <c r="E2838" s="31"/>
      <c r="G2838" s="43"/>
      <c r="H2838" s="2"/>
    </row>
    <row r="2839" spans="1:8">
      <c r="A2839" s="39">
        <v>3.98095600907084</v>
      </c>
      <c r="B2839" s="45">
        <v>16.6</v>
      </c>
      <c r="D2839" s="2"/>
      <c r="E2839" s="31"/>
      <c r="G2839" s="43"/>
      <c r="H2839" s="2"/>
    </row>
    <row r="2840" spans="1:8">
      <c r="A2840" s="39">
        <v>3.980753938067</v>
      </c>
      <c r="B2840" s="45">
        <v>5.6</v>
      </c>
      <c r="D2840" s="2"/>
      <c r="E2840" s="31"/>
      <c r="G2840" s="43"/>
      <c r="H2840" s="2"/>
    </row>
    <row r="2841" spans="1:8">
      <c r="A2841" s="39">
        <v>3.98055846175833</v>
      </c>
      <c r="B2841" s="45">
        <v>20</v>
      </c>
      <c r="D2841" s="2"/>
      <c r="E2841" s="31"/>
      <c r="G2841" s="43"/>
      <c r="H2841" s="2"/>
    </row>
    <row r="2842" spans="1:8">
      <c r="A2842" s="39">
        <v>3.98015118016475</v>
      </c>
      <c r="B2842" s="45">
        <v>4.5</v>
      </c>
      <c r="D2842" s="2"/>
      <c r="E2842" s="31"/>
      <c r="G2842" s="43"/>
      <c r="H2842" s="2"/>
    </row>
    <row r="2843" spans="1:8">
      <c r="A2843" s="39">
        <v>3.98015118016475</v>
      </c>
      <c r="B2843" s="45">
        <v>14</v>
      </c>
      <c r="D2843" s="2"/>
      <c r="E2843" s="31"/>
      <c r="G2843" s="43"/>
      <c r="H2843" s="2"/>
    </row>
    <row r="2844" spans="1:8">
      <c r="A2844" s="39">
        <v>3.98002772477718</v>
      </c>
      <c r="B2844" s="45">
        <v>7</v>
      </c>
      <c r="D2844" s="2"/>
      <c r="E2844" s="31"/>
      <c r="G2844" s="43"/>
      <c r="H2844" s="2"/>
    </row>
    <row r="2845" spans="1:8">
      <c r="A2845" s="39">
        <v>3.98002772477718</v>
      </c>
      <c r="B2845" s="45">
        <v>4.7</v>
      </c>
      <c r="D2845" s="2"/>
      <c r="E2845" s="31"/>
      <c r="G2845" s="43"/>
      <c r="H2845" s="2"/>
    </row>
    <row r="2846" spans="1:8">
      <c r="A2846" s="39">
        <v>3.98002772477718</v>
      </c>
      <c r="B2846" s="45">
        <v>4</v>
      </c>
      <c r="D2846" s="2"/>
      <c r="E2846" s="31"/>
      <c r="G2846" s="43"/>
      <c r="H2846" s="2"/>
    </row>
    <row r="2847" spans="1:8">
      <c r="A2847" s="39">
        <v>3.98002772477718</v>
      </c>
      <c r="B2847" s="45">
        <v>11.5</v>
      </c>
      <c r="D2847" s="2"/>
      <c r="E2847" s="31"/>
      <c r="G2847" s="43"/>
      <c r="H2847" s="2"/>
    </row>
    <row r="2848" spans="1:8">
      <c r="A2848" s="39">
        <v>3.98002772477718</v>
      </c>
      <c r="B2848" s="45">
        <v>20.9</v>
      </c>
      <c r="D2848" s="2"/>
      <c r="E2848" s="31"/>
      <c r="G2848" s="43"/>
      <c r="H2848" s="2"/>
    </row>
    <row r="2849" spans="1:8">
      <c r="A2849" s="39">
        <v>3.9799437852585</v>
      </c>
      <c r="B2849" s="45">
        <v>3</v>
      </c>
      <c r="D2849" s="2"/>
      <c r="E2849" s="31"/>
      <c r="G2849" s="43"/>
      <c r="H2849" s="2"/>
    </row>
    <row r="2850" spans="1:8">
      <c r="A2850" s="39">
        <v>3.97975044600669</v>
      </c>
      <c r="B2850" s="45">
        <v>4.8</v>
      </c>
      <c r="D2850" s="2"/>
      <c r="E2850" s="31"/>
      <c r="G2850" s="43"/>
      <c r="H2850" s="2"/>
    </row>
    <row r="2851" spans="1:8">
      <c r="A2851" s="39">
        <v>3.97934681401678</v>
      </c>
      <c r="B2851" s="45">
        <v>26</v>
      </c>
      <c r="D2851" s="2"/>
      <c r="E2851" s="31"/>
      <c r="G2851" s="43"/>
      <c r="H2851" s="2"/>
    </row>
    <row r="2852" spans="1:8">
      <c r="A2852" s="39">
        <v>3.97886754166275</v>
      </c>
      <c r="B2852" s="45">
        <v>0</v>
      </c>
      <c r="D2852" s="2"/>
      <c r="E2852" s="31"/>
      <c r="G2852" s="43"/>
      <c r="H2852" s="2"/>
    </row>
    <row r="2853" spans="1:8">
      <c r="A2853" s="39">
        <v>3.97886754166275</v>
      </c>
      <c r="B2853" s="45">
        <v>18</v>
      </c>
      <c r="D2853" s="2"/>
      <c r="E2853" s="31"/>
      <c r="G2853" s="43"/>
      <c r="H2853" s="2"/>
    </row>
    <row r="2854" spans="1:8">
      <c r="A2854" s="39">
        <v>3.97870506895231</v>
      </c>
      <c r="B2854" s="45">
        <v>7.7</v>
      </c>
      <c r="D2854" s="2"/>
      <c r="E2854" s="31"/>
      <c r="G2854" s="43"/>
      <c r="H2854" s="2"/>
    </row>
    <row r="2855" spans="1:8">
      <c r="A2855" s="39">
        <v>3.97864325199167</v>
      </c>
      <c r="B2855" s="45">
        <v>9.9</v>
      </c>
      <c r="D2855" s="2"/>
      <c r="E2855" s="31"/>
      <c r="G2855" s="43"/>
      <c r="H2855" s="2"/>
    </row>
    <row r="2856" spans="1:8">
      <c r="A2856" s="39">
        <v>3.97834168892041</v>
      </c>
      <c r="B2856" s="45">
        <v>5.5</v>
      </c>
      <c r="D2856" s="2"/>
      <c r="E2856" s="31"/>
      <c r="G2856" s="43"/>
      <c r="H2856" s="2"/>
    </row>
    <row r="2857" spans="1:8">
      <c r="A2857" s="39">
        <v>3.97830247657366</v>
      </c>
      <c r="B2857" s="45">
        <v>16.2</v>
      </c>
      <c r="D2857" s="2"/>
      <c r="E2857" s="31"/>
      <c r="G2857" s="43"/>
      <c r="H2857" s="2"/>
    </row>
    <row r="2858" spans="1:8">
      <c r="A2858" s="39">
        <v>3.97825464641916</v>
      </c>
      <c r="B2858" s="45">
        <v>14.5</v>
      </c>
      <c r="D2858" s="2"/>
      <c r="E2858" s="31"/>
      <c r="G2858" s="43"/>
      <c r="H2858" s="2"/>
    </row>
    <row r="2859" spans="1:8">
      <c r="A2859" s="39">
        <v>3.9781449406098</v>
      </c>
      <c r="B2859" s="45">
        <v>3.6</v>
      </c>
      <c r="D2859" s="2"/>
      <c r="E2859" s="31"/>
      <c r="G2859" s="43"/>
      <c r="H2859" s="2"/>
    </row>
    <row r="2860" spans="1:8">
      <c r="A2860" s="39">
        <v>3.97765969189794</v>
      </c>
      <c r="B2860" s="45">
        <v>5.7</v>
      </c>
      <c r="D2860" s="2"/>
      <c r="E2860" s="31"/>
      <c r="G2860" s="43"/>
      <c r="H2860" s="2"/>
    </row>
    <row r="2861" spans="1:8">
      <c r="A2861" s="39">
        <v>3.97759872591444</v>
      </c>
      <c r="B2861" s="45">
        <v>8.2</v>
      </c>
      <c r="D2861" s="2"/>
      <c r="E2861" s="31"/>
      <c r="G2861" s="43"/>
      <c r="H2861" s="2"/>
    </row>
    <row r="2862" spans="1:8">
      <c r="A2862" s="39">
        <v>3.97689497525522</v>
      </c>
      <c r="B2862" s="45">
        <v>18.8</v>
      </c>
      <c r="D2862" s="2"/>
      <c r="E2862" s="31"/>
      <c r="G2862" s="43"/>
      <c r="H2862" s="2"/>
    </row>
    <row r="2863" spans="1:8">
      <c r="A2863" s="39">
        <v>3.97668414992596</v>
      </c>
      <c r="B2863" s="45">
        <v>6</v>
      </c>
      <c r="D2863" s="2"/>
      <c r="E2863" s="31"/>
      <c r="G2863" s="43"/>
      <c r="H2863" s="2"/>
    </row>
    <row r="2864" spans="1:8">
      <c r="A2864" s="39">
        <v>3.97595635268037</v>
      </c>
      <c r="B2864" s="45">
        <v>6.2</v>
      </c>
      <c r="D2864" s="2"/>
      <c r="E2864" s="31"/>
      <c r="G2864" s="43"/>
      <c r="H2864" s="2"/>
    </row>
    <row r="2865" spans="1:8">
      <c r="A2865" s="39">
        <v>3.97574786970434</v>
      </c>
      <c r="B2865" s="45">
        <v>2</v>
      </c>
      <c r="D2865" s="2"/>
      <c r="E2865" s="31"/>
      <c r="G2865" s="43"/>
      <c r="H2865" s="2"/>
    </row>
    <row r="2866" spans="1:8">
      <c r="A2866" s="39">
        <v>3.97574786970434</v>
      </c>
      <c r="B2866" s="45">
        <v>10.1</v>
      </c>
      <c r="D2866" s="2"/>
      <c r="E2866" s="31"/>
      <c r="G2866" s="43"/>
      <c r="H2866" s="2"/>
    </row>
    <row r="2867" spans="1:8">
      <c r="A2867" s="39">
        <v>3.97574786970434</v>
      </c>
      <c r="B2867" s="45">
        <v>8.5</v>
      </c>
      <c r="D2867" s="2"/>
      <c r="E2867" s="31"/>
      <c r="G2867" s="43"/>
      <c r="H2867" s="2"/>
    </row>
    <row r="2868" spans="1:8">
      <c r="A2868" s="39">
        <v>3.97566286161713</v>
      </c>
      <c r="B2868" s="45">
        <v>17.9</v>
      </c>
      <c r="D2868" s="2"/>
      <c r="E2868" s="31"/>
      <c r="G2868" s="43"/>
      <c r="H2868" s="2"/>
    </row>
    <row r="2869" spans="1:8">
      <c r="A2869" s="39">
        <v>3.97554675961564</v>
      </c>
      <c r="B2869" s="45">
        <v>2.3</v>
      </c>
      <c r="D2869" s="2"/>
      <c r="E2869" s="31"/>
      <c r="G2869" s="43"/>
      <c r="H2869" s="2"/>
    </row>
    <row r="2870" spans="1:8">
      <c r="A2870" s="39">
        <v>3.97554675961564</v>
      </c>
      <c r="B2870" s="45">
        <v>2</v>
      </c>
      <c r="D2870" s="2"/>
      <c r="E2870" s="31"/>
      <c r="G2870" s="43"/>
      <c r="H2870" s="2"/>
    </row>
    <row r="2871" spans="1:8">
      <c r="A2871" s="39">
        <v>3.97507378873237</v>
      </c>
      <c r="B2871" s="45">
        <v>5.2</v>
      </c>
      <c r="D2871" s="2"/>
      <c r="E2871" s="31"/>
      <c r="G2871" s="43"/>
      <c r="H2871" s="2"/>
    </row>
    <row r="2872" spans="1:8">
      <c r="A2872" s="39">
        <v>3.975046249262</v>
      </c>
      <c r="B2872" s="45">
        <v>7</v>
      </c>
      <c r="D2872" s="2"/>
      <c r="E2872" s="31"/>
      <c r="G2872" s="43"/>
      <c r="H2872" s="2"/>
    </row>
    <row r="2873" spans="1:8">
      <c r="A2873" s="39">
        <v>3.97502572734564</v>
      </c>
      <c r="B2873" s="45">
        <v>6.6</v>
      </c>
      <c r="D2873" s="2"/>
      <c r="E2873" s="31"/>
      <c r="G2873" s="43"/>
      <c r="H2873" s="2"/>
    </row>
    <row r="2874" spans="1:8">
      <c r="A2874" s="39">
        <v>3.97467547776727</v>
      </c>
      <c r="B2874" s="45">
        <v>10</v>
      </c>
      <c r="D2874" s="2"/>
      <c r="E2874" s="31"/>
      <c r="G2874" s="43"/>
      <c r="H2874" s="2"/>
    </row>
    <row r="2875" spans="1:8">
      <c r="A2875" s="39">
        <v>3.97467353682656</v>
      </c>
      <c r="B2875" s="45">
        <v>8.25</v>
      </c>
      <c r="D2875" s="2"/>
      <c r="E2875" s="31"/>
      <c r="G2875" s="43"/>
      <c r="H2875" s="2"/>
    </row>
    <row r="2876" spans="1:8">
      <c r="A2876" s="39">
        <v>3.97454725131239</v>
      </c>
      <c r="B2876" s="45">
        <v>1</v>
      </c>
      <c r="D2876" s="2"/>
      <c r="E2876" s="31"/>
      <c r="G2876" s="43"/>
      <c r="H2876" s="2"/>
    </row>
    <row r="2877" spans="1:8">
      <c r="A2877" s="39">
        <v>3.97452356073481</v>
      </c>
      <c r="B2877" s="45">
        <v>0</v>
      </c>
      <c r="D2877" s="2"/>
      <c r="E2877" s="31"/>
      <c r="G2877" s="43"/>
      <c r="H2877" s="2"/>
    </row>
    <row r="2878" spans="1:8">
      <c r="A2878" s="39">
        <v>3.97407997261834</v>
      </c>
      <c r="B2878" s="45">
        <v>9</v>
      </c>
      <c r="D2878" s="2"/>
      <c r="E2878" s="31"/>
      <c r="G2878" s="43"/>
      <c r="H2878" s="2"/>
    </row>
    <row r="2879" spans="1:8">
      <c r="A2879" s="39">
        <v>3.97407997261834</v>
      </c>
      <c r="B2879" s="45">
        <v>9</v>
      </c>
      <c r="D2879" s="2"/>
      <c r="E2879" s="31"/>
      <c r="G2879" s="43"/>
      <c r="H2879" s="2"/>
    </row>
    <row r="2880" spans="1:8">
      <c r="A2880" s="39">
        <v>3.97382544676889</v>
      </c>
      <c r="B2880" s="45">
        <v>10.6</v>
      </c>
      <c r="D2880" s="2"/>
      <c r="E2880" s="31"/>
      <c r="G2880" s="43"/>
      <c r="H2880" s="2"/>
    </row>
    <row r="2881" spans="1:8">
      <c r="A2881" s="39">
        <v>3.97315214526994</v>
      </c>
      <c r="B2881" s="45">
        <v>6</v>
      </c>
      <c r="D2881" s="2"/>
      <c r="E2881" s="31"/>
      <c r="G2881" s="43"/>
      <c r="H2881" s="2"/>
    </row>
    <row r="2882" spans="1:8">
      <c r="A2882" s="39">
        <v>3.9730147557908</v>
      </c>
      <c r="B2882" s="45">
        <v>4</v>
      </c>
      <c r="D2882" s="2"/>
      <c r="E2882" s="31"/>
      <c r="G2882" s="43"/>
      <c r="H2882" s="2"/>
    </row>
    <row r="2883" spans="1:8">
      <c r="A2883" s="39">
        <v>3.97275295284376</v>
      </c>
      <c r="B2883" s="45">
        <v>27</v>
      </c>
      <c r="D2883" s="2"/>
      <c r="E2883" s="31"/>
      <c r="G2883" s="43"/>
      <c r="H2883" s="2"/>
    </row>
    <row r="2884" spans="1:8">
      <c r="A2884" s="39">
        <v>3.97267247129989</v>
      </c>
      <c r="B2884" s="45">
        <v>9.5</v>
      </c>
      <c r="D2884" s="2"/>
      <c r="E2884" s="31"/>
      <c r="G2884" s="43"/>
      <c r="H2884" s="2"/>
    </row>
    <row r="2885" spans="1:8">
      <c r="A2885" s="39">
        <v>3.9723173664524</v>
      </c>
      <c r="B2885" s="45">
        <v>9.8</v>
      </c>
      <c r="D2885" s="2"/>
      <c r="E2885" s="31"/>
      <c r="G2885" s="43"/>
      <c r="H2885" s="2"/>
    </row>
    <row r="2886" spans="1:8">
      <c r="A2886" s="39">
        <v>3.97231119376569</v>
      </c>
      <c r="B2886" s="45">
        <v>11</v>
      </c>
      <c r="D2886" s="2"/>
      <c r="E2886" s="31"/>
      <c r="G2886" s="43"/>
      <c r="H2886" s="2"/>
    </row>
    <row r="2887" spans="1:8">
      <c r="A2887" s="39">
        <v>3.97125316376885</v>
      </c>
      <c r="B2887" s="45">
        <v>5.5</v>
      </c>
      <c r="D2887" s="2"/>
      <c r="E2887" s="31"/>
      <c r="G2887" s="43"/>
      <c r="H2887" s="2"/>
    </row>
    <row r="2888" spans="1:8">
      <c r="A2888" s="39">
        <v>3.97125316376885</v>
      </c>
      <c r="B2888" s="45">
        <v>5.5</v>
      </c>
      <c r="D2888" s="2"/>
      <c r="E2888" s="31"/>
      <c r="G2888" s="43"/>
      <c r="H2888" s="2"/>
    </row>
    <row r="2889" spans="1:8">
      <c r="A2889" s="39">
        <v>3.97094956201498</v>
      </c>
      <c r="B2889" s="45">
        <v>10.3</v>
      </c>
      <c r="D2889" s="2"/>
      <c r="E2889" s="31"/>
      <c r="G2889" s="43"/>
      <c r="H2889" s="2"/>
    </row>
    <row r="2890" spans="1:8">
      <c r="A2890" s="39">
        <v>3.97056870096916</v>
      </c>
      <c r="B2890" s="45">
        <v>2.5</v>
      </c>
      <c r="D2890" s="2"/>
      <c r="E2890" s="31"/>
      <c r="G2890" s="43"/>
      <c r="H2890" s="2"/>
    </row>
    <row r="2891" spans="1:8">
      <c r="A2891" s="39">
        <v>3.97034205251731</v>
      </c>
      <c r="B2891" s="45">
        <v>11.2</v>
      </c>
      <c r="D2891" s="2"/>
      <c r="E2891" s="31"/>
      <c r="G2891" s="43"/>
      <c r="H2891" s="2"/>
    </row>
    <row r="2892" spans="1:8">
      <c r="A2892" s="39">
        <v>3.96988423816948</v>
      </c>
      <c r="B2892" s="45">
        <v>4.8</v>
      </c>
      <c r="D2892" s="2"/>
      <c r="E2892" s="31"/>
      <c r="G2892" s="43"/>
      <c r="H2892" s="2"/>
    </row>
    <row r="2893" spans="1:8">
      <c r="A2893" s="39">
        <v>3.96929667546294</v>
      </c>
      <c r="B2893" s="45">
        <v>6.9</v>
      </c>
      <c r="D2893" s="2"/>
      <c r="E2893" s="31"/>
      <c r="G2893" s="43"/>
      <c r="H2893" s="2"/>
    </row>
    <row r="2894" spans="1:8">
      <c r="A2894" s="39">
        <v>3.96929667546294</v>
      </c>
      <c r="B2894" s="45">
        <v>6</v>
      </c>
      <c r="D2894" s="2"/>
      <c r="E2894" s="31"/>
      <c r="G2894" s="43"/>
      <c r="H2894" s="2"/>
    </row>
    <row r="2895" spans="1:8">
      <c r="A2895" s="39">
        <v>3.96929667546294</v>
      </c>
      <c r="B2895" s="45">
        <v>4</v>
      </c>
      <c r="D2895" s="2"/>
      <c r="E2895" s="31"/>
      <c r="G2895" s="43"/>
      <c r="H2895" s="2"/>
    </row>
    <row r="2896" spans="1:8">
      <c r="A2896" s="39">
        <v>3.96929667546294</v>
      </c>
      <c r="B2896" s="45">
        <v>5.6</v>
      </c>
      <c r="D2896" s="2"/>
      <c r="E2896" s="31"/>
      <c r="G2896" s="43"/>
      <c r="H2896" s="2"/>
    </row>
    <row r="2897" spans="1:8">
      <c r="A2897" s="39">
        <v>3.96867838022443</v>
      </c>
      <c r="B2897" s="45">
        <v>9</v>
      </c>
      <c r="D2897" s="2"/>
      <c r="E2897" s="31"/>
      <c r="G2897" s="43"/>
      <c r="H2897" s="2"/>
    </row>
    <row r="2898" spans="1:8">
      <c r="A2898" s="39">
        <v>3.96867838022443</v>
      </c>
      <c r="B2898" s="45">
        <v>2.8</v>
      </c>
      <c r="D2898" s="2"/>
      <c r="E2898" s="31"/>
      <c r="G2898" s="43"/>
      <c r="H2898" s="2"/>
    </row>
    <row r="2899" spans="1:8">
      <c r="A2899" s="39">
        <v>3.96858565051914</v>
      </c>
      <c r="B2899" s="45">
        <v>8.5</v>
      </c>
      <c r="D2899" s="2"/>
      <c r="E2899" s="31"/>
      <c r="G2899" s="43"/>
      <c r="H2899" s="2"/>
    </row>
    <row r="2900" spans="1:8">
      <c r="A2900" s="39">
        <v>3.96858565051914</v>
      </c>
      <c r="B2900" s="45">
        <v>11.3</v>
      </c>
      <c r="D2900" s="2"/>
      <c r="E2900" s="31"/>
      <c r="G2900" s="43"/>
      <c r="H2900" s="2"/>
    </row>
    <row r="2901" spans="1:8">
      <c r="A2901" s="39">
        <v>3.96858565051914</v>
      </c>
      <c r="B2901" s="45">
        <v>22</v>
      </c>
      <c r="D2901" s="2"/>
      <c r="E2901" s="31"/>
      <c r="G2901" s="43"/>
      <c r="H2901" s="2"/>
    </row>
    <row r="2902" spans="1:8">
      <c r="A2902" s="39">
        <v>3.9671532066821</v>
      </c>
      <c r="B2902" s="45">
        <v>12.5</v>
      </c>
      <c r="D2902" s="2"/>
      <c r="E2902" s="31"/>
      <c r="G2902" s="43"/>
      <c r="H2902" s="2"/>
    </row>
    <row r="2903" spans="1:8">
      <c r="A2903" s="39">
        <v>3.96714638697074</v>
      </c>
      <c r="B2903" s="45">
        <v>8</v>
      </c>
      <c r="D2903" s="2"/>
      <c r="E2903" s="31"/>
      <c r="G2903" s="43"/>
      <c r="H2903" s="2"/>
    </row>
    <row r="2904" spans="1:8">
      <c r="A2904" s="39">
        <v>3.96714638697074</v>
      </c>
      <c r="B2904" s="45">
        <v>3</v>
      </c>
      <c r="D2904" s="2"/>
      <c r="E2904" s="31"/>
      <c r="G2904" s="43"/>
      <c r="H2904" s="2"/>
    </row>
    <row r="2905" spans="1:8">
      <c r="A2905" s="39">
        <v>3.96709243177945</v>
      </c>
      <c r="B2905" s="45">
        <v>6.3</v>
      </c>
      <c r="D2905" s="2"/>
      <c r="E2905" s="31"/>
      <c r="G2905" s="43"/>
      <c r="H2905" s="2"/>
    </row>
    <row r="2906" spans="1:8">
      <c r="A2906" s="39">
        <v>3.96704246602613</v>
      </c>
      <c r="B2906" s="45">
        <v>2.5</v>
      </c>
      <c r="D2906" s="2"/>
      <c r="E2906" s="31"/>
      <c r="G2906" s="43"/>
      <c r="H2906" s="2"/>
    </row>
    <row r="2907" spans="1:8">
      <c r="A2907" s="39">
        <v>3.96693313529701</v>
      </c>
      <c r="B2907" s="45">
        <v>11</v>
      </c>
      <c r="D2907" s="2"/>
      <c r="E2907" s="31"/>
      <c r="G2907" s="43"/>
      <c r="H2907" s="2"/>
    </row>
    <row r="2908" spans="1:8">
      <c r="A2908" s="39">
        <v>3.96633871536691</v>
      </c>
      <c r="B2908" s="45">
        <v>17</v>
      </c>
      <c r="D2908" s="2"/>
      <c r="E2908" s="31"/>
      <c r="G2908" s="43"/>
      <c r="H2908" s="2"/>
    </row>
    <row r="2909" spans="1:8">
      <c r="A2909" s="39">
        <v>3.96572076284506</v>
      </c>
      <c r="B2909" s="45">
        <v>30</v>
      </c>
      <c r="D2909" s="2"/>
      <c r="E2909" s="31"/>
      <c r="G2909" s="43"/>
      <c r="H2909" s="2"/>
    </row>
    <row r="2910" spans="1:8">
      <c r="A2910" s="39">
        <v>3.96572076284506</v>
      </c>
      <c r="B2910" s="45">
        <v>5.9</v>
      </c>
      <c r="D2910" s="2"/>
      <c r="E2910" s="31"/>
      <c r="G2910" s="43"/>
      <c r="H2910" s="2"/>
    </row>
    <row r="2911" spans="1:8">
      <c r="A2911" s="39">
        <v>3.9652755735146</v>
      </c>
      <c r="B2911" s="45">
        <v>3.5</v>
      </c>
      <c r="D2911" s="2"/>
      <c r="E2911" s="31"/>
      <c r="G2911" s="43"/>
      <c r="H2911" s="2"/>
    </row>
    <row r="2912" spans="1:8">
      <c r="A2912" s="39">
        <v>3.96521286811335</v>
      </c>
      <c r="B2912" s="45">
        <v>5</v>
      </c>
      <c r="D2912" s="2"/>
      <c r="E2912" s="31"/>
      <c r="G2912" s="43"/>
      <c r="H2912" s="2"/>
    </row>
    <row r="2913" spans="1:8">
      <c r="A2913" s="39">
        <v>3.96509299857169</v>
      </c>
      <c r="B2913" s="45">
        <v>3.6</v>
      </c>
      <c r="D2913" s="2"/>
      <c r="E2913" s="31"/>
      <c r="G2913" s="43"/>
      <c r="H2913" s="2"/>
    </row>
    <row r="2914" spans="1:8">
      <c r="A2914" s="39">
        <v>3.96503939399646</v>
      </c>
      <c r="B2914" s="45">
        <v>6.1</v>
      </c>
      <c r="D2914" s="2"/>
      <c r="E2914" s="31"/>
      <c r="G2914" s="43"/>
      <c r="H2914" s="2"/>
    </row>
    <row r="2915" spans="1:8">
      <c r="A2915" s="39">
        <v>3.96500454092654</v>
      </c>
      <c r="B2915" s="45">
        <v>7.5</v>
      </c>
      <c r="D2915" s="2"/>
      <c r="E2915" s="31"/>
      <c r="G2915" s="43"/>
      <c r="H2915" s="2"/>
    </row>
    <row r="2916" spans="1:8">
      <c r="A2916" s="39">
        <v>3.964408535772</v>
      </c>
      <c r="B2916" s="45">
        <v>6.5</v>
      </c>
      <c r="D2916" s="2"/>
      <c r="E2916" s="31"/>
      <c r="G2916" s="43"/>
      <c r="H2916" s="2"/>
    </row>
    <row r="2917" spans="1:8">
      <c r="A2917" s="39">
        <v>3.96431159675086</v>
      </c>
      <c r="B2917" s="45">
        <v>7.5</v>
      </c>
      <c r="D2917" s="2"/>
      <c r="E2917" s="31"/>
      <c r="G2917" s="43"/>
      <c r="H2917" s="2"/>
    </row>
    <row r="2918" spans="1:8">
      <c r="A2918" s="39">
        <v>3.96406979019106</v>
      </c>
      <c r="B2918" s="45">
        <v>7.4</v>
      </c>
      <c r="D2918" s="2"/>
      <c r="E2918" s="31"/>
      <c r="G2918" s="43"/>
      <c r="H2918" s="2"/>
    </row>
    <row r="2919" spans="1:8">
      <c r="A2919" s="39">
        <v>3.96406979019106</v>
      </c>
      <c r="B2919" s="45">
        <v>4.8</v>
      </c>
      <c r="D2919" s="2"/>
      <c r="E2919" s="31"/>
      <c r="G2919" s="43"/>
      <c r="H2919" s="2"/>
    </row>
    <row r="2920" spans="1:8">
      <c r="A2920" s="39">
        <v>3.96375418342016</v>
      </c>
      <c r="B2920" s="45">
        <v>7</v>
      </c>
      <c r="D2920" s="2"/>
      <c r="E2920" s="31"/>
      <c r="G2920" s="43"/>
      <c r="H2920" s="2"/>
    </row>
    <row r="2921" spans="1:8">
      <c r="A2921" s="39">
        <v>3.96357739157464</v>
      </c>
      <c r="B2921" s="45">
        <v>6.4</v>
      </c>
      <c r="D2921" s="2"/>
      <c r="E2921" s="31"/>
      <c r="G2921" s="43"/>
      <c r="H2921" s="2"/>
    </row>
    <row r="2922" spans="1:8">
      <c r="A2922" s="39">
        <v>3.96352371273003</v>
      </c>
      <c r="B2922" s="45">
        <v>21.3</v>
      </c>
      <c r="D2922" s="2"/>
      <c r="E2922" s="31"/>
      <c r="G2922" s="43"/>
      <c r="H2922" s="2"/>
    </row>
    <row r="2923" spans="1:8">
      <c r="A2923" s="39">
        <v>3.96305410603213</v>
      </c>
      <c r="B2923" s="45">
        <v>9</v>
      </c>
      <c r="D2923" s="2"/>
      <c r="E2923" s="31"/>
      <c r="G2923" s="43"/>
      <c r="H2923" s="2"/>
    </row>
    <row r="2924" spans="1:8">
      <c r="A2924" s="39">
        <v>3.96281996207081</v>
      </c>
      <c r="B2924" s="45">
        <v>6.3</v>
      </c>
      <c r="D2924" s="2"/>
      <c r="E2924" s="31"/>
      <c r="G2924" s="43"/>
      <c r="H2924" s="2"/>
    </row>
    <row r="2925" spans="1:8">
      <c r="A2925" s="39">
        <v>3.96265576801782</v>
      </c>
      <c r="B2925" s="45">
        <v>17</v>
      </c>
      <c r="D2925" s="2"/>
      <c r="E2925" s="31"/>
      <c r="G2925" s="43"/>
      <c r="H2925" s="2"/>
    </row>
    <row r="2926" spans="1:8">
      <c r="A2926" s="39">
        <v>3.96246132541416</v>
      </c>
      <c r="B2926" s="45">
        <v>14</v>
      </c>
      <c r="D2926" s="2"/>
      <c r="E2926" s="31"/>
      <c r="G2926" s="43"/>
      <c r="H2926" s="2"/>
    </row>
    <row r="2927" spans="1:8">
      <c r="A2927" s="39">
        <v>3.96213965325246</v>
      </c>
      <c r="B2927" s="45">
        <v>5.5</v>
      </c>
      <c r="D2927" s="2"/>
      <c r="E2927" s="31"/>
      <c r="G2927" s="43"/>
      <c r="H2927" s="2"/>
    </row>
    <row r="2928" spans="1:8">
      <c r="A2928" s="39">
        <v>3.96211621141159</v>
      </c>
      <c r="B2928" s="45">
        <v>17</v>
      </c>
      <c r="D2928" s="2"/>
      <c r="E2928" s="31"/>
      <c r="G2928" s="43"/>
      <c r="H2928" s="2"/>
    </row>
    <row r="2929" spans="1:8">
      <c r="A2929" s="39">
        <v>3.96211621141159</v>
      </c>
      <c r="B2929" s="45">
        <v>5</v>
      </c>
      <c r="D2929" s="2"/>
      <c r="E2929" s="31"/>
      <c r="G2929" s="43"/>
      <c r="H2929" s="2"/>
    </row>
    <row r="2930" spans="1:8">
      <c r="A2930" s="39">
        <v>3.96197903608231</v>
      </c>
      <c r="B2930" s="45">
        <v>12</v>
      </c>
      <c r="D2930" s="2"/>
      <c r="E2930" s="31"/>
      <c r="G2930" s="43"/>
      <c r="H2930" s="2"/>
    </row>
    <row r="2931" spans="1:8">
      <c r="A2931" s="39">
        <v>3.96167068457327</v>
      </c>
      <c r="B2931" s="45">
        <v>6.2</v>
      </c>
      <c r="D2931" s="2"/>
      <c r="E2931" s="31"/>
      <c r="G2931" s="43"/>
      <c r="H2931" s="2"/>
    </row>
    <row r="2932" spans="1:8">
      <c r="A2932" s="39">
        <v>3.96142343133394</v>
      </c>
      <c r="B2932" s="45">
        <v>7</v>
      </c>
      <c r="D2932" s="2"/>
      <c r="E2932" s="31"/>
      <c r="G2932" s="43"/>
      <c r="H2932" s="2"/>
    </row>
    <row r="2933" spans="1:8">
      <c r="A2933" s="39">
        <v>3.96098622177358</v>
      </c>
      <c r="B2933" s="45">
        <v>3.4</v>
      </c>
      <c r="D2933" s="2"/>
      <c r="E2933" s="31"/>
      <c r="G2933" s="43"/>
      <c r="H2933" s="2"/>
    </row>
    <row r="2934" spans="1:8">
      <c r="A2934" s="39">
        <v>3.96067261052289</v>
      </c>
      <c r="B2934" s="45">
        <v>11.9</v>
      </c>
      <c r="D2934" s="2"/>
      <c r="E2934" s="31"/>
      <c r="G2934" s="43"/>
      <c r="H2934" s="2"/>
    </row>
    <row r="2935" spans="1:8">
      <c r="A2935" s="39">
        <v>3.96038584055693</v>
      </c>
      <c r="B2935" s="45">
        <v>20</v>
      </c>
      <c r="D2935" s="2"/>
      <c r="E2935" s="31"/>
      <c r="G2935" s="43"/>
      <c r="H2935" s="2"/>
    </row>
    <row r="2936" spans="1:8">
      <c r="A2936" s="39">
        <v>3.96030643849721</v>
      </c>
      <c r="B2936" s="45">
        <v>5.5</v>
      </c>
      <c r="D2936" s="2"/>
      <c r="E2936" s="31"/>
      <c r="G2936" s="43"/>
      <c r="H2936" s="2"/>
    </row>
    <row r="2937" spans="1:8">
      <c r="A2937" s="39">
        <v>3.9603017589739</v>
      </c>
      <c r="B2937" s="45">
        <v>5.8</v>
      </c>
      <c r="D2937" s="2"/>
      <c r="E2937" s="31"/>
      <c r="G2937" s="43"/>
      <c r="H2937" s="2"/>
    </row>
    <row r="2938" spans="1:8">
      <c r="A2938" s="39">
        <v>3.95968611529106</v>
      </c>
      <c r="B2938" s="45">
        <v>7</v>
      </c>
      <c r="D2938" s="2"/>
      <c r="E2938" s="31"/>
      <c r="G2938" s="43"/>
      <c r="H2938" s="2"/>
    </row>
    <row r="2939" spans="1:8">
      <c r="A2939" s="39">
        <v>3.95961729617421</v>
      </c>
      <c r="B2939" s="45">
        <v>11.9</v>
      </c>
      <c r="D2939" s="2"/>
      <c r="E2939" s="31"/>
      <c r="G2939" s="43"/>
      <c r="H2939" s="2"/>
    </row>
    <row r="2940" spans="1:8">
      <c r="A2940" s="39">
        <v>3.95948870022785</v>
      </c>
      <c r="B2940" s="45">
        <v>7.5</v>
      </c>
      <c r="D2940" s="2"/>
      <c r="E2940" s="31"/>
      <c r="G2940" s="43"/>
      <c r="H2940" s="2"/>
    </row>
    <row r="2941" spans="1:8">
      <c r="A2941" s="39">
        <v>3.95929529630117</v>
      </c>
      <c r="B2941" s="45">
        <v>5.4</v>
      </c>
      <c r="D2941" s="2"/>
      <c r="E2941" s="31"/>
      <c r="G2941" s="43"/>
      <c r="H2941" s="2"/>
    </row>
    <row r="2942" spans="1:8">
      <c r="A2942" s="39">
        <v>3.95884290491918</v>
      </c>
      <c r="B2942" s="45">
        <v>5</v>
      </c>
      <c r="D2942" s="2"/>
      <c r="E2942" s="31"/>
      <c r="G2942" s="43"/>
      <c r="H2942" s="2"/>
    </row>
    <row r="2943" spans="1:8">
      <c r="A2943" s="39">
        <v>3.95884290491918</v>
      </c>
      <c r="B2943" s="45">
        <v>4</v>
      </c>
      <c r="D2943" s="2"/>
      <c r="E2943" s="31"/>
      <c r="G2943" s="43"/>
      <c r="H2943" s="2"/>
    </row>
    <row r="2944" spans="1:8">
      <c r="A2944" s="39">
        <v>3.95884290491918</v>
      </c>
      <c r="B2944" s="45">
        <v>7.8</v>
      </c>
      <c r="D2944" s="2"/>
      <c r="E2944" s="31"/>
      <c r="G2944" s="43"/>
      <c r="H2944" s="2"/>
    </row>
    <row r="2945" spans="1:8">
      <c r="A2945" s="39">
        <v>3.95884290491918</v>
      </c>
      <c r="B2945" s="45">
        <v>7.2</v>
      </c>
      <c r="D2945" s="2"/>
      <c r="E2945" s="31"/>
      <c r="G2945" s="43"/>
      <c r="H2945" s="2"/>
    </row>
    <row r="2946" spans="1:8">
      <c r="A2946" s="39">
        <v>3.95873428779217</v>
      </c>
      <c r="B2946" s="45">
        <v>4.3</v>
      </c>
      <c r="D2946" s="2"/>
      <c r="E2946" s="31"/>
      <c r="G2946" s="43"/>
      <c r="H2946" s="2"/>
    </row>
    <row r="2947" spans="1:8">
      <c r="A2947" s="39">
        <v>3.95855854365986</v>
      </c>
      <c r="B2947" s="45">
        <v>9.2</v>
      </c>
      <c r="D2947" s="2"/>
      <c r="E2947" s="31"/>
      <c r="G2947" s="43"/>
      <c r="H2947" s="2"/>
    </row>
    <row r="2948" spans="1:8">
      <c r="A2948" s="39">
        <v>3.95855854365986</v>
      </c>
      <c r="B2948" s="45">
        <v>0.1</v>
      </c>
      <c r="D2948" s="2"/>
      <c r="E2948" s="31"/>
      <c r="G2948" s="43"/>
      <c r="H2948" s="2"/>
    </row>
    <row r="2949" spans="1:8">
      <c r="A2949" s="39">
        <v>3.95823995326351</v>
      </c>
      <c r="B2949" s="45">
        <v>5.4</v>
      </c>
      <c r="D2949" s="2"/>
      <c r="E2949" s="31"/>
      <c r="G2949" s="43"/>
      <c r="H2949" s="2"/>
    </row>
    <row r="2950" spans="1:8">
      <c r="A2950" s="39">
        <v>3.95747593178356</v>
      </c>
      <c r="B2950" s="45">
        <v>5.1</v>
      </c>
      <c r="D2950" s="2"/>
      <c r="E2950" s="31"/>
      <c r="G2950" s="43"/>
      <c r="H2950" s="2"/>
    </row>
    <row r="2951" spans="1:8">
      <c r="A2951" s="39">
        <v>3.9574582271497</v>
      </c>
      <c r="B2951" s="45">
        <v>1</v>
      </c>
      <c r="D2951" s="2"/>
      <c r="E2951" s="31"/>
      <c r="G2951" s="43"/>
      <c r="H2951" s="2"/>
    </row>
    <row r="2952" spans="1:8">
      <c r="A2952" s="39">
        <v>3.95703362429492</v>
      </c>
      <c r="B2952" s="45">
        <v>0</v>
      </c>
      <c r="D2952" s="2"/>
      <c r="E2952" s="31"/>
      <c r="G2952" s="43"/>
      <c r="H2952" s="2"/>
    </row>
    <row r="2953" spans="1:8">
      <c r="A2953" s="39">
        <v>3.95675215081043</v>
      </c>
      <c r="B2953" s="45">
        <v>8.1</v>
      </c>
      <c r="D2953" s="2"/>
      <c r="E2953" s="31"/>
      <c r="G2953" s="43"/>
      <c r="H2953" s="2"/>
    </row>
    <row r="2954" spans="1:8">
      <c r="A2954" s="39">
        <v>3.95674845459022</v>
      </c>
      <c r="B2954" s="45">
        <v>20.5</v>
      </c>
      <c r="D2954" s="2"/>
      <c r="E2954" s="31"/>
      <c r="G2954" s="43"/>
      <c r="H2954" s="2"/>
    </row>
    <row r="2955" spans="1:8">
      <c r="A2955" s="39">
        <v>3.95648620613782</v>
      </c>
      <c r="B2955" s="45">
        <v>5.4</v>
      </c>
      <c r="D2955" s="2"/>
      <c r="E2955" s="31"/>
      <c r="G2955" s="43"/>
      <c r="H2955" s="2"/>
    </row>
    <row r="2956" spans="1:8">
      <c r="A2956" s="39">
        <v>3.95631960779634</v>
      </c>
      <c r="B2956" s="45">
        <v>9.5</v>
      </c>
      <c r="D2956" s="2"/>
      <c r="E2956" s="31"/>
      <c r="G2956" s="43"/>
      <c r="H2956" s="2"/>
    </row>
    <row r="2957" spans="1:8">
      <c r="A2957" s="39">
        <v>3.95630582704933</v>
      </c>
      <c r="B2957" s="45">
        <v>12.9</v>
      </c>
      <c r="D2957" s="2"/>
      <c r="E2957" s="31"/>
      <c r="G2957" s="43"/>
      <c r="H2957" s="2"/>
    </row>
    <row r="2958" spans="1:8">
      <c r="A2958" s="39">
        <v>3.9557824554786</v>
      </c>
      <c r="B2958" s="45">
        <v>11.6</v>
      </c>
      <c r="D2958" s="2"/>
      <c r="E2958" s="31"/>
      <c r="G2958" s="43"/>
      <c r="H2958" s="2"/>
    </row>
    <row r="2959" spans="1:8">
      <c r="A2959" s="39">
        <v>3.95557802980374</v>
      </c>
      <c r="B2959" s="45">
        <v>12.2</v>
      </c>
      <c r="D2959" s="2"/>
      <c r="E2959" s="31"/>
      <c r="G2959" s="43"/>
      <c r="H2959" s="2"/>
    </row>
    <row r="2960" spans="1:8">
      <c r="A2960" s="39">
        <v>3.95546638760413</v>
      </c>
      <c r="B2960" s="45">
        <v>3.3</v>
      </c>
      <c r="D2960" s="2"/>
      <c r="E2960" s="31"/>
      <c r="G2960" s="43"/>
      <c r="H2960" s="2"/>
    </row>
    <row r="2961" spans="1:8">
      <c r="A2961" s="39">
        <v>3.95546241654676</v>
      </c>
      <c r="B2961" s="45">
        <v>1</v>
      </c>
      <c r="D2961" s="2"/>
      <c r="E2961" s="31"/>
      <c r="G2961" s="43"/>
      <c r="H2961" s="2"/>
    </row>
    <row r="2962" spans="1:8">
      <c r="A2962" s="39">
        <v>3.95542570516307</v>
      </c>
      <c r="B2962" s="45">
        <v>3</v>
      </c>
      <c r="D2962" s="2"/>
      <c r="E2962" s="31"/>
      <c r="G2962" s="43"/>
      <c r="H2962" s="2"/>
    </row>
    <row r="2963" spans="1:8">
      <c r="A2963" s="39">
        <v>3.9553663192115</v>
      </c>
      <c r="B2963" s="45">
        <v>4.8</v>
      </c>
      <c r="D2963" s="2"/>
      <c r="E2963" s="31"/>
      <c r="G2963" s="43"/>
      <c r="H2963" s="2"/>
    </row>
    <row r="2964" spans="1:8">
      <c r="A2964" s="39">
        <v>3.95472214313796</v>
      </c>
      <c r="B2964" s="45">
        <v>11.1</v>
      </c>
      <c r="D2964" s="2"/>
      <c r="E2964" s="31"/>
      <c r="G2964" s="43"/>
      <c r="H2964" s="2"/>
    </row>
    <row r="2965" spans="1:8">
      <c r="A2965" s="39">
        <v>3.95466139670168</v>
      </c>
      <c r="B2965" s="45">
        <v>9.1</v>
      </c>
      <c r="D2965" s="2"/>
      <c r="E2965" s="31"/>
      <c r="G2965" s="43"/>
      <c r="H2965" s="2"/>
    </row>
    <row r="2966" spans="1:8">
      <c r="A2966" s="39">
        <v>3.95456602301019</v>
      </c>
      <c r="B2966" s="45">
        <v>2.5</v>
      </c>
      <c r="D2966" s="2"/>
      <c r="E2966" s="31"/>
      <c r="G2966" s="43"/>
      <c r="H2966" s="2"/>
    </row>
    <row r="2967" spans="1:8">
      <c r="A2967" s="39">
        <v>3.95362640180056</v>
      </c>
      <c r="B2967" s="45">
        <v>6</v>
      </c>
      <c r="D2967" s="2"/>
      <c r="E2967" s="31"/>
      <c r="G2967" s="43"/>
      <c r="H2967" s="2"/>
    </row>
    <row r="2968" spans="1:8">
      <c r="A2968" s="39">
        <v>3.95345713097705</v>
      </c>
      <c r="B2968" s="45">
        <v>8.1</v>
      </c>
      <c r="D2968" s="2"/>
      <c r="E2968" s="31"/>
      <c r="G2968" s="43"/>
      <c r="H2968" s="2"/>
    </row>
    <row r="2969" spans="1:8">
      <c r="A2969" s="39">
        <v>3.95339463806695</v>
      </c>
      <c r="B2969" s="45">
        <v>9.8</v>
      </c>
      <c r="D2969" s="2"/>
      <c r="E2969" s="31"/>
      <c r="G2969" s="43"/>
      <c r="H2969" s="2"/>
    </row>
    <row r="2970" spans="1:8">
      <c r="A2970" s="39">
        <v>3.9528287683117</v>
      </c>
      <c r="B2970" s="45">
        <v>11.4</v>
      </c>
      <c r="D2970" s="2"/>
      <c r="E2970" s="31"/>
      <c r="G2970" s="43"/>
      <c r="H2970" s="2"/>
    </row>
    <row r="2971" spans="1:8">
      <c r="A2971" s="39">
        <v>3.95277266817737</v>
      </c>
      <c r="B2971" s="45">
        <v>21</v>
      </c>
      <c r="D2971" s="2"/>
      <c r="E2971" s="31"/>
      <c r="G2971" s="43"/>
      <c r="H2971" s="2"/>
    </row>
    <row r="2972" spans="1:8">
      <c r="A2972" s="39">
        <v>3.95277266817737</v>
      </c>
      <c r="B2972" s="45">
        <v>5</v>
      </c>
      <c r="D2972" s="2"/>
      <c r="E2972" s="31"/>
      <c r="G2972" s="43"/>
      <c r="H2972" s="2"/>
    </row>
    <row r="2973" spans="1:8">
      <c r="A2973" s="39">
        <v>3.95266684082136</v>
      </c>
      <c r="B2973" s="45">
        <v>14</v>
      </c>
      <c r="D2973" s="2"/>
      <c r="E2973" s="31"/>
      <c r="G2973" s="43"/>
      <c r="H2973" s="2"/>
    </row>
    <row r="2974" spans="1:8">
      <c r="A2974" s="39">
        <v>3.95266684082136</v>
      </c>
      <c r="B2974" s="45">
        <v>12</v>
      </c>
      <c r="D2974" s="2"/>
      <c r="E2974" s="31"/>
      <c r="G2974" s="43"/>
      <c r="H2974" s="2"/>
    </row>
    <row r="2975" spans="1:8">
      <c r="A2975" s="39">
        <v>3.95261145706263</v>
      </c>
      <c r="B2975" s="45">
        <v>15</v>
      </c>
      <c r="D2975" s="2"/>
      <c r="E2975" s="31"/>
      <c r="G2975" s="43"/>
      <c r="H2975" s="2"/>
    </row>
    <row r="2976" spans="1:8">
      <c r="A2976" s="39">
        <v>3.95219848741609</v>
      </c>
      <c r="B2976" s="45">
        <v>8.1</v>
      </c>
      <c r="D2976" s="2"/>
      <c r="E2976" s="31"/>
      <c r="G2976" s="43"/>
      <c r="H2976" s="2"/>
    </row>
    <row r="2977" spans="1:8">
      <c r="A2977" s="39">
        <v>3.95165611423682</v>
      </c>
      <c r="B2977" s="45">
        <v>3.8</v>
      </c>
      <c r="D2977" s="2"/>
      <c r="E2977" s="31"/>
      <c r="G2977" s="43"/>
      <c r="H2977" s="2"/>
    </row>
    <row r="2978" spans="1:8">
      <c r="A2978" s="39">
        <v>3.95155995152328</v>
      </c>
      <c r="B2978" s="45">
        <v>8</v>
      </c>
      <c r="D2978" s="2"/>
      <c r="E2978" s="31"/>
      <c r="G2978" s="43"/>
      <c r="H2978" s="2"/>
    </row>
    <row r="2979" spans="1:8">
      <c r="A2979" s="39">
        <v>3.95131131753428</v>
      </c>
      <c r="B2979" s="45">
        <v>9</v>
      </c>
      <c r="D2979" s="2"/>
      <c r="E2979" s="31"/>
      <c r="G2979" s="43"/>
      <c r="H2979" s="2"/>
    </row>
    <row r="2980" spans="1:8">
      <c r="A2980" s="39">
        <v>3.95092863704348</v>
      </c>
      <c r="B2980" s="45">
        <v>10.6</v>
      </c>
      <c r="D2980" s="2"/>
      <c r="E2980" s="31"/>
      <c r="G2980" s="43"/>
      <c r="H2980" s="2"/>
    </row>
    <row r="2981" spans="1:8">
      <c r="A2981" s="39">
        <v>3.95092863704348</v>
      </c>
      <c r="B2981" s="45">
        <v>8</v>
      </c>
      <c r="D2981" s="2"/>
      <c r="E2981" s="31"/>
      <c r="G2981" s="43"/>
      <c r="H2981" s="2"/>
    </row>
    <row r="2982" spans="1:8">
      <c r="A2982" s="39">
        <v>3.95068010255614</v>
      </c>
      <c r="B2982" s="45">
        <v>8.2</v>
      </c>
      <c r="D2982" s="2"/>
      <c r="E2982" s="31"/>
      <c r="G2982" s="43"/>
      <c r="H2982" s="2"/>
    </row>
    <row r="2983" spans="1:8">
      <c r="A2983" s="39">
        <v>3.95049357926492</v>
      </c>
      <c r="B2983" s="45">
        <v>2</v>
      </c>
      <c r="D2983" s="2"/>
      <c r="E2983" s="31"/>
      <c r="G2983" s="43"/>
      <c r="H2983" s="2"/>
    </row>
    <row r="2984" spans="1:8">
      <c r="A2984" s="39">
        <v>3.95049357926492</v>
      </c>
      <c r="B2984" s="45">
        <v>10.4</v>
      </c>
      <c r="D2984" s="2"/>
      <c r="E2984" s="31"/>
      <c r="G2984" s="43"/>
      <c r="H2984" s="2"/>
    </row>
    <row r="2985" spans="1:8">
      <c r="A2985" s="39">
        <v>3.95049357926492</v>
      </c>
      <c r="B2985" s="45">
        <v>9.7</v>
      </c>
      <c r="D2985" s="2"/>
      <c r="E2985" s="31"/>
      <c r="G2985" s="43"/>
      <c r="H2985" s="2"/>
    </row>
    <row r="2986" spans="1:8">
      <c r="A2986" s="39">
        <v>3.95025989430584</v>
      </c>
      <c r="B2986" s="45">
        <v>7.5</v>
      </c>
      <c r="D2986" s="2"/>
      <c r="E2986" s="31"/>
      <c r="G2986" s="43"/>
      <c r="H2986" s="2"/>
    </row>
    <row r="2987" spans="1:8">
      <c r="A2987" s="39">
        <v>3.94975565183898</v>
      </c>
      <c r="B2987" s="45">
        <v>0</v>
      </c>
      <c r="D2987" s="2"/>
      <c r="E2987" s="31"/>
      <c r="G2987" s="43"/>
      <c r="H2987" s="2"/>
    </row>
    <row r="2988" spans="1:8">
      <c r="A2988" s="39">
        <v>3.94975565183898</v>
      </c>
      <c r="B2988" s="45">
        <v>18.4</v>
      </c>
      <c r="D2988" s="2"/>
      <c r="E2988" s="31"/>
      <c r="G2988" s="43"/>
      <c r="H2988" s="2"/>
    </row>
    <row r="2989" spans="1:8">
      <c r="A2989" s="39">
        <v>3.94947368265679</v>
      </c>
      <c r="B2989" s="45">
        <v>10</v>
      </c>
      <c r="D2989" s="2"/>
      <c r="E2989" s="31"/>
      <c r="G2989" s="43"/>
      <c r="H2989" s="2"/>
    </row>
    <row r="2990" spans="1:8">
      <c r="A2990" s="39">
        <v>3.94944869954562</v>
      </c>
      <c r="B2990" s="45">
        <v>6.8</v>
      </c>
      <c r="D2990" s="2"/>
      <c r="E2990" s="31"/>
      <c r="G2990" s="43"/>
      <c r="H2990" s="2"/>
    </row>
    <row r="2991" spans="1:8">
      <c r="A2991" s="39">
        <v>3.94935035417895</v>
      </c>
      <c r="B2991" s="45">
        <v>7</v>
      </c>
      <c r="D2991" s="2"/>
      <c r="E2991" s="31"/>
      <c r="G2991" s="43"/>
      <c r="H2991" s="2"/>
    </row>
    <row r="2992" spans="1:8">
      <c r="A2992" s="39">
        <v>3.94935035417895</v>
      </c>
      <c r="B2992" s="45">
        <v>15</v>
      </c>
      <c r="D2992" s="2"/>
      <c r="E2992" s="31"/>
      <c r="G2992" s="43"/>
      <c r="H2992" s="2"/>
    </row>
    <row r="2993" spans="1:8">
      <c r="A2993" s="39">
        <v>3.9487449488864</v>
      </c>
      <c r="B2993" s="45">
        <v>30.5</v>
      </c>
      <c r="D2993" s="2"/>
      <c r="E2993" s="31"/>
      <c r="G2993" s="43"/>
      <c r="H2993" s="2"/>
    </row>
    <row r="2994" spans="1:8">
      <c r="A2994" s="39">
        <v>3.9487449488864</v>
      </c>
      <c r="B2994" s="45">
        <v>18.6</v>
      </c>
      <c r="D2994" s="2"/>
      <c r="E2994" s="31"/>
      <c r="G2994" s="43"/>
      <c r="H2994" s="2"/>
    </row>
    <row r="2995" spans="1:8">
      <c r="A2995" s="39">
        <v>3.94838913437543</v>
      </c>
      <c r="B2995" s="45">
        <v>7.8</v>
      </c>
      <c r="D2995" s="2"/>
      <c r="E2995" s="31"/>
      <c r="G2995" s="43"/>
      <c r="H2995" s="2"/>
    </row>
    <row r="2996" spans="1:8">
      <c r="A2996" s="39">
        <v>3.94838913437543</v>
      </c>
      <c r="B2996" s="45">
        <v>3.55</v>
      </c>
      <c r="D2996" s="2"/>
      <c r="E2996" s="31"/>
      <c r="G2996" s="43"/>
      <c r="H2996" s="2"/>
    </row>
    <row r="2997" spans="1:8">
      <c r="A2997" s="39">
        <v>3.94838913437543</v>
      </c>
      <c r="B2997" s="45">
        <v>3.5</v>
      </c>
      <c r="D2997" s="2"/>
      <c r="E2997" s="31"/>
      <c r="G2997" s="43"/>
      <c r="H2997" s="2"/>
    </row>
    <row r="2998" spans="1:8">
      <c r="A2998" s="39">
        <v>3.94804119822718</v>
      </c>
      <c r="B2998" s="45">
        <v>18.3</v>
      </c>
      <c r="D2998" s="2"/>
      <c r="E2998" s="31"/>
      <c r="G2998" s="43"/>
      <c r="H2998" s="2"/>
    </row>
    <row r="2999" spans="1:8">
      <c r="A2999" s="39">
        <v>3.94734375732106</v>
      </c>
      <c r="B2999" s="45">
        <v>8.1</v>
      </c>
      <c r="D2999" s="2"/>
      <c r="E2999" s="31"/>
      <c r="G2999" s="43"/>
      <c r="H2999" s="2"/>
    </row>
    <row r="3000" spans="1:8">
      <c r="A3000" s="39">
        <v>3.94729125107677</v>
      </c>
      <c r="B3000" s="45">
        <v>7</v>
      </c>
      <c r="D3000" s="2"/>
      <c r="E3000" s="31"/>
      <c r="G3000" s="43"/>
      <c r="H3000" s="2"/>
    </row>
    <row r="3001" spans="1:8">
      <c r="A3001" s="39">
        <v>3.94729125107677</v>
      </c>
      <c r="B3001" s="45">
        <v>4</v>
      </c>
      <c r="D3001" s="2"/>
      <c r="E3001" s="31"/>
      <c r="G3001" s="43"/>
      <c r="H3001" s="2"/>
    </row>
    <row r="3002" spans="1:8">
      <c r="A3002" s="39">
        <v>3.94709899296354</v>
      </c>
      <c r="B3002" s="45">
        <v>5.5</v>
      </c>
      <c r="D3002" s="2"/>
      <c r="E3002" s="31"/>
      <c r="G3002" s="43"/>
      <c r="H3002" s="2"/>
    </row>
    <row r="3003" spans="1:8">
      <c r="A3003" s="39">
        <v>3.94709899296354</v>
      </c>
      <c r="B3003" s="45">
        <v>7.2</v>
      </c>
      <c r="D3003" s="2"/>
      <c r="E3003" s="31"/>
      <c r="G3003" s="43"/>
      <c r="H3003" s="2"/>
    </row>
    <row r="3004" spans="1:8">
      <c r="A3004" s="39">
        <v>3.94689338681112</v>
      </c>
      <c r="B3004" s="45">
        <v>11.5</v>
      </c>
      <c r="D3004" s="2"/>
      <c r="E3004" s="31"/>
      <c r="G3004" s="43"/>
      <c r="H3004" s="2"/>
    </row>
    <row r="3005" spans="1:8">
      <c r="A3005" s="39">
        <v>3.94684446285661</v>
      </c>
      <c r="B3005" s="45">
        <v>6.2</v>
      </c>
      <c r="D3005" s="2"/>
      <c r="E3005" s="31"/>
      <c r="G3005" s="43"/>
      <c r="H3005" s="2"/>
    </row>
    <row r="3006" spans="1:8">
      <c r="A3006" s="39">
        <v>3.94661250298021</v>
      </c>
      <c r="B3006" s="45">
        <v>8</v>
      </c>
      <c r="D3006" s="2"/>
      <c r="E3006" s="31"/>
      <c r="G3006" s="43"/>
      <c r="H3006" s="2"/>
    </row>
    <row r="3007" spans="1:8">
      <c r="A3007" s="39">
        <v>3.94661250298021</v>
      </c>
      <c r="B3007" s="45">
        <v>7.3</v>
      </c>
      <c r="D3007" s="2"/>
      <c r="E3007" s="31"/>
      <c r="G3007" s="43"/>
      <c r="H3007" s="2"/>
    </row>
    <row r="3008" spans="1:8">
      <c r="A3008" s="39">
        <v>3.94656377388342</v>
      </c>
      <c r="B3008" s="45">
        <v>16</v>
      </c>
      <c r="D3008" s="2"/>
      <c r="E3008" s="31"/>
      <c r="G3008" s="43"/>
      <c r="H3008" s="2"/>
    </row>
    <row r="3009" spans="1:8">
      <c r="A3009" s="39">
        <v>3.94638277104502</v>
      </c>
      <c r="B3009" s="45">
        <v>8.5</v>
      </c>
      <c r="D3009" s="2"/>
      <c r="E3009" s="31"/>
      <c r="G3009" s="43"/>
      <c r="H3009" s="2"/>
    </row>
    <row r="3010" spans="1:8">
      <c r="A3010" s="39">
        <v>3.94611666561101</v>
      </c>
      <c r="B3010" s="45">
        <v>5</v>
      </c>
      <c r="D3010" s="2"/>
      <c r="E3010" s="31"/>
      <c r="G3010" s="43"/>
      <c r="H3010" s="2"/>
    </row>
    <row r="3011" spans="1:8">
      <c r="A3011" s="39">
        <v>3.94592804018053</v>
      </c>
      <c r="B3011" s="45">
        <v>4.5</v>
      </c>
      <c r="D3011" s="2"/>
      <c r="E3011" s="31"/>
      <c r="G3011" s="43"/>
      <c r="H3011" s="2"/>
    </row>
    <row r="3012" spans="1:8">
      <c r="A3012" s="39">
        <v>3.94558714964878</v>
      </c>
      <c r="B3012" s="45">
        <v>6.2</v>
      </c>
      <c r="D3012" s="2"/>
      <c r="E3012" s="31"/>
      <c r="G3012" s="43"/>
      <c r="H3012" s="2"/>
    </row>
    <row r="3013" spans="1:8">
      <c r="A3013" s="39">
        <v>3.94538886836542</v>
      </c>
      <c r="B3013" s="45">
        <v>14.8</v>
      </c>
      <c r="D3013" s="2"/>
      <c r="E3013" s="31"/>
      <c r="G3013" s="43"/>
      <c r="H3013" s="2"/>
    </row>
    <row r="3014" spans="1:8">
      <c r="A3014" s="39">
        <v>3.9452530032123</v>
      </c>
      <c r="B3014" s="45">
        <v>6</v>
      </c>
      <c r="D3014" s="2"/>
      <c r="E3014" s="31"/>
      <c r="G3014" s="43"/>
      <c r="H3014" s="2"/>
    </row>
    <row r="3015" spans="1:8">
      <c r="A3015" s="39">
        <v>3.94522619559029</v>
      </c>
      <c r="B3015" s="45">
        <v>11</v>
      </c>
      <c r="D3015" s="2"/>
      <c r="E3015" s="31"/>
      <c r="G3015" s="43"/>
      <c r="H3015" s="2"/>
    </row>
    <row r="3016" spans="1:8">
      <c r="A3016" s="39">
        <v>3.94479561233314</v>
      </c>
      <c r="B3016" s="45">
        <v>5.2</v>
      </c>
      <c r="D3016" s="2"/>
      <c r="E3016" s="31"/>
      <c r="G3016" s="43"/>
      <c r="H3016" s="2"/>
    </row>
    <row r="3017" spans="1:8">
      <c r="A3017" s="39">
        <v>3.94365386511005</v>
      </c>
      <c r="B3017" s="45">
        <v>4.5</v>
      </c>
      <c r="D3017" s="2"/>
      <c r="E3017" s="31"/>
      <c r="G3017" s="43"/>
      <c r="H3017" s="2"/>
    </row>
    <row r="3018" spans="1:8">
      <c r="A3018" s="39">
        <v>3.94365386511005</v>
      </c>
      <c r="B3018" s="45">
        <v>1</v>
      </c>
      <c r="D3018" s="2"/>
      <c r="E3018" s="31"/>
      <c r="G3018" s="43"/>
      <c r="H3018" s="2"/>
    </row>
    <row r="3019" spans="1:8">
      <c r="A3019" s="39">
        <v>3.94285357781745</v>
      </c>
      <c r="B3019" s="45">
        <v>11.5</v>
      </c>
      <c r="D3019" s="2"/>
      <c r="E3019" s="31"/>
      <c r="G3019" s="43"/>
      <c r="H3019" s="2"/>
    </row>
    <row r="3020" spans="1:8">
      <c r="A3020" s="39">
        <v>3.94244355049316</v>
      </c>
      <c r="B3020" s="45">
        <v>15</v>
      </c>
      <c r="D3020" s="2"/>
      <c r="E3020" s="31"/>
      <c r="G3020" s="43"/>
      <c r="H3020" s="2"/>
    </row>
    <row r="3021" spans="1:8">
      <c r="A3021" s="39">
        <v>3.94241119295341</v>
      </c>
      <c r="B3021" s="45">
        <v>11.3</v>
      </c>
      <c r="D3021" s="2"/>
      <c r="E3021" s="31"/>
      <c r="G3021" s="43"/>
      <c r="H3021" s="2"/>
    </row>
    <row r="3022" spans="1:8">
      <c r="A3022" s="39">
        <v>3.94241119295341</v>
      </c>
      <c r="B3022" s="45">
        <v>8.5</v>
      </c>
      <c r="D3022" s="2"/>
      <c r="E3022" s="31"/>
      <c r="G3022" s="43"/>
      <c r="H3022" s="2"/>
    </row>
    <row r="3023" spans="1:8">
      <c r="A3023" s="39">
        <v>3.94218027631851</v>
      </c>
      <c r="B3023" s="45">
        <v>10.1</v>
      </c>
      <c r="D3023" s="2"/>
      <c r="E3023" s="31"/>
      <c r="G3023" s="43"/>
      <c r="H3023" s="2"/>
    </row>
    <row r="3024" spans="1:8">
      <c r="A3024" s="39">
        <v>3.94216804763571</v>
      </c>
      <c r="B3024" s="45">
        <v>13.4</v>
      </c>
      <c r="D3024" s="2"/>
      <c r="E3024" s="31"/>
      <c r="G3024" s="43"/>
      <c r="H3024" s="2"/>
    </row>
    <row r="3025" spans="1:8">
      <c r="A3025" s="39">
        <v>3.94216804763571</v>
      </c>
      <c r="B3025" s="45">
        <v>6.9</v>
      </c>
      <c r="D3025" s="2"/>
      <c r="E3025" s="31"/>
      <c r="G3025" s="43"/>
      <c r="H3025" s="2"/>
    </row>
    <row r="3026" spans="1:8">
      <c r="A3026" s="39">
        <v>3.94211687204918</v>
      </c>
      <c r="B3026" s="45">
        <v>14.3</v>
      </c>
      <c r="D3026" s="2"/>
      <c r="E3026" s="31"/>
      <c r="G3026" s="43"/>
      <c r="H3026" s="2"/>
    </row>
    <row r="3027" spans="1:8">
      <c r="A3027" s="39">
        <v>3.94174988213745</v>
      </c>
      <c r="B3027" s="45">
        <v>2</v>
      </c>
      <c r="D3027" s="2"/>
      <c r="E3027" s="31"/>
      <c r="G3027" s="43"/>
      <c r="H3027" s="2"/>
    </row>
    <row r="3028" spans="1:8">
      <c r="A3028" s="39">
        <v>3.94174988213745</v>
      </c>
      <c r="B3028" s="45">
        <v>11.5</v>
      </c>
      <c r="D3028" s="2"/>
      <c r="E3028" s="31"/>
      <c r="G3028" s="43"/>
      <c r="H3028" s="2"/>
    </row>
    <row r="3029" spans="1:8">
      <c r="A3029" s="39">
        <v>3.94113680058273</v>
      </c>
      <c r="B3029" s="45">
        <v>4.5</v>
      </c>
      <c r="D3029" s="2"/>
      <c r="E3029" s="31"/>
      <c r="G3029" s="43"/>
      <c r="H3029" s="2"/>
    </row>
    <row r="3030" spans="1:8">
      <c r="A3030" s="39">
        <v>3.94113680058273</v>
      </c>
      <c r="B3030" s="45">
        <v>5.5</v>
      </c>
      <c r="D3030" s="2"/>
      <c r="E3030" s="31"/>
      <c r="G3030" s="43"/>
      <c r="H3030" s="2"/>
    </row>
    <row r="3031" spans="1:8">
      <c r="A3031" s="39">
        <v>3.94100369163497</v>
      </c>
      <c r="B3031" s="45">
        <v>9</v>
      </c>
      <c r="D3031" s="2"/>
      <c r="E3031" s="31"/>
      <c r="G3031" s="43"/>
      <c r="H3031" s="2"/>
    </row>
    <row r="3032" spans="1:8">
      <c r="A3032" s="39">
        <v>3.94074395633668</v>
      </c>
      <c r="B3032" s="45">
        <v>7.5</v>
      </c>
      <c r="D3032" s="2"/>
      <c r="E3032" s="31"/>
      <c r="G3032" s="43"/>
      <c r="H3032" s="2"/>
    </row>
    <row r="3033" spans="1:8">
      <c r="A3033" s="39">
        <v>3.94065090263578</v>
      </c>
      <c r="B3033" s="45">
        <v>10</v>
      </c>
      <c r="D3033" s="2"/>
      <c r="E3033" s="31"/>
      <c r="G3033" s="43"/>
      <c r="H3033" s="2"/>
    </row>
    <row r="3034" spans="1:8">
      <c r="A3034" s="39">
        <v>3.94045233778305</v>
      </c>
      <c r="B3034" s="45">
        <v>5.7</v>
      </c>
      <c r="D3034" s="2"/>
      <c r="E3034" s="31"/>
      <c r="G3034" s="43"/>
      <c r="H3034" s="2"/>
    </row>
    <row r="3035" spans="1:8">
      <c r="A3035" s="39">
        <v>3.93999074557025</v>
      </c>
      <c r="B3035" s="45">
        <v>6.3</v>
      </c>
      <c r="D3035" s="2"/>
      <c r="E3035" s="31"/>
      <c r="G3035" s="43"/>
      <c r="H3035" s="2"/>
    </row>
    <row r="3036" spans="1:8">
      <c r="A3036" s="39">
        <v>3.93993677377834</v>
      </c>
      <c r="B3036" s="45">
        <v>8.1</v>
      </c>
      <c r="D3036" s="2"/>
      <c r="E3036" s="31"/>
      <c r="G3036" s="43"/>
      <c r="H3036" s="2"/>
    </row>
    <row r="3037" spans="1:8">
      <c r="A3037" s="39">
        <v>3.93993677377834</v>
      </c>
      <c r="B3037" s="45">
        <v>19.3</v>
      </c>
      <c r="D3037" s="2"/>
      <c r="E3037" s="31"/>
      <c r="G3037" s="43"/>
      <c r="H3037" s="2"/>
    </row>
    <row r="3038" spans="1:8">
      <c r="A3038" s="39">
        <v>3.93976787498337</v>
      </c>
      <c r="B3038" s="45">
        <v>7.5</v>
      </c>
      <c r="D3038" s="2"/>
      <c r="E3038" s="31"/>
      <c r="G3038" s="43"/>
      <c r="H3038" s="2"/>
    </row>
    <row r="3039" spans="1:8">
      <c r="A3039" s="39">
        <v>3.93908341218368</v>
      </c>
      <c r="B3039" s="45">
        <v>15</v>
      </c>
      <c r="D3039" s="2"/>
      <c r="E3039" s="31"/>
      <c r="G3039" s="43"/>
      <c r="H3039" s="2"/>
    </row>
    <row r="3040" spans="1:8">
      <c r="A3040" s="39">
        <v>3.93904524349392</v>
      </c>
      <c r="B3040" s="45">
        <v>1</v>
      </c>
      <c r="D3040" s="2"/>
      <c r="E3040" s="31"/>
      <c r="G3040" s="43"/>
      <c r="H3040" s="2"/>
    </row>
    <row r="3041" spans="1:8">
      <c r="A3041" s="39">
        <v>3.93818868899809</v>
      </c>
      <c r="B3041" s="45">
        <v>5.1</v>
      </c>
      <c r="D3041" s="2"/>
      <c r="E3041" s="31"/>
      <c r="G3041" s="43"/>
      <c r="H3041" s="2"/>
    </row>
    <row r="3042" spans="1:8">
      <c r="A3042" s="39">
        <v>3.93811089590948</v>
      </c>
      <c r="B3042" s="45">
        <v>9.7</v>
      </c>
      <c r="D3042" s="2"/>
      <c r="E3042" s="31"/>
      <c r="G3042" s="43"/>
      <c r="H3042" s="2"/>
    </row>
    <row r="3043" spans="1:8">
      <c r="A3043" s="39">
        <v>3.93793536383168</v>
      </c>
      <c r="B3043" s="45">
        <v>6.5</v>
      </c>
      <c r="D3043" s="2"/>
      <c r="E3043" s="31"/>
      <c r="G3043" s="43"/>
      <c r="H3043" s="2"/>
    </row>
    <row r="3044" spans="1:8">
      <c r="A3044" s="39">
        <v>3.93793536383168</v>
      </c>
      <c r="B3044" s="45">
        <v>5.9</v>
      </c>
      <c r="D3044" s="2"/>
      <c r="E3044" s="31"/>
      <c r="G3044" s="43"/>
      <c r="H3044" s="2"/>
    </row>
    <row r="3045" spans="1:8">
      <c r="A3045" s="39">
        <v>3.93783665453534</v>
      </c>
      <c r="B3045" s="45">
        <v>11</v>
      </c>
      <c r="D3045" s="2"/>
      <c r="E3045" s="31"/>
      <c r="G3045" s="43"/>
      <c r="H3045" s="2"/>
    </row>
    <row r="3046" spans="1:8">
      <c r="A3046" s="39">
        <v>3.93771448658431</v>
      </c>
      <c r="B3046" s="45">
        <v>7.1</v>
      </c>
      <c r="D3046" s="2"/>
      <c r="E3046" s="31"/>
      <c r="G3046" s="43"/>
      <c r="H3046" s="2"/>
    </row>
    <row r="3047" spans="1:8">
      <c r="A3047" s="39">
        <v>3.9374671658259</v>
      </c>
      <c r="B3047" s="45">
        <v>11.2</v>
      </c>
      <c r="D3047" s="2"/>
      <c r="E3047" s="31"/>
      <c r="G3047" s="43"/>
      <c r="H3047" s="2"/>
    </row>
    <row r="3048" spans="1:8">
      <c r="A3048" s="39">
        <v>3.93713309251023</v>
      </c>
      <c r="B3048" s="45">
        <v>8.9</v>
      </c>
      <c r="D3048" s="2"/>
      <c r="E3048" s="31"/>
      <c r="G3048" s="43"/>
      <c r="H3048" s="2"/>
    </row>
    <row r="3049" spans="1:8">
      <c r="A3049" s="39">
        <v>3.93707188610426</v>
      </c>
      <c r="B3049" s="45">
        <v>6.8</v>
      </c>
      <c r="D3049" s="2"/>
      <c r="E3049" s="31"/>
      <c r="G3049" s="43"/>
      <c r="H3049" s="2"/>
    </row>
    <row r="3050" spans="1:8">
      <c r="A3050" s="39">
        <v>3.9367428317733</v>
      </c>
      <c r="B3050" s="45">
        <v>5.8</v>
      </c>
      <c r="D3050" s="2"/>
      <c r="E3050" s="31"/>
      <c r="G3050" s="43"/>
      <c r="H3050" s="2"/>
    </row>
    <row r="3051" spans="1:8">
      <c r="A3051" s="39">
        <v>3.93607743702043</v>
      </c>
      <c r="B3051" s="45">
        <v>17.4</v>
      </c>
      <c r="D3051" s="2"/>
      <c r="E3051" s="31"/>
      <c r="G3051" s="43"/>
      <c r="H3051" s="2"/>
    </row>
    <row r="3052" spans="1:8">
      <c r="A3052" s="39">
        <v>3.93584460972293</v>
      </c>
      <c r="B3052" s="45">
        <v>6</v>
      </c>
      <c r="D3052" s="2"/>
      <c r="E3052" s="31"/>
      <c r="G3052" s="43"/>
      <c r="H3052" s="2"/>
    </row>
    <row r="3053" spans="1:8">
      <c r="A3053" s="39">
        <v>3.93566109818526</v>
      </c>
      <c r="B3053" s="45">
        <v>13</v>
      </c>
      <c r="D3053" s="2"/>
      <c r="E3053" s="31"/>
      <c r="G3053" s="43"/>
      <c r="H3053" s="2"/>
    </row>
    <row r="3054" spans="1:8">
      <c r="A3054" s="39">
        <v>3.93495655214714</v>
      </c>
      <c r="B3054" s="45">
        <v>11.5</v>
      </c>
      <c r="D3054" s="2"/>
      <c r="E3054" s="31"/>
      <c r="G3054" s="43"/>
      <c r="H3054" s="2"/>
    </row>
    <row r="3055" spans="1:8">
      <c r="A3055" s="39">
        <v>3.93479923266855</v>
      </c>
      <c r="B3055" s="45">
        <v>3.5</v>
      </c>
      <c r="D3055" s="2"/>
      <c r="E3055" s="31"/>
      <c r="G3055" s="43"/>
      <c r="H3055" s="2"/>
    </row>
    <row r="3056" spans="1:8">
      <c r="A3056" s="39">
        <v>3.93466993570198</v>
      </c>
      <c r="B3056" s="45">
        <v>5.5</v>
      </c>
      <c r="D3056" s="2"/>
      <c r="E3056" s="31"/>
      <c r="G3056" s="43"/>
      <c r="H3056" s="2"/>
    </row>
    <row r="3057" spans="1:8">
      <c r="A3057" s="39">
        <v>3.93447190968151</v>
      </c>
      <c r="B3057" s="45">
        <v>7</v>
      </c>
      <c r="D3057" s="2"/>
      <c r="E3057" s="31"/>
      <c r="G3057" s="43"/>
      <c r="H3057" s="2"/>
    </row>
    <row r="3058" spans="1:8">
      <c r="A3058" s="39">
        <v>3.93447190968151</v>
      </c>
      <c r="B3058" s="45">
        <v>9.8</v>
      </c>
      <c r="D3058" s="2"/>
      <c r="E3058" s="31"/>
      <c r="G3058" s="43"/>
      <c r="H3058" s="2"/>
    </row>
    <row r="3059" spans="1:8">
      <c r="A3059" s="39">
        <v>3.93410065833118</v>
      </c>
      <c r="B3059" s="45">
        <v>9.8</v>
      </c>
      <c r="D3059" s="2"/>
      <c r="E3059" s="31"/>
      <c r="G3059" s="43"/>
      <c r="H3059" s="2"/>
    </row>
    <row r="3060" spans="1:8">
      <c r="A3060" s="39">
        <v>3.93396618504276</v>
      </c>
      <c r="B3060" s="45">
        <v>21</v>
      </c>
      <c r="D3060" s="2"/>
      <c r="E3060" s="31"/>
      <c r="G3060" s="43"/>
      <c r="H3060" s="2"/>
    </row>
    <row r="3061" spans="1:8">
      <c r="A3061" s="39">
        <v>3.93342735683224</v>
      </c>
      <c r="B3061" s="45">
        <v>6.8</v>
      </c>
      <c r="D3061" s="2"/>
      <c r="E3061" s="31"/>
      <c r="G3061" s="43"/>
      <c r="H3061" s="2"/>
    </row>
    <row r="3062" spans="1:8">
      <c r="A3062" s="39">
        <v>3.9327084785598</v>
      </c>
      <c r="B3062" s="45">
        <v>5.3</v>
      </c>
      <c r="D3062" s="2"/>
      <c r="E3062" s="31"/>
      <c r="G3062" s="43"/>
      <c r="H3062" s="2"/>
    </row>
    <row r="3063" spans="1:8">
      <c r="A3063" s="39">
        <v>3.93259108628785</v>
      </c>
      <c r="B3063" s="45">
        <v>4.7</v>
      </c>
      <c r="D3063" s="2"/>
      <c r="E3063" s="31"/>
      <c r="G3063" s="43"/>
      <c r="H3063" s="2"/>
    </row>
    <row r="3064" spans="1:8">
      <c r="A3064" s="39">
        <v>3.93255868372432</v>
      </c>
      <c r="B3064" s="45">
        <v>16</v>
      </c>
      <c r="D3064" s="2"/>
      <c r="E3064" s="31"/>
      <c r="G3064" s="43"/>
      <c r="H3064" s="2"/>
    </row>
    <row r="3065" spans="1:8">
      <c r="A3065" s="39">
        <v>3.93137497974349</v>
      </c>
      <c r="B3065" s="45">
        <v>12</v>
      </c>
      <c r="D3065" s="2"/>
      <c r="E3065" s="31"/>
      <c r="G3065" s="43"/>
      <c r="H3065" s="2"/>
    </row>
    <row r="3066" spans="1:8">
      <c r="A3066" s="39">
        <v>3.9313421107561</v>
      </c>
      <c r="B3066" s="45">
        <v>3.5</v>
      </c>
      <c r="D3066" s="2"/>
      <c r="E3066" s="31"/>
      <c r="G3066" s="43"/>
      <c r="H3066" s="2"/>
    </row>
    <row r="3067" spans="1:8">
      <c r="A3067" s="39">
        <v>3.93086985858747</v>
      </c>
      <c r="B3067" s="45">
        <v>7.3</v>
      </c>
      <c r="D3067" s="2"/>
      <c r="E3067" s="31"/>
      <c r="G3067" s="43"/>
      <c r="H3067" s="2"/>
    </row>
    <row r="3068" spans="1:8">
      <c r="A3068" s="39">
        <v>3.93086985858747</v>
      </c>
      <c r="B3068" s="45">
        <v>4.7</v>
      </c>
      <c r="D3068" s="2"/>
      <c r="E3068" s="31"/>
      <c r="G3068" s="43"/>
      <c r="H3068" s="2"/>
    </row>
    <row r="3069" spans="1:8">
      <c r="A3069" s="39">
        <v>3.93083292345354</v>
      </c>
      <c r="B3069" s="45">
        <v>0</v>
      </c>
      <c r="D3069" s="2"/>
      <c r="E3069" s="31"/>
      <c r="G3069" s="43"/>
      <c r="H3069" s="2"/>
    </row>
    <row r="3070" spans="1:8">
      <c r="A3070" s="39">
        <v>3.93038101204447</v>
      </c>
      <c r="B3070" s="45">
        <v>1</v>
      </c>
      <c r="D3070" s="2"/>
      <c r="E3070" s="31"/>
      <c r="G3070" s="43"/>
      <c r="H3070" s="2"/>
    </row>
    <row r="3071" spans="1:8">
      <c r="A3071" s="39">
        <v>3.93010512620794</v>
      </c>
      <c r="B3071" s="45">
        <v>7</v>
      </c>
      <c r="D3071" s="2"/>
      <c r="E3071" s="31"/>
      <c r="G3071" s="43"/>
      <c r="H3071" s="2"/>
    </row>
    <row r="3072" spans="1:8">
      <c r="A3072" s="39">
        <v>3.93009747225914</v>
      </c>
      <c r="B3072" s="45">
        <v>9</v>
      </c>
      <c r="D3072" s="2"/>
      <c r="E3072" s="31"/>
      <c r="G3072" s="43"/>
      <c r="H3072" s="2"/>
    </row>
    <row r="3073" spans="1:8">
      <c r="A3073" s="39">
        <v>3.93006084933751</v>
      </c>
      <c r="B3073" s="45">
        <v>7</v>
      </c>
      <c r="D3073" s="2"/>
      <c r="E3073" s="31"/>
      <c r="G3073" s="43"/>
      <c r="H3073" s="2"/>
    </row>
    <row r="3074" spans="1:8">
      <c r="A3074" s="39">
        <v>3.92919344500054</v>
      </c>
      <c r="B3074" s="45">
        <v>8</v>
      </c>
      <c r="D3074" s="2"/>
      <c r="E3074" s="31"/>
      <c r="G3074" s="43"/>
      <c r="H3074" s="2"/>
    </row>
    <row r="3075" spans="1:8">
      <c r="A3075" s="39">
        <v>3.92792173447116</v>
      </c>
      <c r="B3075" s="45">
        <v>9.5</v>
      </c>
      <c r="D3075" s="2"/>
      <c r="E3075" s="31"/>
      <c r="G3075" s="43"/>
      <c r="H3075" s="2"/>
    </row>
    <row r="3076" spans="1:8">
      <c r="A3076" s="39">
        <v>3.92764936685652</v>
      </c>
      <c r="B3076" s="45">
        <v>17</v>
      </c>
      <c r="D3076" s="2"/>
      <c r="E3076" s="31"/>
      <c r="G3076" s="43"/>
      <c r="H3076" s="2"/>
    </row>
    <row r="3077" spans="1:8">
      <c r="A3077" s="39">
        <v>3.92764936685652</v>
      </c>
      <c r="B3077" s="45">
        <v>18</v>
      </c>
      <c r="D3077" s="2"/>
      <c r="E3077" s="31"/>
      <c r="G3077" s="43"/>
      <c r="H3077" s="2"/>
    </row>
    <row r="3078" spans="1:8">
      <c r="A3078" s="39">
        <v>3.92763242910978</v>
      </c>
      <c r="B3078" s="45">
        <v>9.4</v>
      </c>
      <c r="D3078" s="2"/>
      <c r="E3078" s="31"/>
      <c r="G3078" s="43"/>
      <c r="H3078" s="2"/>
    </row>
    <row r="3079" spans="1:8">
      <c r="A3079" s="39">
        <v>3.92748159328792</v>
      </c>
      <c r="B3079" s="45">
        <v>5.8</v>
      </c>
      <c r="D3079" s="2"/>
      <c r="E3079" s="31"/>
      <c r="G3079" s="43"/>
      <c r="H3079" s="2"/>
    </row>
    <row r="3080" spans="1:8">
      <c r="A3080" s="39">
        <v>3.92744754458905</v>
      </c>
      <c r="B3080" s="45">
        <v>4</v>
      </c>
      <c r="D3080" s="2"/>
      <c r="E3080" s="31"/>
      <c r="G3080" s="43"/>
      <c r="H3080" s="2"/>
    </row>
    <row r="3081" spans="1:8">
      <c r="A3081" s="39">
        <v>3.92728322415871</v>
      </c>
      <c r="B3081" s="45">
        <v>5.5</v>
      </c>
      <c r="D3081" s="2"/>
      <c r="E3081" s="31"/>
      <c r="G3081" s="43"/>
      <c r="H3081" s="2"/>
    </row>
    <row r="3082" spans="1:8">
      <c r="A3082" s="39">
        <v>3.9265796621336</v>
      </c>
      <c r="B3082" s="45">
        <v>2</v>
      </c>
      <c r="D3082" s="2"/>
      <c r="E3082" s="31"/>
      <c r="G3082" s="43"/>
      <c r="H3082" s="2"/>
    </row>
    <row r="3083" spans="1:8">
      <c r="A3083" s="39">
        <v>3.9265796621336</v>
      </c>
      <c r="B3083" s="45">
        <v>10.2</v>
      </c>
      <c r="D3083" s="2"/>
      <c r="E3083" s="31"/>
      <c r="G3083" s="43"/>
      <c r="H3083" s="2"/>
    </row>
    <row r="3084" spans="1:8">
      <c r="A3084" s="39">
        <v>3.92607861898968</v>
      </c>
      <c r="B3084" s="45">
        <v>3</v>
      </c>
      <c r="D3084" s="2"/>
      <c r="E3084" s="31"/>
      <c r="G3084" s="43"/>
      <c r="H3084" s="2"/>
    </row>
    <row r="3085" spans="1:8">
      <c r="A3085" s="39">
        <v>3.92602104034385</v>
      </c>
      <c r="B3085" s="45">
        <v>8</v>
      </c>
      <c r="D3085" s="2"/>
      <c r="E3085" s="31"/>
      <c r="G3085" s="43"/>
      <c r="H3085" s="2"/>
    </row>
    <row r="3086" spans="1:8">
      <c r="A3086" s="39">
        <v>3.92561233540794</v>
      </c>
      <c r="B3086" s="45">
        <v>10.5</v>
      </c>
      <c r="D3086" s="2"/>
      <c r="E3086" s="31"/>
      <c r="G3086" s="43"/>
      <c r="H3086" s="2"/>
    </row>
    <row r="3087" spans="1:8">
      <c r="A3087" s="39">
        <v>3.92561233540794</v>
      </c>
      <c r="B3087" s="45">
        <v>2</v>
      </c>
      <c r="D3087" s="2"/>
      <c r="E3087" s="31"/>
      <c r="G3087" s="43"/>
      <c r="H3087" s="2"/>
    </row>
    <row r="3088" spans="1:8">
      <c r="A3088" s="39">
        <v>3.92561233540794</v>
      </c>
      <c r="B3088" s="45">
        <v>12</v>
      </c>
      <c r="D3088" s="2"/>
      <c r="E3088" s="31"/>
      <c r="G3088" s="43"/>
      <c r="H3088" s="2"/>
    </row>
    <row r="3089" spans="1:8">
      <c r="A3089" s="39">
        <v>3.92546693527649</v>
      </c>
      <c r="B3089" s="45">
        <v>6</v>
      </c>
      <c r="D3089" s="2"/>
      <c r="E3089" s="31"/>
      <c r="G3089" s="43"/>
      <c r="H3089" s="2"/>
    </row>
    <row r="3090" spans="1:8">
      <c r="A3090" s="39">
        <v>3.92539415618999</v>
      </c>
      <c r="B3090" s="45">
        <v>13</v>
      </c>
      <c r="D3090" s="2"/>
      <c r="E3090" s="31"/>
      <c r="G3090" s="43"/>
      <c r="H3090" s="2"/>
    </row>
    <row r="3091" spans="1:8">
      <c r="A3091" s="39">
        <v>3.92501054548878</v>
      </c>
      <c r="B3091" s="45">
        <v>2</v>
      </c>
      <c r="D3091" s="2"/>
      <c r="E3091" s="31"/>
      <c r="G3091" s="43"/>
      <c r="H3091" s="2"/>
    </row>
    <row r="3092" spans="1:8">
      <c r="A3092" s="39">
        <v>3.92473945808315</v>
      </c>
      <c r="B3092" s="45">
        <v>10.4</v>
      </c>
      <c r="D3092" s="2"/>
      <c r="E3092" s="31"/>
      <c r="G3092" s="43"/>
      <c r="H3092" s="2"/>
    </row>
    <row r="3093" spans="1:8">
      <c r="A3093" s="39">
        <v>3.92428274824319</v>
      </c>
      <c r="B3093" s="45">
        <v>1</v>
      </c>
      <c r="D3093" s="2"/>
      <c r="E3093" s="31"/>
      <c r="G3093" s="43"/>
      <c r="H3093" s="2"/>
    </row>
    <row r="3094" spans="1:8">
      <c r="A3094" s="39">
        <v>3.92428274824319</v>
      </c>
      <c r="B3094" s="45">
        <v>1</v>
      </c>
      <c r="D3094" s="2"/>
      <c r="E3094" s="31"/>
      <c r="G3094" s="43"/>
      <c r="H3094" s="2"/>
    </row>
    <row r="3095" spans="1:8">
      <c r="A3095" s="39">
        <v>3.92400113584702</v>
      </c>
      <c r="B3095" s="45">
        <v>22</v>
      </c>
      <c r="D3095" s="2"/>
      <c r="E3095" s="31"/>
      <c r="G3095" s="43"/>
      <c r="H3095" s="2"/>
    </row>
    <row r="3096" spans="1:8">
      <c r="A3096" s="39">
        <v>3.92332783434807</v>
      </c>
      <c r="B3096" s="45">
        <v>21</v>
      </c>
      <c r="D3096" s="2"/>
      <c r="E3096" s="31"/>
      <c r="G3096" s="43"/>
      <c r="H3096" s="2"/>
    </row>
    <row r="3097" spans="1:8">
      <c r="A3097" s="39">
        <v>3.92278738572373</v>
      </c>
      <c r="B3097" s="45">
        <v>6</v>
      </c>
      <c r="D3097" s="2"/>
      <c r="E3097" s="31"/>
      <c r="G3097" s="43"/>
      <c r="H3097" s="2"/>
    </row>
    <row r="3098" spans="1:8">
      <c r="A3098" s="39">
        <v>3.92278738572373</v>
      </c>
      <c r="B3098" s="45">
        <v>3.5</v>
      </c>
      <c r="D3098" s="2"/>
      <c r="E3098" s="31"/>
      <c r="G3098" s="43"/>
      <c r="H3098" s="2"/>
    </row>
    <row r="3099" spans="1:8">
      <c r="A3099" s="39">
        <v>3.92225470801605</v>
      </c>
      <c r="B3099" s="45">
        <v>5.4</v>
      </c>
      <c r="D3099" s="2"/>
      <c r="E3099" s="31"/>
      <c r="G3099" s="43"/>
      <c r="H3099" s="2"/>
    </row>
    <row r="3100" spans="1:8">
      <c r="A3100" s="39">
        <v>3.92213380568612</v>
      </c>
      <c r="B3100" s="45">
        <v>20.3</v>
      </c>
      <c r="D3100" s="2"/>
      <c r="E3100" s="31"/>
      <c r="G3100" s="43"/>
      <c r="H3100" s="2"/>
    </row>
    <row r="3101" spans="1:8">
      <c r="A3101" s="39">
        <v>3.92197184219157</v>
      </c>
      <c r="B3101" s="45">
        <v>13.9</v>
      </c>
      <c r="D3101" s="2"/>
      <c r="E3101" s="31"/>
      <c r="G3101" s="43"/>
      <c r="H3101" s="2"/>
    </row>
    <row r="3102" spans="1:8">
      <c r="A3102" s="39">
        <v>3.92180701566731</v>
      </c>
      <c r="B3102" s="45">
        <v>11.5</v>
      </c>
      <c r="D3102" s="2"/>
      <c r="E3102" s="31"/>
      <c r="G3102" s="43"/>
      <c r="H3102" s="2"/>
    </row>
    <row r="3103" spans="1:8">
      <c r="A3103" s="39">
        <v>3.92131500389682</v>
      </c>
      <c r="B3103" s="45">
        <v>12.5</v>
      </c>
      <c r="D3103" s="2"/>
      <c r="E3103" s="31"/>
      <c r="G3103" s="43"/>
      <c r="H3103" s="2"/>
    </row>
    <row r="3104" spans="1:8">
      <c r="A3104" s="39">
        <v>3.92077127851869</v>
      </c>
      <c r="B3104" s="45">
        <v>7.6</v>
      </c>
      <c r="D3104" s="2"/>
      <c r="E3104" s="31"/>
      <c r="G3104" s="43"/>
      <c r="H3104" s="2"/>
    </row>
    <row r="3105" spans="1:8">
      <c r="A3105" s="39">
        <v>3.92077127851869</v>
      </c>
      <c r="B3105" s="45">
        <v>6.3</v>
      </c>
      <c r="D3105" s="2"/>
      <c r="E3105" s="31"/>
      <c r="G3105" s="43"/>
      <c r="H3105" s="2"/>
    </row>
    <row r="3106" spans="1:8">
      <c r="A3106" s="39">
        <v>3.92064376201522</v>
      </c>
      <c r="B3106" s="45">
        <v>8.9</v>
      </c>
      <c r="D3106" s="2"/>
      <c r="E3106" s="31"/>
      <c r="G3106" s="43"/>
      <c r="H3106" s="2"/>
    </row>
    <row r="3107" spans="1:8">
      <c r="A3107" s="39">
        <v>3.9206029165922</v>
      </c>
      <c r="B3107" s="45">
        <v>5.1</v>
      </c>
      <c r="D3107" s="2"/>
      <c r="E3107" s="31"/>
      <c r="G3107" s="43"/>
      <c r="H3107" s="2"/>
    </row>
    <row r="3108" spans="1:8">
      <c r="A3108" s="39">
        <v>3.92024760390762</v>
      </c>
      <c r="B3108" s="45">
        <v>4.5</v>
      </c>
      <c r="D3108" s="2"/>
      <c r="E3108" s="31"/>
      <c r="G3108" s="43"/>
      <c r="H3108" s="2"/>
    </row>
    <row r="3109" spans="1:8">
      <c r="A3109" s="39">
        <v>3.92024760390762</v>
      </c>
      <c r="B3109" s="45">
        <v>5</v>
      </c>
      <c r="D3109" s="2"/>
      <c r="E3109" s="31"/>
      <c r="G3109" s="43"/>
      <c r="H3109" s="2"/>
    </row>
    <row r="3110" spans="1:8">
      <c r="A3110" s="39">
        <v>3.9201639539073</v>
      </c>
      <c r="B3110" s="45">
        <v>11.5</v>
      </c>
      <c r="D3110" s="2"/>
      <c r="E3110" s="31"/>
      <c r="G3110" s="43"/>
      <c r="H3110" s="2"/>
    </row>
    <row r="3111" spans="1:8">
      <c r="A3111" s="39">
        <v>3.91989117185835</v>
      </c>
      <c r="B3111" s="45">
        <v>6.5</v>
      </c>
      <c r="D3111" s="2"/>
      <c r="E3111" s="31"/>
      <c r="G3111" s="43"/>
      <c r="H3111" s="2"/>
    </row>
    <row r="3112" spans="1:8">
      <c r="A3112" s="39">
        <v>3.91964711772975</v>
      </c>
      <c r="B3112" s="45">
        <v>17</v>
      </c>
      <c r="D3112" s="2"/>
      <c r="E3112" s="31"/>
      <c r="G3112" s="43"/>
      <c r="H3112" s="2"/>
    </row>
    <row r="3113" spans="1:8">
      <c r="A3113" s="39">
        <v>3.91954404188251</v>
      </c>
      <c r="B3113" s="45">
        <v>10.6</v>
      </c>
      <c r="D3113" s="2"/>
      <c r="E3113" s="31"/>
      <c r="G3113" s="43"/>
      <c r="H3113" s="2"/>
    </row>
    <row r="3114" spans="1:8">
      <c r="A3114" s="39">
        <v>3.91954404188251</v>
      </c>
      <c r="B3114" s="45">
        <v>21</v>
      </c>
      <c r="D3114" s="2"/>
      <c r="E3114" s="31"/>
      <c r="G3114" s="43"/>
      <c r="H3114" s="2"/>
    </row>
    <row r="3115" spans="1:8">
      <c r="A3115" s="39">
        <v>3.91878306720255</v>
      </c>
      <c r="B3115" s="45">
        <v>10.8</v>
      </c>
      <c r="D3115" s="2"/>
      <c r="E3115" s="31"/>
      <c r="G3115" s="43"/>
      <c r="H3115" s="2"/>
    </row>
    <row r="3116" spans="1:8">
      <c r="A3116" s="39">
        <v>3.91845011622274</v>
      </c>
      <c r="B3116" s="45">
        <v>6.5</v>
      </c>
      <c r="D3116" s="2"/>
      <c r="E3116" s="31"/>
      <c r="G3116" s="43"/>
      <c r="H3116" s="2"/>
    </row>
    <row r="3117" spans="1:8">
      <c r="A3117" s="39">
        <v>3.91807319979855</v>
      </c>
      <c r="B3117" s="45">
        <v>12</v>
      </c>
      <c r="D3117" s="2"/>
      <c r="E3117" s="31"/>
      <c r="G3117" s="43"/>
      <c r="H3117" s="2"/>
    </row>
    <row r="3118" spans="1:8">
      <c r="A3118" s="39">
        <v>3.91778404849063</v>
      </c>
      <c r="B3118" s="45">
        <v>0.7</v>
      </c>
      <c r="D3118" s="2"/>
      <c r="E3118" s="31"/>
      <c r="G3118" s="43"/>
      <c r="H3118" s="2"/>
    </row>
    <row r="3119" spans="1:8">
      <c r="A3119" s="39">
        <v>3.91778404849063</v>
      </c>
      <c r="B3119" s="45">
        <v>12</v>
      </c>
      <c r="D3119" s="2"/>
      <c r="E3119" s="31"/>
      <c r="G3119" s="43"/>
      <c r="H3119" s="2"/>
    </row>
    <row r="3120" spans="1:8">
      <c r="A3120" s="39">
        <v>3.91778404849063</v>
      </c>
      <c r="B3120" s="45">
        <v>9.5</v>
      </c>
      <c r="D3120" s="2"/>
      <c r="E3120" s="31"/>
      <c r="G3120" s="43"/>
      <c r="H3120" s="2"/>
    </row>
    <row r="3121" spans="1:8">
      <c r="A3121" s="39">
        <v>3.91773389430422</v>
      </c>
      <c r="B3121" s="45">
        <v>13.5</v>
      </c>
      <c r="D3121" s="2"/>
      <c r="E3121" s="31"/>
      <c r="G3121" s="43"/>
      <c r="H3121" s="2"/>
    </row>
    <row r="3122" spans="1:8">
      <c r="A3122" s="39">
        <v>3.91773257303284</v>
      </c>
      <c r="B3122" s="45">
        <v>9</v>
      </c>
      <c r="D3122" s="2"/>
      <c r="E3122" s="31"/>
      <c r="G3122" s="43"/>
      <c r="H3122" s="2"/>
    </row>
    <row r="3123" spans="1:8">
      <c r="A3123" s="39">
        <v>3.91702782274417</v>
      </c>
      <c r="B3123" s="45">
        <v>7.6</v>
      </c>
      <c r="D3123" s="2"/>
      <c r="E3123" s="31"/>
      <c r="G3123" s="43"/>
      <c r="H3123" s="2"/>
    </row>
    <row r="3124" spans="1:8">
      <c r="A3124" s="39">
        <v>3.91700477578725</v>
      </c>
      <c r="B3124" s="45">
        <v>9.7</v>
      </c>
      <c r="D3124" s="2"/>
      <c r="E3124" s="31"/>
      <c r="G3124" s="43"/>
      <c r="H3124" s="2"/>
    </row>
    <row r="3125" spans="1:8">
      <c r="A3125" s="39">
        <v>3.91672979378207</v>
      </c>
      <c r="B3125" s="45">
        <v>4.7</v>
      </c>
      <c r="D3125" s="2"/>
      <c r="E3125" s="31"/>
      <c r="G3125" s="43"/>
      <c r="H3125" s="2"/>
    </row>
    <row r="3126" spans="1:8">
      <c r="A3126" s="39">
        <v>3.91665956142644</v>
      </c>
      <c r="B3126" s="45">
        <v>8.9</v>
      </c>
      <c r="D3126" s="2"/>
      <c r="E3126" s="31"/>
      <c r="G3126" s="43"/>
      <c r="H3126" s="2"/>
    </row>
    <row r="3127" spans="1:8">
      <c r="A3127" s="39">
        <v>3.9159824456898</v>
      </c>
      <c r="B3127" s="45">
        <v>6</v>
      </c>
      <c r="D3127" s="2"/>
      <c r="E3127" s="31"/>
      <c r="G3127" s="43"/>
      <c r="H3127" s="2"/>
    </row>
    <row r="3128" spans="1:8">
      <c r="A3128" s="39">
        <v>3.91558522854866</v>
      </c>
      <c r="B3128" s="45">
        <v>14.8</v>
      </c>
      <c r="D3128" s="2"/>
      <c r="E3128" s="31"/>
      <c r="G3128" s="43"/>
      <c r="H3128" s="2"/>
    </row>
    <row r="3129" spans="1:8">
      <c r="A3129" s="39">
        <v>3.91512721419473</v>
      </c>
      <c r="B3129" s="45">
        <v>4.7</v>
      </c>
      <c r="D3129" s="2"/>
      <c r="E3129" s="31"/>
      <c r="G3129" s="43"/>
      <c r="H3129" s="2"/>
    </row>
    <row r="3130" spans="1:8">
      <c r="A3130" s="39">
        <v>3.91512721419473</v>
      </c>
      <c r="B3130" s="45">
        <v>5.5</v>
      </c>
      <c r="D3130" s="2"/>
      <c r="E3130" s="31"/>
      <c r="G3130" s="43"/>
      <c r="H3130" s="2"/>
    </row>
    <row r="3131" spans="1:8">
      <c r="A3131" s="39">
        <v>3.91496491724381</v>
      </c>
      <c r="B3131" s="45">
        <v>9</v>
      </c>
      <c r="D3131" s="2"/>
      <c r="E3131" s="31"/>
      <c r="G3131" s="43"/>
      <c r="H3131" s="2"/>
    </row>
    <row r="3132" spans="1:8">
      <c r="A3132" s="39">
        <v>3.91493706863542</v>
      </c>
      <c r="B3132" s="45">
        <v>3.2</v>
      </c>
      <c r="D3132" s="2"/>
      <c r="E3132" s="31"/>
      <c r="G3132" s="43"/>
      <c r="H3132" s="2"/>
    </row>
    <row r="3133" spans="1:8">
      <c r="A3133" s="39">
        <v>3.91455477737635</v>
      </c>
      <c r="B3133" s="45">
        <v>20</v>
      </c>
      <c r="D3133" s="2"/>
      <c r="E3133" s="31"/>
      <c r="G3133" s="43"/>
      <c r="H3133" s="2"/>
    </row>
    <row r="3134" spans="1:8">
      <c r="A3134" s="39">
        <v>3.9145130954132</v>
      </c>
      <c r="B3134" s="45">
        <v>3.5</v>
      </c>
      <c r="D3134" s="2"/>
      <c r="E3134" s="31"/>
      <c r="G3134" s="43"/>
      <c r="H3134" s="2"/>
    </row>
    <row r="3135" spans="1:8">
      <c r="A3135" s="39">
        <v>3.91426116658459</v>
      </c>
      <c r="B3135" s="45">
        <v>11</v>
      </c>
      <c r="D3135" s="2"/>
      <c r="E3135" s="31"/>
      <c r="G3135" s="43"/>
      <c r="H3135" s="2"/>
    </row>
    <row r="3136" spans="1:8">
      <c r="A3136" s="39">
        <v>3.91355741592537</v>
      </c>
      <c r="B3136" s="45">
        <v>9.6</v>
      </c>
      <c r="D3136" s="2"/>
      <c r="E3136" s="31"/>
      <c r="G3136" s="43"/>
      <c r="H3136" s="2"/>
    </row>
    <row r="3137" spans="1:8">
      <c r="A3137" s="39">
        <v>3.91338653325644</v>
      </c>
      <c r="B3137" s="45">
        <v>9.8</v>
      </c>
      <c r="D3137" s="2"/>
      <c r="E3137" s="31"/>
      <c r="G3137" s="43"/>
      <c r="H3137" s="2"/>
    </row>
    <row r="3138" spans="1:8">
      <c r="A3138" s="39">
        <v>3.91307845183384</v>
      </c>
      <c r="B3138" s="45">
        <v>6.3</v>
      </c>
      <c r="D3138" s="2"/>
      <c r="E3138" s="31"/>
      <c r="G3138" s="43"/>
      <c r="H3138" s="2"/>
    </row>
    <row r="3139" spans="1:8">
      <c r="A3139" s="39">
        <v>3.91248711093209</v>
      </c>
      <c r="B3139" s="45">
        <v>10</v>
      </c>
      <c r="D3139" s="2"/>
      <c r="E3139" s="31"/>
      <c r="G3139" s="43"/>
      <c r="H3139" s="2"/>
    </row>
    <row r="3140" spans="1:8">
      <c r="A3140" s="39">
        <v>3.91167652508439</v>
      </c>
      <c r="B3140" s="45">
        <v>9.5</v>
      </c>
      <c r="D3140" s="2"/>
      <c r="E3140" s="31"/>
      <c r="G3140" s="43"/>
      <c r="H3140" s="2"/>
    </row>
    <row r="3141" spans="1:8">
      <c r="A3141" s="39">
        <v>3.91164486860298</v>
      </c>
      <c r="B3141" s="45">
        <v>9.5</v>
      </c>
      <c r="D3141" s="2"/>
      <c r="E3141" s="31"/>
      <c r="G3141" s="43"/>
      <c r="H3141" s="2"/>
    </row>
    <row r="3142" spans="1:8">
      <c r="A3142" s="39">
        <v>3.91128789703754</v>
      </c>
      <c r="B3142" s="45">
        <v>8.9</v>
      </c>
      <c r="D3142" s="2"/>
      <c r="E3142" s="31"/>
      <c r="G3142" s="43"/>
      <c r="H3142" s="2"/>
    </row>
    <row r="3143" spans="1:8">
      <c r="A3143" s="39">
        <v>3.91116154499291</v>
      </c>
      <c r="B3143" s="45">
        <v>1</v>
      </c>
      <c r="D3143" s="2"/>
      <c r="E3143" s="31"/>
      <c r="G3143" s="43"/>
      <c r="H3143" s="2"/>
    </row>
    <row r="3144" spans="1:8">
      <c r="A3144" s="39">
        <v>3.91039773555609</v>
      </c>
      <c r="B3144" s="45">
        <v>6.4</v>
      </c>
      <c r="D3144" s="2"/>
      <c r="E3144" s="31"/>
      <c r="G3144" s="43"/>
      <c r="H3144" s="2"/>
    </row>
    <row r="3145" spans="1:8">
      <c r="A3145" s="39">
        <v>3.91003866262927</v>
      </c>
      <c r="B3145" s="45">
        <v>12</v>
      </c>
      <c r="D3145" s="2"/>
      <c r="E3145" s="31"/>
      <c r="G3145" s="43"/>
      <c r="H3145" s="2"/>
    </row>
    <row r="3146" spans="1:8">
      <c r="A3146" s="39">
        <v>3.90986180436919</v>
      </c>
      <c r="B3146" s="45">
        <v>7</v>
      </c>
      <c r="D3146" s="2"/>
      <c r="E3146" s="31"/>
      <c r="G3146" s="43"/>
      <c r="H3146" s="2"/>
    </row>
    <row r="3147" spans="1:8">
      <c r="A3147" s="39">
        <v>3.90960666579706</v>
      </c>
      <c r="B3147" s="45">
        <v>5.9</v>
      </c>
      <c r="D3147" s="2"/>
      <c r="E3147" s="31"/>
      <c r="G3147" s="43"/>
      <c r="H3147" s="2"/>
    </row>
    <row r="3148" spans="1:8">
      <c r="A3148" s="39">
        <v>3.90960666579706</v>
      </c>
      <c r="B3148" s="45">
        <v>5.4</v>
      </c>
      <c r="D3148" s="2"/>
      <c r="E3148" s="31"/>
      <c r="G3148" s="43"/>
      <c r="H3148" s="2"/>
    </row>
    <row r="3149" spans="1:8">
      <c r="A3149" s="39">
        <v>3.90933491197005</v>
      </c>
      <c r="B3149" s="45">
        <v>7.5</v>
      </c>
      <c r="D3149" s="2"/>
      <c r="E3149" s="31"/>
      <c r="G3149" s="43"/>
      <c r="H3149" s="2"/>
    </row>
    <row r="3150" spans="1:8">
      <c r="A3150" s="39">
        <v>3.90909869842628</v>
      </c>
      <c r="B3150" s="45">
        <v>10.8</v>
      </c>
      <c r="D3150" s="2"/>
      <c r="E3150" s="31"/>
      <c r="G3150" s="43"/>
      <c r="H3150" s="2"/>
    </row>
    <row r="3151" spans="1:8">
      <c r="A3151" s="39">
        <v>3.90899900608572</v>
      </c>
      <c r="B3151" s="45">
        <v>12</v>
      </c>
      <c r="D3151" s="2"/>
      <c r="E3151" s="31"/>
      <c r="G3151" s="43"/>
      <c r="H3151" s="2"/>
    </row>
    <row r="3152" spans="1:8">
      <c r="A3152" s="39">
        <v>3.90888942163468</v>
      </c>
      <c r="B3152" s="45">
        <v>6</v>
      </c>
      <c r="D3152" s="2"/>
      <c r="E3152" s="31"/>
      <c r="G3152" s="43"/>
      <c r="H3152" s="2"/>
    </row>
    <row r="3153" spans="1:8">
      <c r="A3153" s="39">
        <v>3.90828258619788</v>
      </c>
      <c r="B3153" s="45">
        <v>4</v>
      </c>
      <c r="D3153" s="2"/>
      <c r="E3153" s="31"/>
      <c r="G3153" s="43"/>
      <c r="H3153" s="2"/>
    </row>
    <row r="3154" spans="1:8">
      <c r="A3154" s="39">
        <v>3.90770678744494</v>
      </c>
      <c r="B3154" s="45">
        <v>10</v>
      </c>
      <c r="D3154" s="2"/>
      <c r="E3154" s="31"/>
      <c r="G3154" s="43"/>
      <c r="H3154" s="2"/>
    </row>
    <row r="3155" spans="1:8">
      <c r="A3155" s="39">
        <v>3.90728000544292</v>
      </c>
      <c r="B3155" s="45">
        <v>10.5</v>
      </c>
      <c r="D3155" s="2"/>
      <c r="E3155" s="31"/>
      <c r="G3155" s="43"/>
      <c r="H3155" s="2"/>
    </row>
    <row r="3156" spans="1:8">
      <c r="A3156" s="39">
        <v>3.90728000544292</v>
      </c>
      <c r="B3156" s="45">
        <v>0</v>
      </c>
      <c r="D3156" s="2"/>
      <c r="E3156" s="31"/>
      <c r="G3156" s="43"/>
      <c r="H3156" s="2"/>
    </row>
    <row r="3157" spans="1:8">
      <c r="A3157" s="39">
        <v>3.90722365999238</v>
      </c>
      <c r="B3157" s="45">
        <v>2</v>
      </c>
      <c r="D3157" s="2"/>
      <c r="E3157" s="31"/>
      <c r="G3157" s="43"/>
      <c r="H3157" s="2"/>
    </row>
    <row r="3158" spans="1:8">
      <c r="A3158" s="39">
        <v>3.90722365999238</v>
      </c>
      <c r="B3158" s="45">
        <v>4.5</v>
      </c>
      <c r="D3158" s="2"/>
      <c r="E3158" s="31"/>
      <c r="G3158" s="43"/>
      <c r="H3158" s="2"/>
    </row>
    <row r="3159" spans="1:8">
      <c r="A3159" s="39">
        <v>3.90722365999238</v>
      </c>
      <c r="B3159" s="45">
        <v>11</v>
      </c>
      <c r="D3159" s="2"/>
      <c r="E3159" s="31"/>
      <c r="G3159" s="43"/>
      <c r="H3159" s="2"/>
    </row>
    <row r="3160" spans="1:8">
      <c r="A3160" s="39">
        <v>3.90722365999238</v>
      </c>
      <c r="B3160" s="45">
        <v>7.3</v>
      </c>
      <c r="D3160" s="2"/>
      <c r="E3160" s="31"/>
      <c r="G3160" s="43"/>
      <c r="H3160" s="2"/>
    </row>
    <row r="3161" spans="1:8">
      <c r="A3161" s="39">
        <v>3.90691366059852</v>
      </c>
      <c r="B3161" s="45">
        <v>2</v>
      </c>
      <c r="D3161" s="2"/>
      <c r="E3161" s="31"/>
      <c r="G3161" s="43"/>
      <c r="H3161" s="2"/>
    </row>
    <row r="3162" spans="1:8">
      <c r="A3162" s="39">
        <v>3.90681561434893</v>
      </c>
      <c r="B3162" s="45">
        <v>1</v>
      </c>
      <c r="D3162" s="2"/>
      <c r="E3162" s="31"/>
      <c r="G3162" s="43"/>
      <c r="H3162" s="2"/>
    </row>
    <row r="3163" spans="1:8">
      <c r="A3163" s="39">
        <v>3.90681561434893</v>
      </c>
      <c r="B3163" s="45">
        <v>8.8</v>
      </c>
      <c r="D3163" s="2"/>
      <c r="E3163" s="31"/>
      <c r="G3163" s="43"/>
      <c r="H3163" s="2"/>
    </row>
    <row r="3164" spans="1:8">
      <c r="A3164" s="39">
        <v>3.90663245456716</v>
      </c>
      <c r="B3164" s="45">
        <v>6.4</v>
      </c>
      <c r="D3164" s="2"/>
      <c r="E3164" s="31"/>
      <c r="G3164" s="43"/>
      <c r="H3164" s="2"/>
    </row>
    <row r="3165" spans="1:8">
      <c r="A3165" s="39">
        <v>3.90657405220042</v>
      </c>
      <c r="B3165" s="45">
        <v>5</v>
      </c>
      <c r="D3165" s="2"/>
      <c r="E3165" s="31"/>
      <c r="G3165" s="43"/>
      <c r="H3165" s="2"/>
    </row>
    <row r="3166" spans="1:8">
      <c r="A3166" s="39">
        <v>3.90657405220042</v>
      </c>
      <c r="B3166" s="45">
        <v>3.4</v>
      </c>
      <c r="D3166" s="2"/>
      <c r="E3166" s="31"/>
      <c r="G3166" s="43"/>
      <c r="H3166" s="2"/>
    </row>
    <row r="3167" spans="1:8">
      <c r="A3167" s="39">
        <v>3.90657405220042</v>
      </c>
      <c r="B3167" s="45">
        <v>4</v>
      </c>
      <c r="D3167" s="2"/>
      <c r="E3167" s="31"/>
      <c r="G3167" s="43"/>
      <c r="H3167" s="2"/>
    </row>
    <row r="3168" spans="1:8">
      <c r="A3168" s="39">
        <v>3.90657405220042</v>
      </c>
      <c r="B3168" s="45">
        <v>3.5</v>
      </c>
      <c r="D3168" s="2"/>
      <c r="E3168" s="31"/>
      <c r="G3168" s="43"/>
      <c r="H3168" s="2"/>
    </row>
    <row r="3169" spans="1:8">
      <c r="A3169" s="39">
        <v>3.90649529687447</v>
      </c>
      <c r="B3169" s="45">
        <v>21</v>
      </c>
      <c r="D3169" s="2"/>
      <c r="E3169" s="31"/>
      <c r="G3169" s="43"/>
      <c r="H3169" s="2"/>
    </row>
    <row r="3170" spans="1:8">
      <c r="A3170" s="39">
        <v>3.90644788478352</v>
      </c>
      <c r="B3170" s="45">
        <v>20</v>
      </c>
      <c r="D3170" s="2"/>
      <c r="E3170" s="31"/>
      <c r="G3170" s="43"/>
      <c r="H3170" s="2"/>
    </row>
    <row r="3171" spans="1:8">
      <c r="A3171" s="39">
        <v>3.90635667823002</v>
      </c>
      <c r="B3171" s="45">
        <v>9.4</v>
      </c>
      <c r="D3171" s="2"/>
      <c r="E3171" s="31"/>
      <c r="G3171" s="43"/>
      <c r="H3171" s="2"/>
    </row>
    <row r="3172" spans="1:8">
      <c r="A3172" s="39">
        <v>3.9044871446707</v>
      </c>
      <c r="B3172" s="45">
        <v>11</v>
      </c>
      <c r="D3172" s="2"/>
      <c r="E3172" s="31"/>
      <c r="G3172" s="43"/>
      <c r="H3172" s="2"/>
    </row>
    <row r="3173" spans="1:8">
      <c r="A3173" s="39">
        <v>3.90447539237763</v>
      </c>
      <c r="B3173" s="45">
        <v>6.7</v>
      </c>
      <c r="D3173" s="2"/>
      <c r="E3173" s="31"/>
      <c r="G3173" s="43"/>
      <c r="H3173" s="2"/>
    </row>
    <row r="3174" spans="1:8">
      <c r="A3174" s="39">
        <v>3.90443473152486</v>
      </c>
      <c r="B3174" s="45">
        <v>2.7</v>
      </c>
      <c r="D3174" s="2"/>
      <c r="E3174" s="31"/>
      <c r="G3174" s="43"/>
      <c r="H3174" s="2"/>
    </row>
    <row r="3175" spans="1:8">
      <c r="A3175" s="39">
        <v>3.90380209087869</v>
      </c>
      <c r="B3175" s="45">
        <v>13.7</v>
      </c>
      <c r="D3175" s="2"/>
      <c r="E3175" s="31"/>
      <c r="G3175" s="43"/>
      <c r="H3175" s="2"/>
    </row>
    <row r="3176" spans="1:8">
      <c r="A3176" s="39">
        <v>3.90364261947621</v>
      </c>
      <c r="B3176" s="45">
        <v>5</v>
      </c>
      <c r="D3176" s="2"/>
      <c r="E3176" s="31"/>
      <c r="G3176" s="43"/>
      <c r="H3176" s="2"/>
    </row>
    <row r="3177" spans="1:8">
      <c r="A3177" s="39">
        <v>3.90364261947621</v>
      </c>
      <c r="B3177" s="45">
        <v>10.7</v>
      </c>
      <c r="D3177" s="2"/>
      <c r="E3177" s="31"/>
      <c r="G3177" s="43"/>
      <c r="H3177" s="2"/>
    </row>
    <row r="3178" spans="1:8">
      <c r="A3178" s="39">
        <v>3.903362115305</v>
      </c>
      <c r="B3178" s="45">
        <v>6</v>
      </c>
      <c r="D3178" s="2"/>
      <c r="E3178" s="31"/>
      <c r="G3178" s="43"/>
      <c r="H3178" s="2"/>
    </row>
    <row r="3179" spans="1:8">
      <c r="A3179" s="39">
        <v>3.90312878937975</v>
      </c>
      <c r="B3179" s="45">
        <v>6.4</v>
      </c>
      <c r="D3179" s="2"/>
      <c r="E3179" s="31"/>
      <c r="G3179" s="43"/>
      <c r="H3179" s="2"/>
    </row>
    <row r="3180" spans="1:8">
      <c r="A3180" s="39">
        <v>3.90300115603706</v>
      </c>
      <c r="B3180" s="45">
        <v>17</v>
      </c>
      <c r="D3180" s="2"/>
      <c r="E3180" s="31"/>
      <c r="G3180" s="43"/>
      <c r="H3180" s="2"/>
    </row>
    <row r="3181" spans="1:8">
      <c r="A3181" s="39">
        <v>3.90300115603706</v>
      </c>
      <c r="B3181" s="45">
        <v>14</v>
      </c>
      <c r="D3181" s="2"/>
      <c r="E3181" s="31"/>
      <c r="G3181" s="43"/>
      <c r="H3181" s="2"/>
    </row>
    <row r="3182" spans="1:8">
      <c r="A3182" s="39">
        <v>3.90244883087537</v>
      </c>
      <c r="B3182" s="45">
        <v>17</v>
      </c>
      <c r="D3182" s="2"/>
      <c r="E3182" s="31"/>
      <c r="G3182" s="43"/>
      <c r="H3182" s="2"/>
    </row>
    <row r="3183" spans="1:8">
      <c r="A3183" s="39">
        <v>3.90178218638186</v>
      </c>
      <c r="B3183" s="45">
        <v>16.4</v>
      </c>
      <c r="D3183" s="2"/>
      <c r="E3183" s="31"/>
      <c r="G3183" s="43"/>
      <c r="H3183" s="2"/>
    </row>
    <row r="3184" spans="1:8">
      <c r="A3184" s="39">
        <v>3.90155181146713</v>
      </c>
      <c r="B3184" s="45">
        <v>9.3</v>
      </c>
      <c r="D3184" s="2"/>
      <c r="E3184" s="31"/>
      <c r="G3184" s="43"/>
      <c r="H3184" s="2"/>
    </row>
    <row r="3185" spans="1:8">
      <c r="A3185" s="39">
        <v>3.90155181146713</v>
      </c>
      <c r="B3185" s="45">
        <v>5.2</v>
      </c>
      <c r="D3185" s="2"/>
      <c r="E3185" s="31"/>
      <c r="G3185" s="43"/>
      <c r="H3185" s="2"/>
    </row>
    <row r="3186" spans="1:8">
      <c r="A3186" s="39">
        <v>3.90155181146713</v>
      </c>
      <c r="B3186" s="45">
        <v>9.1</v>
      </c>
      <c r="D3186" s="44"/>
      <c r="E3186" s="31"/>
      <c r="G3186" s="43"/>
      <c r="H3186" s="2"/>
    </row>
    <row r="3187" spans="1:8">
      <c r="A3187" s="39">
        <v>3.90126079017826</v>
      </c>
      <c r="B3187" s="45">
        <v>14.8</v>
      </c>
      <c r="D3187" s="2"/>
      <c r="E3187" s="31"/>
      <c r="G3187" s="43"/>
      <c r="H3187" s="2"/>
    </row>
    <row r="3188" spans="1:8">
      <c r="A3188" s="39">
        <v>3.90126079017826</v>
      </c>
      <c r="B3188" s="45">
        <v>15.6</v>
      </c>
      <c r="D3188" s="2"/>
      <c r="E3188" s="31"/>
      <c r="G3188" s="43"/>
      <c r="H3188" s="2"/>
    </row>
    <row r="3189" spans="1:8">
      <c r="A3189" s="39">
        <v>3.90125142922967</v>
      </c>
      <c r="B3189" s="45">
        <v>10</v>
      </c>
      <c r="D3189" s="2"/>
      <c r="E3189" s="31"/>
      <c r="G3189" s="43"/>
      <c r="H3189" s="2"/>
    </row>
    <row r="3190" spans="1:8">
      <c r="A3190" s="39">
        <v>3.90018615340018</v>
      </c>
      <c r="B3190" s="45">
        <v>5</v>
      </c>
      <c r="D3190" s="2"/>
      <c r="E3190" s="31"/>
      <c r="G3190" s="43"/>
      <c r="H3190" s="2"/>
    </row>
    <row r="3191" spans="1:8">
      <c r="A3191" s="39">
        <v>3.90018615340018</v>
      </c>
      <c r="B3191" s="45">
        <v>12.5</v>
      </c>
      <c r="D3191" s="2"/>
      <c r="E3191" s="31"/>
      <c r="G3191" s="43"/>
      <c r="H3191" s="2"/>
    </row>
    <row r="3192" spans="1:8">
      <c r="A3192" s="39">
        <v>3.90018615340018</v>
      </c>
      <c r="B3192" s="45">
        <v>6.7</v>
      </c>
      <c r="D3192" s="2"/>
      <c r="E3192" s="31"/>
      <c r="G3192" s="43"/>
      <c r="H3192" s="2"/>
    </row>
    <row r="3193" spans="1:8">
      <c r="A3193" s="39">
        <v>3.89991208440744</v>
      </c>
      <c r="B3193" s="45">
        <v>8</v>
      </c>
      <c r="D3193" s="2"/>
      <c r="E3193" s="31"/>
      <c r="G3193" s="43"/>
      <c r="H3193" s="2"/>
    </row>
    <row r="3194" spans="1:8">
      <c r="A3194" s="39">
        <v>3.89984430517945</v>
      </c>
      <c r="B3194" s="45">
        <v>9.7</v>
      </c>
      <c r="D3194" s="2"/>
      <c r="E3194" s="31"/>
      <c r="G3194" s="43"/>
      <c r="H3194" s="2"/>
    </row>
    <row r="3195" spans="1:8">
      <c r="A3195" s="39">
        <v>3.89979380656477</v>
      </c>
      <c r="B3195" s="45">
        <v>9.3</v>
      </c>
      <c r="D3195" s="2"/>
      <c r="E3195" s="31"/>
      <c r="G3195" s="43"/>
      <c r="H3195" s="2"/>
    </row>
    <row r="3196" spans="1:8">
      <c r="A3196" s="39">
        <v>3.89976228188502</v>
      </c>
      <c r="B3196" s="45">
        <v>8</v>
      </c>
      <c r="D3196" s="2"/>
      <c r="E3196" s="31"/>
      <c r="G3196" s="43"/>
      <c r="H3196" s="2"/>
    </row>
    <row r="3197" spans="1:8">
      <c r="A3197" s="39">
        <v>3.89948240274096</v>
      </c>
      <c r="B3197" s="45">
        <v>8</v>
      </c>
      <c r="D3197" s="2"/>
      <c r="E3197" s="31"/>
      <c r="G3197" s="43"/>
      <c r="H3197" s="2"/>
    </row>
    <row r="3198" spans="1:8">
      <c r="A3198" s="39">
        <v>3.89948240274096</v>
      </c>
      <c r="B3198" s="45">
        <v>9.5</v>
      </c>
      <c r="D3198" s="2"/>
      <c r="E3198" s="31"/>
      <c r="G3198" s="43"/>
      <c r="H3198" s="2"/>
    </row>
    <row r="3199" spans="1:8">
      <c r="A3199" s="39">
        <v>3.89948240274096</v>
      </c>
      <c r="B3199" s="45">
        <v>12.6</v>
      </c>
      <c r="D3199" s="2"/>
      <c r="E3199" s="31"/>
      <c r="G3199" s="43"/>
      <c r="H3199" s="2"/>
    </row>
    <row r="3200" spans="1:8">
      <c r="A3200" s="39">
        <v>3.89927775631616</v>
      </c>
      <c r="B3200" s="45">
        <v>6.2</v>
      </c>
      <c r="D3200" s="2"/>
      <c r="E3200" s="31"/>
      <c r="G3200" s="43"/>
      <c r="H3200" s="2"/>
    </row>
    <row r="3201" spans="1:8">
      <c r="A3201" s="39">
        <v>3.89855027912281</v>
      </c>
      <c r="B3201" s="45">
        <v>7</v>
      </c>
      <c r="D3201" s="2"/>
      <c r="E3201" s="31"/>
      <c r="G3201" s="43"/>
      <c r="H3201" s="2"/>
    </row>
    <row r="3202" spans="1:8">
      <c r="A3202" s="39">
        <v>3.89843718112924</v>
      </c>
      <c r="B3202" s="45">
        <v>5.6</v>
      </c>
      <c r="D3202" s="2"/>
      <c r="E3202" s="31"/>
      <c r="G3202" s="43"/>
      <c r="H3202" s="2"/>
    </row>
    <row r="3203" spans="1:8">
      <c r="A3203" s="39">
        <v>3.89815833002606</v>
      </c>
      <c r="B3203" s="45">
        <v>5.23</v>
      </c>
      <c r="D3203" s="2"/>
      <c r="E3203" s="31"/>
      <c r="G3203" s="43"/>
      <c r="H3203" s="2"/>
    </row>
    <row r="3204" spans="1:8">
      <c r="A3204" s="39">
        <v>3.8980820474018</v>
      </c>
      <c r="B3204" s="45">
        <v>9.7</v>
      </c>
      <c r="D3204" s="2"/>
      <c r="E3204" s="31"/>
      <c r="G3204" s="43"/>
      <c r="H3204" s="2"/>
    </row>
    <row r="3205" spans="1:8">
      <c r="A3205" s="39">
        <v>3.89782280192947</v>
      </c>
      <c r="B3205" s="45">
        <v>11</v>
      </c>
      <c r="D3205" s="2"/>
      <c r="E3205" s="31"/>
      <c r="G3205" s="43"/>
      <c r="H3205" s="2"/>
    </row>
    <row r="3206" spans="1:8">
      <c r="A3206" s="39">
        <v>3.89773361910413</v>
      </c>
      <c r="B3206" s="45">
        <v>13.9</v>
      </c>
      <c r="D3206" s="2"/>
      <c r="E3206" s="31"/>
      <c r="G3206" s="43"/>
      <c r="H3206" s="2"/>
    </row>
    <row r="3207" spans="1:8">
      <c r="A3207" s="39">
        <v>3.89729776425701</v>
      </c>
      <c r="B3207" s="45">
        <v>14.5</v>
      </c>
      <c r="D3207" s="2"/>
      <c r="E3207" s="31"/>
      <c r="G3207" s="43"/>
      <c r="H3207" s="2"/>
    </row>
    <row r="3208" spans="1:8">
      <c r="A3208" s="39">
        <v>3.89709532473613</v>
      </c>
      <c r="B3208" s="45">
        <v>9.5</v>
      </c>
      <c r="D3208" s="2"/>
      <c r="E3208" s="31"/>
      <c r="G3208" s="43"/>
      <c r="H3208" s="2"/>
    </row>
    <row r="3209" spans="1:8">
      <c r="A3209" s="39">
        <v>3.89706907588925</v>
      </c>
      <c r="B3209" s="45">
        <v>6.6</v>
      </c>
      <c r="D3209" s="2"/>
      <c r="E3209" s="31"/>
      <c r="G3209" s="43"/>
      <c r="H3209" s="2"/>
    </row>
    <row r="3210" spans="1:8">
      <c r="A3210" s="39">
        <v>3.89696345866714</v>
      </c>
      <c r="B3210" s="45">
        <v>8</v>
      </c>
      <c r="D3210" s="2"/>
      <c r="E3210" s="31"/>
      <c r="G3210" s="43"/>
      <c r="H3210" s="2"/>
    </row>
    <row r="3211" spans="1:8">
      <c r="A3211" s="39">
        <v>3.8966441842194</v>
      </c>
      <c r="B3211" s="45">
        <v>12</v>
      </c>
      <c r="D3211" s="2"/>
      <c r="E3211" s="31"/>
      <c r="G3211" s="43"/>
      <c r="H3211" s="2"/>
    </row>
    <row r="3212" spans="1:8">
      <c r="A3212" s="39">
        <v>3.89662645291062</v>
      </c>
      <c r="B3212" s="45">
        <v>5.8</v>
      </c>
      <c r="D3212" s="2"/>
      <c r="E3212" s="31"/>
      <c r="G3212" s="43"/>
      <c r="H3212" s="2"/>
    </row>
    <row r="3213" spans="1:8">
      <c r="A3213" s="39">
        <v>3.89636784754279</v>
      </c>
      <c r="B3213" s="45">
        <v>10</v>
      </c>
      <c r="D3213" s="2"/>
      <c r="E3213" s="31"/>
      <c r="G3213" s="43"/>
      <c r="H3213" s="2"/>
    </row>
    <row r="3214" spans="1:8">
      <c r="A3214" s="39">
        <v>3.89636784754279</v>
      </c>
      <c r="B3214" s="45">
        <v>4.7</v>
      </c>
      <c r="D3214" s="2"/>
      <c r="E3214" s="31"/>
      <c r="G3214" s="43"/>
      <c r="H3214" s="2"/>
    </row>
    <row r="3215" spans="1:8">
      <c r="A3215" s="39">
        <v>3.89636784754279</v>
      </c>
      <c r="B3215" s="45">
        <v>5</v>
      </c>
      <c r="D3215" s="2"/>
      <c r="E3215" s="31"/>
      <c r="G3215" s="43"/>
      <c r="H3215" s="2"/>
    </row>
    <row r="3216" spans="1:8">
      <c r="A3216" s="39">
        <v>3.89612028165667</v>
      </c>
      <c r="B3216" s="45">
        <v>7.5</v>
      </c>
      <c r="D3216" s="2"/>
      <c r="E3216" s="31"/>
      <c r="G3216" s="43"/>
      <c r="H3216" s="2"/>
    </row>
    <row r="3217" spans="1:8">
      <c r="A3217" s="39">
        <v>3.89596364944486</v>
      </c>
      <c r="B3217" s="45">
        <v>21.7</v>
      </c>
      <c r="D3217" s="2"/>
      <c r="E3217" s="31"/>
      <c r="G3217" s="43"/>
      <c r="H3217" s="2"/>
    </row>
    <row r="3218" spans="1:8">
      <c r="A3218" s="39">
        <v>3.89596364944486</v>
      </c>
      <c r="B3218" s="45">
        <v>21.4</v>
      </c>
      <c r="D3218" s="2"/>
      <c r="E3218" s="31"/>
      <c r="G3218" s="43"/>
      <c r="H3218" s="2"/>
    </row>
    <row r="3219" spans="1:8">
      <c r="A3219" s="39">
        <v>3.89596225580356</v>
      </c>
      <c r="B3219" s="45">
        <v>3.3</v>
      </c>
      <c r="D3219" s="2"/>
      <c r="E3219" s="31"/>
      <c r="G3219" s="43"/>
      <c r="H3219" s="2"/>
    </row>
    <row r="3220" spans="1:8">
      <c r="A3220" s="39">
        <v>3.89530548467537</v>
      </c>
      <c r="B3220" s="45">
        <v>7.8</v>
      </c>
      <c r="D3220" s="2"/>
      <c r="E3220" s="31"/>
      <c r="G3220" s="43"/>
      <c r="H3220" s="2"/>
    </row>
    <row r="3221" spans="1:8">
      <c r="A3221" s="39">
        <v>3.89527779300388</v>
      </c>
      <c r="B3221" s="45">
        <v>3</v>
      </c>
      <c r="D3221" s="2"/>
      <c r="E3221" s="31"/>
      <c r="G3221" s="43"/>
      <c r="H3221" s="2"/>
    </row>
    <row r="3222" spans="1:8">
      <c r="A3222" s="39">
        <v>3.89525989878564</v>
      </c>
      <c r="B3222" s="45">
        <v>7.5</v>
      </c>
      <c r="D3222" s="2"/>
      <c r="E3222" s="31"/>
      <c r="G3222" s="43"/>
      <c r="H3222" s="2"/>
    </row>
    <row r="3223" spans="1:8">
      <c r="A3223" s="39">
        <v>3.89525989878564</v>
      </c>
      <c r="B3223" s="45">
        <v>11</v>
      </c>
      <c r="D3223" s="2"/>
      <c r="E3223" s="31"/>
      <c r="G3223" s="43"/>
      <c r="H3223" s="2"/>
    </row>
    <row r="3224" spans="1:8">
      <c r="A3224" s="39">
        <v>3.89517085841943</v>
      </c>
      <c r="B3224" s="45">
        <v>2</v>
      </c>
      <c r="D3224" s="2"/>
      <c r="E3224" s="31"/>
      <c r="G3224" s="43"/>
      <c r="H3224" s="2"/>
    </row>
    <row r="3225" spans="1:8">
      <c r="A3225" s="39">
        <v>3.8949128931561</v>
      </c>
      <c r="B3225" s="45">
        <v>3.5</v>
      </c>
      <c r="D3225" s="2"/>
      <c r="E3225" s="31"/>
      <c r="G3225" s="43"/>
      <c r="H3225" s="2"/>
    </row>
    <row r="3226" spans="1:8">
      <c r="A3226" s="39">
        <v>3.89482499799908</v>
      </c>
      <c r="B3226" s="45">
        <v>4.3</v>
      </c>
      <c r="D3226" s="2"/>
      <c r="E3226" s="31"/>
      <c r="G3226" s="43"/>
      <c r="H3226" s="2"/>
    </row>
    <row r="3227" spans="1:8">
      <c r="A3227" s="39">
        <v>3.89449866444504</v>
      </c>
      <c r="B3227" s="45">
        <v>8.9</v>
      </c>
      <c r="D3227" s="2"/>
      <c r="E3227" s="31"/>
      <c r="G3227" s="43"/>
      <c r="H3227" s="2"/>
    </row>
    <row r="3228" spans="1:8">
      <c r="A3228" s="39">
        <v>3.89409857099306</v>
      </c>
      <c r="B3228" s="45">
        <v>14.6</v>
      </c>
      <c r="D3228" s="2"/>
      <c r="E3228" s="31"/>
      <c r="G3228" s="43"/>
      <c r="H3228" s="2"/>
    </row>
    <row r="3229" spans="1:8">
      <c r="A3229" s="39">
        <v>3.89386402464651</v>
      </c>
      <c r="B3229" s="45">
        <v>3.1</v>
      </c>
      <c r="D3229" s="2"/>
      <c r="E3229" s="31"/>
      <c r="G3229" s="43"/>
      <c r="H3229" s="2"/>
    </row>
    <row r="3230" spans="1:8">
      <c r="A3230" s="39">
        <v>3.89385239746719</v>
      </c>
      <c r="B3230" s="45">
        <v>13</v>
      </c>
      <c r="D3230" s="2"/>
      <c r="E3230" s="31"/>
      <c r="G3230" s="43"/>
      <c r="H3230" s="2"/>
    </row>
    <row r="3231" spans="1:8">
      <c r="A3231" s="39">
        <v>3.89338234907454</v>
      </c>
      <c r="B3231" s="45">
        <v>7</v>
      </c>
      <c r="D3231" s="2"/>
      <c r="E3231" s="31"/>
      <c r="G3231" s="43"/>
      <c r="H3231" s="2"/>
    </row>
    <row r="3232" spans="1:8">
      <c r="A3232" s="39">
        <v>3.89325190040992</v>
      </c>
      <c r="B3232" s="45">
        <v>4.4</v>
      </c>
      <c r="D3232" s="2"/>
      <c r="E3232" s="31"/>
      <c r="G3232" s="43"/>
      <c r="H3232" s="2"/>
    </row>
    <row r="3233" spans="1:8">
      <c r="A3233" s="39">
        <v>3.89314864680797</v>
      </c>
      <c r="B3233" s="45">
        <v>11.5</v>
      </c>
      <c r="D3233" s="2"/>
      <c r="E3233" s="31"/>
      <c r="G3233" s="43"/>
      <c r="H3233" s="2"/>
    </row>
    <row r="3234" spans="1:8">
      <c r="A3234" s="39">
        <v>3.89273046157607</v>
      </c>
      <c r="B3234" s="45">
        <v>6.5</v>
      </c>
      <c r="D3234" s="2"/>
      <c r="E3234" s="31"/>
      <c r="G3234" s="43"/>
      <c r="H3234" s="2"/>
    </row>
    <row r="3235" spans="1:8">
      <c r="A3235" s="39">
        <v>3.89244489614875</v>
      </c>
      <c r="B3235" s="45">
        <v>15</v>
      </c>
      <c r="D3235" s="2"/>
      <c r="E3235" s="31"/>
      <c r="G3235" s="43"/>
      <c r="H3235" s="2"/>
    </row>
    <row r="3236" spans="1:8">
      <c r="A3236" s="39">
        <v>3.89235596539664</v>
      </c>
      <c r="B3236" s="45">
        <v>16</v>
      </c>
      <c r="D3236" s="2"/>
      <c r="E3236" s="31"/>
      <c r="G3236" s="43"/>
      <c r="H3236" s="2"/>
    </row>
    <row r="3237" spans="1:8">
      <c r="A3237" s="39">
        <v>3.89209302081914</v>
      </c>
      <c r="B3237" s="45">
        <v>6.7</v>
      </c>
      <c r="D3237" s="2"/>
      <c r="E3237" s="31"/>
      <c r="G3237" s="43"/>
      <c r="H3237" s="2"/>
    </row>
    <row r="3238" spans="1:8">
      <c r="A3238" s="39">
        <v>3.89194207794135</v>
      </c>
      <c r="B3238" s="45">
        <v>1.4</v>
      </c>
      <c r="D3238" s="2"/>
      <c r="E3238" s="31"/>
      <c r="G3238" s="43"/>
      <c r="H3238" s="2"/>
    </row>
    <row r="3239" spans="1:8">
      <c r="A3239" s="39">
        <v>3.8916164238712</v>
      </c>
      <c r="B3239" s="45">
        <v>7.6</v>
      </c>
      <c r="D3239" s="2"/>
      <c r="E3239" s="31"/>
      <c r="G3239" s="43"/>
      <c r="H3239" s="2"/>
    </row>
    <row r="3240" spans="1:8">
      <c r="A3240" s="39">
        <v>3.89140156087815</v>
      </c>
      <c r="B3240" s="45">
        <v>2</v>
      </c>
      <c r="D3240" s="2"/>
      <c r="E3240" s="31"/>
      <c r="G3240" s="43"/>
      <c r="H3240" s="2"/>
    </row>
    <row r="3241" spans="1:8">
      <c r="A3241" s="39">
        <v>3.89140156087815</v>
      </c>
      <c r="B3241" s="45">
        <v>12.9</v>
      </c>
      <c r="D3241" s="2"/>
      <c r="E3241" s="31"/>
      <c r="G3241" s="43"/>
      <c r="H3241" s="2"/>
    </row>
    <row r="3242" spans="1:8">
      <c r="A3242" s="39">
        <v>3.89140156087815</v>
      </c>
      <c r="B3242" s="45">
        <v>10</v>
      </c>
      <c r="D3242" s="2"/>
      <c r="E3242" s="31"/>
      <c r="G3242" s="43"/>
      <c r="H3242" s="2"/>
    </row>
    <row r="3243" spans="1:8">
      <c r="A3243" s="39">
        <v>3.8903360608998</v>
      </c>
      <c r="B3243" s="45">
        <v>22.5</v>
      </c>
      <c r="D3243" s="2"/>
      <c r="E3243" s="31"/>
      <c r="G3243" s="43"/>
      <c r="H3243" s="2"/>
    </row>
    <row r="3244" spans="1:8">
      <c r="A3244" s="39">
        <v>3.8898205528027</v>
      </c>
      <c r="B3244" s="45">
        <v>10</v>
      </c>
      <c r="D3244" s="2"/>
      <c r="E3244" s="31"/>
      <c r="G3244" s="43"/>
      <c r="H3244" s="2"/>
    </row>
    <row r="3245" spans="1:8">
      <c r="A3245" s="39">
        <v>3.8898020906064</v>
      </c>
      <c r="B3245" s="45">
        <v>4.2</v>
      </c>
      <c r="D3245" s="2"/>
      <c r="E3245" s="31"/>
      <c r="G3245" s="43"/>
      <c r="H3245" s="2"/>
    </row>
    <row r="3246" spans="1:8">
      <c r="A3246" s="39">
        <v>3.88980123948194</v>
      </c>
      <c r="B3246" s="45">
        <v>0.7</v>
      </c>
      <c r="D3246" s="2"/>
      <c r="E3246" s="31"/>
      <c r="G3246" s="43"/>
      <c r="H3246" s="2"/>
    </row>
    <row r="3247" spans="1:8">
      <c r="A3247" s="39">
        <v>3.88911762780672</v>
      </c>
      <c r="B3247" s="45">
        <v>3</v>
      </c>
      <c r="D3247" s="2"/>
      <c r="E3247" s="31"/>
      <c r="G3247" s="43"/>
      <c r="H3247" s="2"/>
    </row>
    <row r="3248" spans="1:8">
      <c r="A3248" s="39">
        <v>3.88880122376811</v>
      </c>
      <c r="B3248" s="45">
        <v>9.3</v>
      </c>
      <c r="D3248" s="2"/>
      <c r="E3248" s="31"/>
      <c r="G3248" s="43"/>
      <c r="H3248" s="2"/>
    </row>
    <row r="3249" spans="1:8">
      <c r="A3249" s="39">
        <v>3.88862068320908</v>
      </c>
      <c r="B3249" s="45">
        <v>7.9</v>
      </c>
      <c r="D3249" s="2"/>
      <c r="E3249" s="31"/>
      <c r="G3249" s="43"/>
      <c r="H3249" s="2"/>
    </row>
    <row r="3250" spans="1:8">
      <c r="A3250" s="39">
        <v>3.88843316500704</v>
      </c>
      <c r="B3250" s="45">
        <v>7.5</v>
      </c>
      <c r="D3250" s="2"/>
      <c r="E3250" s="31"/>
      <c r="G3250" s="43"/>
      <c r="H3250" s="2"/>
    </row>
    <row r="3251" spans="1:8">
      <c r="A3251" s="39">
        <v>3.88809818453104</v>
      </c>
      <c r="B3251" s="45">
        <v>11</v>
      </c>
      <c r="D3251" s="2"/>
      <c r="E3251" s="31"/>
      <c r="G3251" s="43"/>
      <c r="H3251" s="2"/>
    </row>
    <row r="3252" spans="1:8">
      <c r="A3252" s="39">
        <v>3.8878837507526</v>
      </c>
      <c r="B3252" s="45">
        <v>3.7</v>
      </c>
      <c r="D3252" s="2"/>
      <c r="E3252" s="31"/>
      <c r="G3252" s="43"/>
      <c r="H3252" s="2"/>
    </row>
    <row r="3253" spans="1:8">
      <c r="A3253" s="39">
        <v>3.8878837507526</v>
      </c>
      <c r="B3253" s="45">
        <v>16</v>
      </c>
      <c r="D3253" s="2"/>
      <c r="E3253" s="31"/>
      <c r="G3253" s="43"/>
      <c r="H3253" s="2"/>
    </row>
    <row r="3254" spans="1:8">
      <c r="A3254" s="39">
        <v>3.88751864153421</v>
      </c>
      <c r="B3254" s="45">
        <v>2</v>
      </c>
      <c r="D3254" s="2"/>
      <c r="E3254" s="31"/>
      <c r="G3254" s="43"/>
      <c r="H3254" s="2"/>
    </row>
    <row r="3255" spans="1:8">
      <c r="A3255" s="39">
        <v>3.88751864153421</v>
      </c>
      <c r="B3255" s="45">
        <v>12.1</v>
      </c>
      <c r="D3255" s="2"/>
      <c r="E3255" s="31"/>
      <c r="G3255" s="43"/>
      <c r="H3255" s="2"/>
    </row>
    <row r="3256" spans="1:8">
      <c r="A3256" s="39">
        <v>3.88696955340508</v>
      </c>
      <c r="B3256" s="45">
        <v>6.5</v>
      </c>
      <c r="D3256" s="2"/>
      <c r="E3256" s="31"/>
      <c r="G3256" s="43"/>
      <c r="H3256" s="2"/>
    </row>
    <row r="3257" spans="1:8">
      <c r="A3257" s="39">
        <v>3.88691064402933</v>
      </c>
      <c r="B3257" s="45">
        <v>17</v>
      </c>
      <c r="D3257" s="2"/>
      <c r="E3257" s="31"/>
      <c r="G3257" s="43"/>
      <c r="H3257" s="2"/>
    </row>
    <row r="3258" spans="1:8">
      <c r="A3258" s="39">
        <v>3.88622012988935</v>
      </c>
      <c r="B3258" s="45">
        <v>8</v>
      </c>
      <c r="D3258" s="2"/>
      <c r="E3258" s="31"/>
      <c r="G3258" s="43"/>
      <c r="H3258" s="2"/>
    </row>
    <row r="3259" spans="1:8">
      <c r="A3259" s="39">
        <v>3.8856953138083</v>
      </c>
      <c r="B3259" s="45">
        <v>2.3</v>
      </c>
      <c r="D3259" s="2"/>
      <c r="E3259" s="31"/>
      <c r="G3259" s="43"/>
      <c r="H3259" s="2"/>
    </row>
    <row r="3260" spans="1:8">
      <c r="A3260" s="39">
        <v>3.88566651111291</v>
      </c>
      <c r="B3260" s="45">
        <v>6</v>
      </c>
      <c r="D3260" s="2"/>
      <c r="E3260" s="31"/>
      <c r="G3260" s="43"/>
      <c r="H3260" s="2"/>
    </row>
    <row r="3261" spans="1:8">
      <c r="A3261" s="39">
        <v>3.88566651111291</v>
      </c>
      <c r="B3261" s="45">
        <v>1.7</v>
      </c>
      <c r="D3261" s="2"/>
      <c r="E3261" s="31"/>
      <c r="G3261" s="43"/>
      <c r="H3261" s="2"/>
    </row>
    <row r="3262" spans="1:8">
      <c r="A3262" s="39">
        <v>3.88566651111291</v>
      </c>
      <c r="B3262" s="45">
        <v>4.5</v>
      </c>
      <c r="D3262" s="2"/>
      <c r="E3262" s="31"/>
      <c r="G3262" s="43"/>
      <c r="H3262" s="2"/>
    </row>
    <row r="3263" spans="1:8">
      <c r="A3263" s="39">
        <v>3.88562295040719</v>
      </c>
      <c r="B3263" s="45">
        <v>17</v>
      </c>
      <c r="D3263" s="2"/>
      <c r="E3263" s="31"/>
      <c r="G3263" s="43"/>
      <c r="H3263" s="2"/>
    </row>
    <row r="3264" spans="1:8">
      <c r="A3264" s="39">
        <v>3.88545568964265</v>
      </c>
      <c r="B3264" s="45">
        <v>12.7</v>
      </c>
      <c r="D3264" s="2"/>
      <c r="E3264" s="31"/>
      <c r="G3264" s="43"/>
      <c r="H3264" s="2"/>
    </row>
    <row r="3265" spans="1:8">
      <c r="A3265" s="39">
        <v>3.88506950265217</v>
      </c>
      <c r="B3265" s="45">
        <v>8.2</v>
      </c>
      <c r="D3265" s="2"/>
      <c r="E3265" s="31"/>
      <c r="G3265" s="43"/>
      <c r="H3265" s="2"/>
    </row>
    <row r="3266" spans="1:8">
      <c r="A3266" s="39">
        <v>3.88470363889733</v>
      </c>
      <c r="B3266" s="45">
        <v>18</v>
      </c>
      <c r="D3266" s="2"/>
      <c r="E3266" s="31"/>
      <c r="G3266" s="43"/>
      <c r="H3266" s="2"/>
    </row>
    <row r="3267" spans="1:8">
      <c r="A3267" s="39">
        <v>3.88470363889733</v>
      </c>
      <c r="B3267" s="45">
        <v>8</v>
      </c>
      <c r="D3267" s="2"/>
      <c r="E3267" s="31"/>
      <c r="G3267" s="43"/>
      <c r="H3267" s="2"/>
    </row>
    <row r="3268" spans="1:8">
      <c r="A3268" s="39">
        <v>3.88436594062706</v>
      </c>
      <c r="B3268" s="45">
        <v>25</v>
      </c>
      <c r="D3268" s="2"/>
      <c r="E3268" s="31"/>
      <c r="G3268" s="43"/>
      <c r="H3268" s="2"/>
    </row>
    <row r="3269" spans="1:8">
      <c r="A3269" s="39">
        <v>3.88425389973552</v>
      </c>
      <c r="B3269" s="45">
        <v>1</v>
      </c>
      <c r="D3269" s="2"/>
      <c r="E3269" s="31"/>
      <c r="G3269" s="43"/>
      <c r="H3269" s="2"/>
    </row>
    <row r="3270" spans="1:8">
      <c r="A3270" s="39">
        <v>3.88425389973552</v>
      </c>
      <c r="B3270" s="45">
        <v>7.1</v>
      </c>
      <c r="D3270" s="2"/>
      <c r="E3270" s="31"/>
      <c r="G3270" s="43"/>
      <c r="H3270" s="2"/>
    </row>
    <row r="3271" spans="1:8">
      <c r="A3271" s="39">
        <v>3.88360304591036</v>
      </c>
      <c r="B3271" s="45">
        <v>10.5</v>
      </c>
      <c r="D3271" s="2"/>
      <c r="E3271" s="31"/>
      <c r="G3271" s="43"/>
      <c r="H3271" s="2"/>
    </row>
    <row r="3272" spans="1:8">
      <c r="A3272" s="39">
        <v>3.88357575700416</v>
      </c>
      <c r="B3272" s="45">
        <v>7.5</v>
      </c>
      <c r="D3272" s="2"/>
      <c r="E3272" s="31"/>
      <c r="G3272" s="43"/>
      <c r="H3272" s="2"/>
    </row>
    <row r="3273" spans="1:8">
      <c r="A3273" s="39">
        <v>3.88329613757889</v>
      </c>
      <c r="B3273" s="45">
        <v>14</v>
      </c>
      <c r="D3273" s="2"/>
      <c r="E3273" s="31"/>
      <c r="G3273" s="43"/>
      <c r="H3273" s="2"/>
    </row>
    <row r="3274" spans="1:8">
      <c r="A3274" s="39">
        <v>3.88263902029674</v>
      </c>
      <c r="B3274" s="45">
        <v>8</v>
      </c>
      <c r="D3274" s="2"/>
      <c r="E3274" s="31"/>
      <c r="G3274" s="43"/>
      <c r="H3274" s="2"/>
    </row>
    <row r="3275" spans="1:8">
      <c r="A3275" s="39">
        <v>3.88188863626045</v>
      </c>
      <c r="B3275" s="45">
        <v>14</v>
      </c>
      <c r="D3275" s="2"/>
      <c r="E3275" s="31"/>
      <c r="G3275" s="43"/>
      <c r="H3275" s="2"/>
    </row>
    <row r="3276" spans="1:8">
      <c r="A3276" s="39">
        <v>3.88158314141353</v>
      </c>
      <c r="B3276" s="45">
        <v>9.1</v>
      </c>
      <c r="D3276" s="2"/>
      <c r="E3276" s="31"/>
      <c r="G3276" s="43"/>
      <c r="H3276" s="2"/>
    </row>
    <row r="3277" spans="1:8">
      <c r="A3277" s="39">
        <v>3.88109082648259</v>
      </c>
      <c r="B3277" s="45">
        <v>15</v>
      </c>
      <c r="D3277" s="2"/>
      <c r="E3277" s="31"/>
      <c r="G3277" s="43"/>
      <c r="H3277" s="2"/>
    </row>
    <row r="3278" spans="1:8">
      <c r="A3278" s="39">
        <v>3.88098582636956</v>
      </c>
      <c r="B3278" s="45">
        <v>4.5</v>
      </c>
      <c r="D3278" s="2"/>
      <c r="E3278" s="31"/>
      <c r="G3278" s="43"/>
      <c r="H3278" s="2"/>
    </row>
    <row r="3279" spans="1:8">
      <c r="A3279" s="39">
        <v>3.88090407421051</v>
      </c>
      <c r="B3279" s="45">
        <v>15.7</v>
      </c>
      <c r="D3279" s="2"/>
      <c r="E3279" s="31"/>
      <c r="G3279" s="43"/>
      <c r="H3279" s="2"/>
    </row>
    <row r="3280" spans="1:8">
      <c r="A3280" s="39">
        <v>3.88061491350755</v>
      </c>
      <c r="B3280" s="45">
        <v>5</v>
      </c>
      <c r="D3280" s="2"/>
      <c r="E3280" s="31"/>
      <c r="G3280" s="43"/>
      <c r="H3280" s="2"/>
    </row>
    <row r="3281" spans="1:8">
      <c r="A3281" s="39">
        <v>3.8803046832792</v>
      </c>
      <c r="B3281" s="45">
        <v>3</v>
      </c>
      <c r="D3281" s="2"/>
      <c r="E3281" s="31"/>
      <c r="G3281" s="43"/>
      <c r="H3281" s="2"/>
    </row>
    <row r="3282" spans="1:8">
      <c r="A3282" s="39">
        <v>3.88023653841564</v>
      </c>
      <c r="B3282" s="45">
        <v>9</v>
      </c>
      <c r="D3282" s="2"/>
      <c r="E3282" s="31"/>
      <c r="G3282" s="43"/>
      <c r="H3282" s="2"/>
    </row>
    <row r="3283" spans="1:8">
      <c r="A3283" s="39">
        <v>3.88023653841564</v>
      </c>
      <c r="B3283" s="45">
        <v>9.3</v>
      </c>
      <c r="D3283" s="2"/>
      <c r="E3283" s="31"/>
      <c r="G3283" s="43"/>
      <c r="H3283" s="2"/>
    </row>
    <row r="3284" spans="1:8">
      <c r="A3284" s="39">
        <v>3.87965110324159</v>
      </c>
      <c r="B3284" s="45">
        <v>10.5</v>
      </c>
      <c r="D3284" s="2"/>
      <c r="E3284" s="31"/>
      <c r="G3284" s="43"/>
      <c r="H3284" s="2"/>
    </row>
    <row r="3285" spans="1:8">
      <c r="A3285" s="39">
        <v>3.87953514861114</v>
      </c>
      <c r="B3285" s="45">
        <v>7.5</v>
      </c>
      <c r="D3285" s="2"/>
      <c r="E3285" s="31"/>
      <c r="G3285" s="43"/>
      <c r="H3285" s="2"/>
    </row>
    <row r="3286" spans="1:8">
      <c r="A3286" s="39">
        <v>3.87907363362356</v>
      </c>
      <c r="B3286" s="45">
        <v>25.5</v>
      </c>
      <c r="D3286" s="2"/>
      <c r="E3286" s="31"/>
      <c r="G3286" s="43"/>
      <c r="H3286" s="2"/>
    </row>
    <row r="3287" spans="1:8">
      <c r="A3287" s="39">
        <v>3.87907363362356</v>
      </c>
      <c r="B3287" s="45">
        <v>11</v>
      </c>
      <c r="D3287" s="2"/>
      <c r="E3287" s="31"/>
      <c r="G3287" s="43"/>
      <c r="H3287" s="2"/>
    </row>
    <row r="3288" spans="1:8">
      <c r="A3288" s="39">
        <v>3.87873744442618</v>
      </c>
      <c r="B3288" s="45">
        <v>8</v>
      </c>
      <c r="D3288" s="2"/>
      <c r="E3288" s="31"/>
      <c r="G3288" s="43"/>
      <c r="H3288" s="2"/>
    </row>
    <row r="3289" spans="1:8">
      <c r="A3289" s="39">
        <v>3.87873744442618</v>
      </c>
      <c r="B3289" s="45">
        <v>12.6</v>
      </c>
      <c r="D3289" s="2"/>
      <c r="E3289" s="31"/>
      <c r="G3289" s="43"/>
      <c r="H3289" s="2"/>
    </row>
    <row r="3290" spans="1:8">
      <c r="A3290" s="39">
        <v>3.87834887173229</v>
      </c>
      <c r="B3290" s="45">
        <v>13</v>
      </c>
      <c r="D3290" s="2"/>
      <c r="E3290" s="31"/>
      <c r="G3290" s="43"/>
      <c r="H3290" s="2"/>
    </row>
    <row r="3291" spans="1:8">
      <c r="A3291" s="39">
        <v>3.87770372452517</v>
      </c>
      <c r="B3291" s="45">
        <v>16</v>
      </c>
      <c r="D3291" s="2"/>
      <c r="E3291" s="31"/>
      <c r="G3291" s="43"/>
      <c r="H3291" s="2"/>
    </row>
    <row r="3292" spans="1:8">
      <c r="A3292" s="39">
        <v>3.87733032037597</v>
      </c>
      <c r="B3292" s="45">
        <v>25</v>
      </c>
      <c r="D3292" s="2"/>
      <c r="E3292" s="31"/>
      <c r="G3292" s="43"/>
      <c r="H3292" s="2"/>
    </row>
    <row r="3293" spans="1:8">
      <c r="A3293" s="39">
        <v>3.87733032037597</v>
      </c>
      <c r="B3293" s="45">
        <v>12</v>
      </c>
      <c r="D3293" s="2"/>
      <c r="E3293" s="31"/>
      <c r="G3293" s="43"/>
      <c r="H3293" s="2"/>
    </row>
    <row r="3294" spans="1:8">
      <c r="A3294" s="39">
        <v>3.87697592727958</v>
      </c>
      <c r="B3294" s="45">
        <v>2.8</v>
      </c>
      <c r="D3294" s="2"/>
      <c r="E3294" s="31"/>
      <c r="G3294" s="43"/>
      <c r="H3294" s="2"/>
    </row>
    <row r="3295" spans="1:8">
      <c r="A3295" s="39">
        <v>3.876510217958</v>
      </c>
      <c r="B3295" s="45">
        <v>6.3</v>
      </c>
      <c r="D3295" s="2"/>
      <c r="E3295" s="31"/>
      <c r="G3295" s="43"/>
      <c r="H3295" s="2"/>
    </row>
    <row r="3296" spans="1:8">
      <c r="A3296" s="39">
        <v>3.87547680111154</v>
      </c>
      <c r="B3296" s="45">
        <v>13.5</v>
      </c>
      <c r="D3296" s="2"/>
      <c r="E3296" s="31"/>
      <c r="G3296" s="43"/>
      <c r="H3296" s="2"/>
    </row>
    <row r="3297" spans="1:8">
      <c r="A3297" s="39">
        <v>3.87521274056916</v>
      </c>
      <c r="B3297" s="45">
        <v>5</v>
      </c>
      <c r="D3297" s="2"/>
      <c r="E3297" s="31"/>
      <c r="G3297" s="43"/>
      <c r="H3297" s="2"/>
    </row>
    <row r="3298" spans="1:8">
      <c r="A3298" s="39">
        <v>3.87521274056916</v>
      </c>
      <c r="B3298" s="45">
        <v>3.7</v>
      </c>
      <c r="D3298" s="2"/>
      <c r="E3298" s="31"/>
      <c r="G3298" s="43"/>
      <c r="H3298" s="2"/>
    </row>
    <row r="3299" spans="1:8">
      <c r="A3299" s="39">
        <v>3.87485112966824</v>
      </c>
      <c r="B3299" s="45">
        <v>26</v>
      </c>
      <c r="D3299" s="2"/>
      <c r="E3299" s="31"/>
      <c r="G3299" s="43"/>
      <c r="H3299" s="2"/>
    </row>
    <row r="3300" spans="1:8">
      <c r="A3300" s="39">
        <v>3.87454353174251</v>
      </c>
      <c r="B3300" s="45">
        <v>4</v>
      </c>
      <c r="D3300" s="2"/>
      <c r="E3300" s="31"/>
      <c r="G3300" s="43"/>
      <c r="H3300" s="2"/>
    </row>
    <row r="3301" spans="1:8">
      <c r="A3301" s="39">
        <v>3.87454353174251</v>
      </c>
      <c r="B3301" s="45">
        <v>7.7</v>
      </c>
      <c r="D3301" s="2"/>
      <c r="E3301" s="31"/>
      <c r="G3301" s="43"/>
      <c r="H3301" s="2"/>
    </row>
    <row r="3302" spans="1:8">
      <c r="A3302" s="39">
        <v>3.87451607227553</v>
      </c>
      <c r="B3302" s="45">
        <v>11.4</v>
      </c>
      <c r="D3302" s="2"/>
      <c r="E3302" s="31"/>
      <c r="G3302" s="43"/>
      <c r="H3302" s="2"/>
    </row>
    <row r="3303" spans="1:8">
      <c r="A3303" s="39">
        <v>3.8740647382972</v>
      </c>
      <c r="B3303" s="45">
        <v>7.9</v>
      </c>
      <c r="D3303" s="2"/>
      <c r="E3303" s="31"/>
      <c r="G3303" s="43"/>
      <c r="H3303" s="2"/>
    </row>
    <row r="3304" spans="1:8">
      <c r="A3304" s="39">
        <v>3.8740647382972</v>
      </c>
      <c r="B3304" s="45">
        <v>5.4</v>
      </c>
      <c r="D3304" s="2"/>
      <c r="E3304" s="31"/>
      <c r="G3304" s="43"/>
      <c r="H3304" s="2"/>
    </row>
    <row r="3305" spans="1:8">
      <c r="A3305" s="39">
        <v>3.87405944621366</v>
      </c>
      <c r="B3305" s="45">
        <v>9.2</v>
      </c>
      <c r="D3305" s="2"/>
      <c r="E3305" s="31"/>
      <c r="G3305" s="43"/>
      <c r="H3305" s="2"/>
    </row>
    <row r="3306" spans="1:8">
      <c r="A3306" s="39">
        <v>3.87405944621366</v>
      </c>
      <c r="B3306" s="45">
        <v>11.1</v>
      </c>
      <c r="D3306" s="2"/>
      <c r="E3306" s="31"/>
      <c r="G3306" s="43"/>
      <c r="H3306" s="2"/>
    </row>
    <row r="3307" spans="1:8">
      <c r="A3307" s="39">
        <v>3.87405944621366</v>
      </c>
      <c r="B3307" s="45">
        <v>4.4</v>
      </c>
      <c r="D3307" s="2"/>
      <c r="E3307" s="31"/>
      <c r="G3307" s="43"/>
      <c r="H3307" s="2"/>
    </row>
    <row r="3308" spans="1:8">
      <c r="A3308" s="39">
        <v>3.87404435727451</v>
      </c>
      <c r="B3308" s="45">
        <v>9</v>
      </c>
      <c r="D3308" s="2"/>
      <c r="E3308" s="31"/>
      <c r="G3308" s="43"/>
      <c r="H3308" s="2"/>
    </row>
    <row r="3309" spans="1:8">
      <c r="A3309" s="39">
        <v>3.87376888290312</v>
      </c>
      <c r="B3309" s="45">
        <v>12.4</v>
      </c>
      <c r="D3309" s="2"/>
      <c r="E3309" s="31"/>
      <c r="G3309" s="43"/>
      <c r="H3309" s="2"/>
    </row>
    <row r="3310" spans="1:8">
      <c r="A3310" s="39">
        <v>3.87333694105161</v>
      </c>
      <c r="B3310" s="45">
        <v>15</v>
      </c>
      <c r="D3310" s="2"/>
      <c r="E3310" s="31"/>
      <c r="G3310" s="43"/>
      <c r="H3310" s="2"/>
    </row>
    <row r="3311" spans="1:8">
      <c r="A3311" s="39">
        <v>3.87312198646041</v>
      </c>
      <c r="B3311" s="45">
        <v>4.6</v>
      </c>
      <c r="D3311" s="2"/>
      <c r="E3311" s="31"/>
      <c r="G3311" s="43"/>
      <c r="H3311" s="2"/>
    </row>
    <row r="3312" spans="1:8">
      <c r="A3312" s="39">
        <v>3.87283022192725</v>
      </c>
      <c r="B3312" s="45">
        <v>8.5</v>
      </c>
      <c r="D3312" s="2"/>
      <c r="E3312" s="31"/>
      <c r="G3312" s="43"/>
      <c r="H3312" s="2"/>
    </row>
    <row r="3313" spans="1:8">
      <c r="A3313" s="39">
        <v>3.87283022192725</v>
      </c>
      <c r="B3313" s="45">
        <v>9.1</v>
      </c>
      <c r="D3313" s="2"/>
      <c r="E3313" s="31"/>
      <c r="G3313" s="43"/>
      <c r="H3313" s="2"/>
    </row>
    <row r="3314" spans="1:8">
      <c r="A3314" s="39">
        <v>3.87188134656042</v>
      </c>
      <c r="B3314" s="45">
        <v>12</v>
      </c>
      <c r="D3314" s="2"/>
      <c r="E3314" s="31"/>
      <c r="G3314" s="43"/>
      <c r="H3314" s="2"/>
    </row>
    <row r="3315" spans="1:8">
      <c r="A3315" s="39">
        <v>3.87176163753721</v>
      </c>
      <c r="B3315" s="45">
        <v>9</v>
      </c>
      <c r="D3315" s="44"/>
      <c r="E3315" s="31"/>
      <c r="G3315" s="43"/>
      <c r="H3315" s="2"/>
    </row>
    <row r="3316" spans="1:8">
      <c r="A3316" s="39">
        <v>3.87163362296914</v>
      </c>
      <c r="B3316" s="45">
        <v>9</v>
      </c>
      <c r="D3316" s="2"/>
      <c r="E3316" s="31"/>
      <c r="G3316" s="43"/>
      <c r="H3316" s="2"/>
    </row>
    <row r="3317" spans="1:8">
      <c r="A3317" s="39">
        <v>3.87133237637214</v>
      </c>
      <c r="B3317" s="45">
        <v>9</v>
      </c>
      <c r="D3317" s="2"/>
      <c r="E3317" s="31"/>
      <c r="G3317" s="43"/>
      <c r="H3317" s="2"/>
    </row>
    <row r="3318" spans="1:8">
      <c r="A3318" s="39">
        <v>3.87133237637214</v>
      </c>
      <c r="B3318" s="45">
        <v>13</v>
      </c>
      <c r="D3318" s="2"/>
      <c r="E3318" s="31"/>
      <c r="G3318" s="43"/>
      <c r="H3318" s="2"/>
    </row>
    <row r="3319" spans="1:8">
      <c r="A3319" s="39">
        <v>3.87099826214998</v>
      </c>
      <c r="B3319" s="45">
        <v>9.7</v>
      </c>
      <c r="D3319" s="2"/>
      <c r="E3319" s="31"/>
      <c r="G3319" s="43"/>
      <c r="H3319" s="2"/>
    </row>
    <row r="3320" spans="1:8">
      <c r="A3320" s="39">
        <v>3.8709061457758</v>
      </c>
      <c r="B3320" s="45">
        <v>15</v>
      </c>
      <c r="D3320" s="2"/>
      <c r="E3320" s="31"/>
      <c r="G3320" s="43"/>
      <c r="H3320" s="2"/>
    </row>
    <row r="3321" spans="1:8">
      <c r="A3321" s="39">
        <v>3.87063713221524</v>
      </c>
      <c r="B3321" s="45">
        <v>14.3</v>
      </c>
      <c r="D3321" s="2"/>
      <c r="E3321" s="31"/>
      <c r="G3321" s="43"/>
      <c r="H3321" s="2"/>
    </row>
    <row r="3322" spans="1:8">
      <c r="A3322" s="39">
        <v>3.87063713221524</v>
      </c>
      <c r="B3322" s="45">
        <v>13</v>
      </c>
      <c r="D3322" s="2"/>
      <c r="E3322" s="31"/>
      <c r="G3322" s="43"/>
      <c r="H3322" s="2"/>
    </row>
    <row r="3323" spans="1:8">
      <c r="A3323" s="39">
        <v>3.87062862571292</v>
      </c>
      <c r="B3323" s="45">
        <v>1</v>
      </c>
      <c r="D3323" s="2"/>
      <c r="E3323" s="31"/>
      <c r="G3323" s="43"/>
      <c r="H3323" s="2"/>
    </row>
    <row r="3324" spans="1:8">
      <c r="A3324" s="39">
        <v>3.87029470012487</v>
      </c>
      <c r="B3324" s="45">
        <v>8</v>
      </c>
      <c r="D3324" s="2"/>
      <c r="E3324" s="31"/>
      <c r="G3324" s="43"/>
      <c r="H3324" s="2"/>
    </row>
    <row r="3325" spans="1:8">
      <c r="A3325" s="39">
        <v>3.87029470012487</v>
      </c>
      <c r="B3325" s="45">
        <v>10.6</v>
      </c>
      <c r="D3325" s="2"/>
      <c r="E3325" s="31"/>
      <c r="G3325" s="43"/>
      <c r="H3325" s="2"/>
    </row>
    <row r="3326" spans="1:8">
      <c r="A3326" s="39">
        <v>3.86998585529728</v>
      </c>
      <c r="B3326" s="45">
        <v>9.6</v>
      </c>
      <c r="D3326" s="2"/>
      <c r="E3326" s="31"/>
      <c r="G3326" s="43"/>
      <c r="H3326" s="2"/>
    </row>
    <row r="3327" spans="1:8">
      <c r="A3327" s="39">
        <v>3.86983969083205</v>
      </c>
      <c r="B3327" s="45">
        <v>2.7</v>
      </c>
      <c r="D3327" s="2"/>
      <c r="E3327" s="31"/>
      <c r="G3327" s="43"/>
      <c r="H3327" s="2"/>
    </row>
    <row r="3328" spans="1:8">
      <c r="A3328" s="39">
        <v>3.86926820661587</v>
      </c>
      <c r="B3328" s="45">
        <v>4.2</v>
      </c>
      <c r="D3328" s="2"/>
      <c r="E3328" s="31"/>
      <c r="G3328" s="43"/>
      <c r="H3328" s="2"/>
    </row>
    <row r="3329" spans="1:8">
      <c r="A3329" s="39">
        <v>3.86926820661587</v>
      </c>
      <c r="B3329" s="45">
        <v>8.9</v>
      </c>
      <c r="D3329" s="2"/>
      <c r="E3329" s="31"/>
      <c r="G3329" s="43"/>
      <c r="H3329" s="2"/>
    </row>
    <row r="3330" spans="1:8">
      <c r="A3330" s="39">
        <v>3.86923935708721</v>
      </c>
      <c r="B3330" s="45">
        <v>7.6</v>
      </c>
      <c r="D3330" s="2"/>
      <c r="E3330" s="31"/>
      <c r="G3330" s="43"/>
      <c r="H3330" s="2"/>
    </row>
    <row r="3331" spans="1:8">
      <c r="A3331" s="39">
        <v>3.86922112439447</v>
      </c>
      <c r="B3331" s="45">
        <v>15.6</v>
      </c>
      <c r="D3331" s="2"/>
      <c r="E3331" s="31"/>
      <c r="G3331" s="43"/>
      <c r="H3331" s="2"/>
    </row>
    <row r="3332" spans="1:8">
      <c r="A3332" s="39">
        <v>3.86922112439447</v>
      </c>
      <c r="B3332" s="45">
        <v>15.5</v>
      </c>
      <c r="D3332" s="2"/>
      <c r="E3332" s="31"/>
      <c r="G3332" s="43"/>
      <c r="H3332" s="2"/>
    </row>
    <row r="3333" spans="1:8">
      <c r="A3333" s="39">
        <v>3.86897015757804</v>
      </c>
      <c r="B3333" s="45">
        <v>2</v>
      </c>
      <c r="D3333" s="2"/>
      <c r="E3333" s="31"/>
      <c r="G3333" s="43"/>
      <c r="H3333" s="2"/>
    </row>
    <row r="3334" spans="1:8">
      <c r="A3334" s="39">
        <v>3.86894047824291</v>
      </c>
      <c r="B3334" s="45">
        <v>11.7</v>
      </c>
      <c r="D3334" s="2"/>
      <c r="E3334" s="31"/>
      <c r="G3334" s="43"/>
      <c r="H3334" s="2"/>
    </row>
    <row r="3335" spans="1:8">
      <c r="A3335" s="39">
        <v>3.86879041293359</v>
      </c>
      <c r="B3335" s="45">
        <v>6</v>
      </c>
      <c r="D3335" s="2"/>
      <c r="E3335" s="31"/>
      <c r="G3335" s="43"/>
      <c r="H3335" s="2"/>
    </row>
    <row r="3336" spans="1:8">
      <c r="A3336" s="39">
        <v>3.8687197523292</v>
      </c>
      <c r="B3336" s="45">
        <v>8.8</v>
      </c>
      <c r="D3336" s="2"/>
      <c r="E3336" s="31"/>
      <c r="G3336" s="43"/>
      <c r="H3336" s="2"/>
    </row>
    <row r="3337" spans="1:8">
      <c r="A3337" s="39">
        <v>3.86851737373526</v>
      </c>
      <c r="B3337" s="45">
        <v>8.2</v>
      </c>
      <c r="D3337" s="2"/>
      <c r="E3337" s="31"/>
      <c r="G3337" s="43"/>
      <c r="H3337" s="2"/>
    </row>
    <row r="3338" spans="1:8">
      <c r="A3338" s="39">
        <v>3.86831458192635</v>
      </c>
      <c r="B3338" s="45">
        <v>10.5</v>
      </c>
      <c r="D3338" s="2"/>
      <c r="E3338" s="31"/>
      <c r="G3338" s="43"/>
      <c r="H3338" s="2"/>
    </row>
    <row r="3339" spans="1:8">
      <c r="A3339" s="39">
        <v>3.86811711143464</v>
      </c>
      <c r="B3339" s="45">
        <v>11.5</v>
      </c>
      <c r="D3339" s="2"/>
      <c r="E3339" s="31"/>
      <c r="G3339" s="43"/>
      <c r="H3339" s="2"/>
    </row>
    <row r="3340" spans="1:8">
      <c r="A3340" s="39">
        <v>3.86811711143464</v>
      </c>
      <c r="B3340" s="45">
        <v>21</v>
      </c>
      <c r="D3340" s="2"/>
      <c r="E3340" s="31"/>
      <c r="G3340" s="43"/>
      <c r="H3340" s="2"/>
    </row>
    <row r="3341" spans="1:8">
      <c r="A3341" s="39">
        <v>3.8679177441269</v>
      </c>
      <c r="B3341" s="45">
        <v>7.9</v>
      </c>
      <c r="D3341" s="2"/>
      <c r="E3341" s="31"/>
      <c r="G3341" s="43"/>
      <c r="H3341" s="2"/>
    </row>
    <row r="3342" spans="1:8">
      <c r="A3342" s="39">
        <v>3.86781362307603</v>
      </c>
      <c r="B3342" s="45">
        <v>8.3</v>
      </c>
      <c r="D3342" s="2"/>
      <c r="E3342" s="31"/>
      <c r="G3342" s="43"/>
      <c r="H3342" s="2"/>
    </row>
    <row r="3343" spans="1:8">
      <c r="A3343" s="39">
        <v>3.86723308252704</v>
      </c>
      <c r="B3343" s="45">
        <v>0</v>
      </c>
      <c r="D3343" s="2"/>
      <c r="E3343" s="31"/>
      <c r="G3343" s="43"/>
      <c r="H3343" s="2"/>
    </row>
    <row r="3344" spans="1:8">
      <c r="A3344" s="39">
        <v>3.86677688999933</v>
      </c>
      <c r="B3344" s="45">
        <v>3.8</v>
      </c>
      <c r="D3344" s="2"/>
      <c r="E3344" s="31"/>
      <c r="G3344" s="43"/>
      <c r="H3344" s="2"/>
    </row>
    <row r="3345" spans="1:8">
      <c r="A3345" s="39">
        <v>3.86677688999933</v>
      </c>
      <c r="B3345" s="45">
        <v>21</v>
      </c>
      <c r="D3345" s="2"/>
      <c r="E3345" s="31"/>
      <c r="G3345" s="43"/>
      <c r="H3345" s="2"/>
    </row>
    <row r="3346" spans="1:8">
      <c r="A3346" s="39">
        <v>3.86677050843676</v>
      </c>
      <c r="B3346" s="45">
        <v>9.4</v>
      </c>
      <c r="D3346" s="2"/>
      <c r="E3346" s="31"/>
      <c r="G3346" s="43"/>
      <c r="H3346" s="2"/>
    </row>
    <row r="3347" spans="1:8">
      <c r="A3347" s="39">
        <v>3.86599579742174</v>
      </c>
      <c r="B3347" s="45">
        <v>5.8</v>
      </c>
      <c r="D3347" s="2"/>
      <c r="E3347" s="31"/>
      <c r="G3347" s="43"/>
      <c r="H3347" s="2"/>
    </row>
    <row r="3348" spans="1:8">
      <c r="A3348" s="39">
        <v>3.86584589261745</v>
      </c>
      <c r="B3348" s="45">
        <v>7.8</v>
      </c>
      <c r="D3348" s="2"/>
      <c r="E3348" s="31"/>
      <c r="G3348" s="43"/>
      <c r="H3348" s="2"/>
    </row>
    <row r="3349" spans="1:8">
      <c r="A3349" s="39">
        <v>3.86544879925177</v>
      </c>
      <c r="B3349" s="45">
        <v>8.6</v>
      </c>
      <c r="D3349" s="2"/>
      <c r="E3349" s="31"/>
      <c r="G3349" s="43"/>
      <c r="H3349" s="2"/>
    </row>
    <row r="3350" spans="1:8">
      <c r="A3350" s="39">
        <v>3.86499862043915</v>
      </c>
      <c r="B3350" s="45">
        <v>5.9</v>
      </c>
      <c r="D3350" s="2"/>
      <c r="E3350" s="31"/>
      <c r="G3350" s="43"/>
      <c r="H3350" s="2"/>
    </row>
    <row r="3351" spans="1:8">
      <c r="A3351" s="39">
        <v>3.86499862043915</v>
      </c>
      <c r="B3351" s="45">
        <v>22</v>
      </c>
      <c r="D3351" s="2"/>
      <c r="E3351" s="31"/>
      <c r="G3351" s="43"/>
      <c r="H3351" s="2"/>
    </row>
    <row r="3352" spans="1:8">
      <c r="A3352" s="39">
        <v>3.86499862043915</v>
      </c>
      <c r="B3352" s="45">
        <v>8</v>
      </c>
      <c r="D3352" s="2"/>
      <c r="E3352" s="31"/>
      <c r="G3352" s="43"/>
      <c r="H3352" s="2"/>
    </row>
    <row r="3353" spans="1:8">
      <c r="A3353" s="39">
        <v>3.86481772774142</v>
      </c>
      <c r="B3353" s="45">
        <v>6.4</v>
      </c>
      <c r="D3353" s="2"/>
      <c r="E3353" s="31"/>
      <c r="G3353" s="43"/>
      <c r="H3353" s="2"/>
    </row>
    <row r="3354" spans="1:8">
      <c r="A3354" s="39">
        <v>3.864666203924</v>
      </c>
      <c r="B3354" s="45">
        <v>6.2</v>
      </c>
      <c r="D3354" s="2"/>
      <c r="E3354" s="31"/>
      <c r="G3354" s="43"/>
      <c r="H3354" s="2"/>
    </row>
    <row r="3355" spans="1:8">
      <c r="A3355" s="39">
        <v>3.86429486977993</v>
      </c>
      <c r="B3355" s="45">
        <v>7.3</v>
      </c>
      <c r="D3355" s="2"/>
      <c r="E3355" s="31"/>
      <c r="G3355" s="43"/>
      <c r="H3355" s="2"/>
    </row>
    <row r="3356" spans="1:8">
      <c r="A3356" s="39">
        <v>3.86401725041523</v>
      </c>
      <c r="B3356" s="45">
        <v>13</v>
      </c>
      <c r="D3356" s="2"/>
      <c r="E3356" s="31"/>
      <c r="G3356" s="43"/>
      <c r="H3356" s="2"/>
    </row>
    <row r="3357" spans="1:8">
      <c r="A3357" s="39">
        <v>3.86391830541707</v>
      </c>
      <c r="B3357" s="45">
        <v>6</v>
      </c>
      <c r="D3357" s="2"/>
      <c r="E3357" s="31"/>
      <c r="G3357" s="43"/>
      <c r="H3357" s="2"/>
    </row>
    <row r="3358" spans="1:8">
      <c r="A3358" s="39">
        <v>3.86391830541707</v>
      </c>
      <c r="B3358" s="45">
        <v>19.2</v>
      </c>
      <c r="D3358" s="2"/>
      <c r="E3358" s="31"/>
      <c r="G3358" s="43"/>
      <c r="H3358" s="2"/>
    </row>
    <row r="3359" spans="1:8">
      <c r="A3359" s="39">
        <v>3.86340400094204</v>
      </c>
      <c r="B3359" s="45">
        <v>10.2</v>
      </c>
      <c r="D3359" s="2"/>
      <c r="E3359" s="31"/>
      <c r="G3359" s="43"/>
      <c r="H3359" s="2"/>
    </row>
    <row r="3360" spans="1:8">
      <c r="A3360" s="39">
        <v>3.86273069944309</v>
      </c>
      <c r="B3360" s="45">
        <v>11</v>
      </c>
      <c r="D3360" s="2"/>
      <c r="E3360" s="31"/>
      <c r="G3360" s="43"/>
      <c r="H3360" s="2"/>
    </row>
    <row r="3361" spans="1:8">
      <c r="A3361" s="39">
        <v>3.86266821591666</v>
      </c>
      <c r="B3361" s="45">
        <v>0.8</v>
      </c>
      <c r="D3361" s="2"/>
      <c r="E3361" s="31"/>
      <c r="G3361" s="43"/>
      <c r="H3361" s="2"/>
    </row>
    <row r="3362" spans="1:8">
      <c r="A3362" s="39">
        <v>3.8624199823677</v>
      </c>
      <c r="B3362" s="45">
        <v>10</v>
      </c>
      <c r="D3362" s="2"/>
      <c r="E3362" s="31"/>
      <c r="G3362" s="43"/>
      <c r="H3362" s="2"/>
    </row>
    <row r="3363" spans="1:8">
      <c r="A3363" s="39">
        <v>3.86217784617434</v>
      </c>
      <c r="B3363" s="45">
        <v>3.7</v>
      </c>
      <c r="D3363" s="2"/>
      <c r="E3363" s="31"/>
      <c r="G3363" s="43"/>
      <c r="H3363" s="2"/>
    </row>
    <row r="3364" spans="1:8">
      <c r="A3364" s="39">
        <v>3.86217641945568</v>
      </c>
      <c r="B3364" s="45">
        <v>11.5</v>
      </c>
      <c r="D3364" s="2"/>
      <c r="E3364" s="31"/>
      <c r="G3364" s="43"/>
      <c r="H3364" s="2"/>
    </row>
    <row r="3365" spans="1:8">
      <c r="A3365" s="39">
        <v>3.86211946076837</v>
      </c>
      <c r="B3365" s="45">
        <v>2</v>
      </c>
      <c r="D3365" s="2"/>
      <c r="E3365" s="31"/>
      <c r="G3365" s="43"/>
      <c r="H3365" s="2"/>
    </row>
    <row r="3366" spans="1:8">
      <c r="A3366" s="39">
        <v>3.86205739794415</v>
      </c>
      <c r="B3366" s="45">
        <v>17.7</v>
      </c>
      <c r="D3366" s="2"/>
      <c r="E3366" s="31"/>
      <c r="G3366" s="43"/>
      <c r="H3366" s="2"/>
    </row>
    <row r="3367" spans="1:8">
      <c r="A3367" s="39">
        <v>3.86144894226234</v>
      </c>
      <c r="B3367" s="45">
        <v>10.5</v>
      </c>
      <c r="D3367" s="2"/>
      <c r="E3367" s="31"/>
      <c r="G3367" s="43"/>
      <c r="H3367" s="2"/>
    </row>
    <row r="3368" spans="1:8">
      <c r="A3368" s="39">
        <v>3.86136010790498</v>
      </c>
      <c r="B3368" s="45">
        <v>13</v>
      </c>
      <c r="D3368" s="2"/>
      <c r="E3368" s="31"/>
      <c r="G3368" s="43"/>
      <c r="H3368" s="2"/>
    </row>
    <row r="3369" spans="1:8">
      <c r="A3369" s="39">
        <v>3.86136010790498</v>
      </c>
      <c r="B3369" s="45">
        <v>6.5</v>
      </c>
      <c r="D3369" s="2"/>
      <c r="E3369" s="31"/>
      <c r="G3369" s="43"/>
      <c r="H3369" s="2"/>
    </row>
    <row r="3370" spans="1:8">
      <c r="A3370" s="39">
        <v>3.86115236274115</v>
      </c>
      <c r="B3370" s="45">
        <v>16</v>
      </c>
      <c r="D3370" s="2"/>
      <c r="E3370" s="31"/>
      <c r="G3370" s="43"/>
      <c r="H3370" s="2"/>
    </row>
    <row r="3371" spans="1:8">
      <c r="A3371" s="39">
        <v>3.86077611648383</v>
      </c>
      <c r="B3371" s="45">
        <v>11.5</v>
      </c>
      <c r="D3371" s="2"/>
      <c r="E3371" s="31"/>
      <c r="G3371" s="43"/>
      <c r="H3371" s="2"/>
    </row>
    <row r="3372" spans="1:8">
      <c r="A3372" s="39">
        <v>3.86077611648383</v>
      </c>
      <c r="B3372" s="45">
        <v>10.8</v>
      </c>
      <c r="D3372" s="2"/>
      <c r="E3372" s="31"/>
      <c r="G3372" s="43"/>
      <c r="H3372" s="2"/>
    </row>
    <row r="3373" spans="1:8">
      <c r="A3373" s="39">
        <v>3.86077611648383</v>
      </c>
      <c r="B3373" s="45">
        <v>15.5</v>
      </c>
      <c r="D3373" s="2"/>
      <c r="E3373" s="31"/>
      <c r="G3373" s="43"/>
      <c r="H3373" s="2"/>
    </row>
    <row r="3374" spans="1:8">
      <c r="A3374" s="39">
        <v>3.86054236963563</v>
      </c>
      <c r="B3374" s="45">
        <v>4.2</v>
      </c>
      <c r="D3374" s="2"/>
      <c r="E3374" s="31"/>
      <c r="G3374" s="43"/>
      <c r="H3374" s="2"/>
    </row>
    <row r="3375" spans="1:8">
      <c r="A3375" s="39">
        <v>3.86037019021998</v>
      </c>
      <c r="B3375" s="45">
        <v>5.5</v>
      </c>
      <c r="D3375" s="2"/>
      <c r="E3375" s="31"/>
      <c r="G3375" s="43"/>
      <c r="H3375" s="2"/>
    </row>
    <row r="3376" spans="1:8">
      <c r="A3376" s="39">
        <v>3.86007236582461</v>
      </c>
      <c r="B3376" s="45">
        <v>20</v>
      </c>
      <c r="D3376" s="2"/>
      <c r="E3376" s="31"/>
      <c r="G3376" s="43"/>
      <c r="H3376" s="2"/>
    </row>
    <row r="3377" spans="1:8">
      <c r="A3377" s="39">
        <v>3.86007236582461</v>
      </c>
      <c r="B3377" s="45">
        <v>6.2</v>
      </c>
      <c r="D3377" s="2"/>
      <c r="E3377" s="31"/>
      <c r="G3377" s="43"/>
      <c r="H3377" s="2"/>
    </row>
    <row r="3378" spans="1:8">
      <c r="A3378" s="39">
        <v>3.85999398787566</v>
      </c>
      <c r="B3378" s="45">
        <v>5.7</v>
      </c>
      <c r="D3378" s="2"/>
      <c r="E3378" s="31"/>
      <c r="G3378" s="43"/>
      <c r="H3378" s="2"/>
    </row>
    <row r="3379" spans="1:8">
      <c r="A3379" s="39">
        <v>3.85974126974824</v>
      </c>
      <c r="B3379" s="45">
        <v>22</v>
      </c>
      <c r="D3379" s="2"/>
      <c r="E3379" s="31"/>
      <c r="G3379" s="43"/>
      <c r="H3379" s="2"/>
    </row>
    <row r="3380" spans="1:8">
      <c r="A3380" s="39">
        <v>3.85953208475353</v>
      </c>
      <c r="B3380" s="45">
        <v>3</v>
      </c>
      <c r="D3380" s="2"/>
      <c r="E3380" s="31"/>
      <c r="G3380" s="43"/>
      <c r="H3380" s="2"/>
    </row>
    <row r="3381" spans="1:8">
      <c r="A3381" s="39">
        <v>3.85936419194837</v>
      </c>
      <c r="B3381" s="45">
        <v>5</v>
      </c>
      <c r="D3381" s="2"/>
      <c r="E3381" s="31"/>
      <c r="G3381" s="43"/>
      <c r="H3381" s="2"/>
    </row>
    <row r="3382" spans="1:8">
      <c r="A3382" s="39">
        <v>3.85903770772313</v>
      </c>
      <c r="B3382" s="45">
        <v>6.5</v>
      </c>
      <c r="D3382" s="2"/>
      <c r="E3382" s="31"/>
      <c r="G3382" s="43"/>
      <c r="H3382" s="2"/>
    </row>
    <row r="3383" spans="1:8">
      <c r="A3383" s="39">
        <v>3.85900369698559</v>
      </c>
      <c r="B3383" s="45">
        <v>12.4</v>
      </c>
      <c r="D3383" s="2"/>
      <c r="E3383" s="31"/>
      <c r="G3383" s="43"/>
      <c r="H3383" s="2"/>
    </row>
    <row r="3384" spans="1:8">
      <c r="A3384" s="39">
        <v>3.85848670769916</v>
      </c>
      <c r="B3384" s="45">
        <v>11.9</v>
      </c>
      <c r="D3384" s="2"/>
      <c r="E3384" s="31"/>
      <c r="G3384" s="43"/>
      <c r="H3384" s="2"/>
    </row>
    <row r="3385" spans="1:8">
      <c r="A3385" s="39">
        <v>3.85796111384695</v>
      </c>
      <c r="B3385" s="45">
        <v>9.1</v>
      </c>
      <c r="D3385" s="2"/>
      <c r="E3385" s="31"/>
      <c r="G3385" s="43"/>
      <c r="H3385" s="2"/>
    </row>
    <row r="3386" spans="1:8">
      <c r="A3386" s="39">
        <v>3.85796111384695</v>
      </c>
      <c r="B3386" s="45">
        <v>27</v>
      </c>
      <c r="D3386" s="2"/>
      <c r="E3386" s="31"/>
      <c r="G3386" s="43"/>
      <c r="H3386" s="2"/>
    </row>
    <row r="3387" spans="1:8">
      <c r="A3387" s="39">
        <v>3.85763058367291</v>
      </c>
      <c r="B3387" s="45">
        <v>9.9</v>
      </c>
      <c r="D3387" s="2"/>
      <c r="E3387" s="31"/>
      <c r="G3387" s="43"/>
      <c r="H3387" s="2"/>
    </row>
    <row r="3388" spans="1:8">
      <c r="A3388" s="39">
        <v>3.85757125314855</v>
      </c>
      <c r="B3388" s="45">
        <v>7.8</v>
      </c>
      <c r="D3388" s="2"/>
      <c r="E3388" s="31"/>
      <c r="G3388" s="43"/>
      <c r="H3388" s="2"/>
    </row>
    <row r="3389" spans="1:8">
      <c r="A3389" s="39">
        <v>3.85742938196292</v>
      </c>
      <c r="B3389" s="45">
        <v>6</v>
      </c>
      <c r="D3389" s="2"/>
      <c r="E3389" s="31"/>
      <c r="G3389" s="43"/>
      <c r="H3389" s="2"/>
    </row>
    <row r="3390" spans="1:8">
      <c r="A3390" s="39">
        <v>3.8572714165582</v>
      </c>
      <c r="B3390" s="45">
        <v>3.3</v>
      </c>
      <c r="D3390" s="2"/>
      <c r="E3390" s="31"/>
      <c r="G3390" s="43"/>
      <c r="H3390" s="2"/>
    </row>
    <row r="3391" spans="1:8">
      <c r="A3391" s="39">
        <v>3.85725736318773</v>
      </c>
      <c r="B3391" s="45">
        <v>7</v>
      </c>
      <c r="D3391" s="2"/>
      <c r="E3391" s="31"/>
      <c r="G3391" s="43"/>
      <c r="H3391" s="2"/>
    </row>
    <row r="3392" spans="1:8">
      <c r="A3392" s="39">
        <v>3.85725736318773</v>
      </c>
      <c r="B3392" s="45">
        <v>5.9</v>
      </c>
      <c r="D3392" s="2"/>
      <c r="E3392" s="31"/>
      <c r="G3392" s="43"/>
      <c r="H3392" s="2"/>
    </row>
    <row r="3393" spans="1:8">
      <c r="A3393" s="39">
        <v>3.85694787622155</v>
      </c>
      <c r="B3393" s="45">
        <v>5.7</v>
      </c>
      <c r="D3393" s="2"/>
      <c r="E3393" s="31"/>
      <c r="G3393" s="43"/>
      <c r="H3393" s="2"/>
    </row>
    <row r="3394" spans="1:8">
      <c r="A3394" s="39">
        <v>3.8569270216478</v>
      </c>
      <c r="B3394" s="45">
        <v>10</v>
      </c>
      <c r="D3394" s="2"/>
      <c r="E3394" s="31"/>
      <c r="G3394" s="43"/>
      <c r="H3394" s="2"/>
    </row>
    <row r="3395" spans="1:8">
      <c r="A3395" s="39">
        <v>3.8569270216478</v>
      </c>
      <c r="B3395" s="45">
        <v>6</v>
      </c>
      <c r="D3395" s="2"/>
      <c r="E3395" s="31"/>
      <c r="G3395" s="43"/>
      <c r="H3395" s="2"/>
    </row>
    <row r="3396" spans="1:8">
      <c r="A3396" s="39">
        <v>3.85685503123003</v>
      </c>
      <c r="B3396" s="45">
        <v>10.5</v>
      </c>
      <c r="D3396" s="2"/>
      <c r="E3396" s="31"/>
      <c r="G3396" s="43"/>
      <c r="H3396" s="2"/>
    </row>
    <row r="3397" spans="1:8">
      <c r="A3397" s="39">
        <v>3.85677580192531</v>
      </c>
      <c r="B3397" s="45">
        <v>19.4</v>
      </c>
      <c r="D3397" s="2"/>
      <c r="E3397" s="31"/>
      <c r="G3397" s="43"/>
      <c r="H3397" s="2"/>
    </row>
    <row r="3398" spans="1:8">
      <c r="A3398" s="39">
        <v>3.85645367828884</v>
      </c>
      <c r="B3398" s="45">
        <v>1</v>
      </c>
      <c r="D3398" s="2"/>
      <c r="E3398" s="31"/>
      <c r="G3398" s="43"/>
      <c r="H3398" s="2"/>
    </row>
    <row r="3399" spans="1:8">
      <c r="A3399" s="39">
        <v>3.85645367828884</v>
      </c>
      <c r="B3399" s="45">
        <v>8</v>
      </c>
      <c r="D3399" s="2"/>
      <c r="E3399" s="31"/>
      <c r="G3399" s="43"/>
      <c r="H3399" s="2"/>
    </row>
    <row r="3400" spans="1:8">
      <c r="A3400" s="39">
        <v>3.8556291247156</v>
      </c>
      <c r="B3400" s="45">
        <v>5</v>
      </c>
      <c r="D3400" s="2"/>
      <c r="E3400" s="31"/>
      <c r="G3400" s="43"/>
      <c r="H3400" s="2"/>
    </row>
    <row r="3401" spans="1:8">
      <c r="A3401" s="39">
        <v>3.85514200991176</v>
      </c>
      <c r="B3401" s="45">
        <v>18</v>
      </c>
      <c r="D3401" s="2"/>
      <c r="E3401" s="31"/>
      <c r="G3401" s="43"/>
      <c r="H3401" s="2"/>
    </row>
    <row r="3402" spans="1:8">
      <c r="A3402" s="39">
        <v>3.8548944878225</v>
      </c>
      <c r="B3402" s="45">
        <v>6</v>
      </c>
      <c r="D3402" s="2"/>
      <c r="E3402" s="31"/>
      <c r="G3402" s="43"/>
      <c r="H3402" s="2"/>
    </row>
    <row r="3403" spans="1:8">
      <c r="A3403" s="39">
        <v>3.85465108145576</v>
      </c>
      <c r="B3403" s="45">
        <v>13.9</v>
      </c>
      <c r="D3403" s="2"/>
      <c r="E3403" s="31"/>
      <c r="G3403" s="43"/>
      <c r="H3403" s="2"/>
    </row>
    <row r="3404" spans="1:8">
      <c r="A3404" s="39">
        <v>3.85430519948165</v>
      </c>
      <c r="B3404" s="45">
        <v>6.3</v>
      </c>
      <c r="D3404" s="2"/>
      <c r="E3404" s="31"/>
      <c r="G3404" s="43"/>
      <c r="H3404" s="2"/>
    </row>
    <row r="3405" spans="1:8">
      <c r="A3405" s="39">
        <v>3.85430519948165</v>
      </c>
      <c r="B3405" s="45">
        <v>4</v>
      </c>
      <c r="D3405" s="2"/>
      <c r="E3405" s="31"/>
      <c r="G3405" s="43"/>
      <c r="H3405" s="2"/>
    </row>
    <row r="3406" spans="1:8">
      <c r="A3406" s="39">
        <v>3.85399014355595</v>
      </c>
      <c r="B3406" s="45">
        <v>18</v>
      </c>
      <c r="D3406" s="2"/>
      <c r="E3406" s="31"/>
      <c r="G3406" s="43"/>
      <c r="H3406" s="2"/>
    </row>
    <row r="3407" spans="1:8">
      <c r="A3407" s="39">
        <v>3.85399014355595</v>
      </c>
      <c r="B3407" s="45">
        <v>14.6</v>
      </c>
      <c r="D3407" s="2"/>
      <c r="E3407" s="31"/>
      <c r="G3407" s="43"/>
      <c r="H3407" s="2"/>
    </row>
    <row r="3408" spans="1:8">
      <c r="A3408" s="39">
        <v>3.85350314383823</v>
      </c>
      <c r="B3408" s="45">
        <v>11</v>
      </c>
      <c r="D3408" s="2"/>
      <c r="E3408" s="31"/>
      <c r="G3408" s="43"/>
      <c r="H3408" s="2"/>
    </row>
    <row r="3409" spans="1:8">
      <c r="A3409" s="39">
        <v>3.85350314383823</v>
      </c>
      <c r="B3409" s="45">
        <v>7.3</v>
      </c>
      <c r="D3409" s="44"/>
      <c r="E3409" s="31"/>
      <c r="G3409" s="43"/>
      <c r="H3409" s="2"/>
    </row>
    <row r="3410" spans="1:8">
      <c r="A3410" s="39">
        <v>3.85344669313557</v>
      </c>
      <c r="B3410" s="45">
        <v>8.3</v>
      </c>
      <c r="D3410" s="2"/>
      <c r="E3410" s="31"/>
      <c r="G3410" s="43"/>
      <c r="H3410" s="2"/>
    </row>
    <row r="3411" spans="1:8">
      <c r="A3411" s="39">
        <v>3.85263117695893</v>
      </c>
      <c r="B3411" s="45">
        <v>8.9</v>
      </c>
      <c r="D3411" s="2"/>
      <c r="E3411" s="31"/>
      <c r="G3411" s="43"/>
      <c r="H3411" s="2"/>
    </row>
    <row r="3412" spans="1:8">
      <c r="A3412" s="39">
        <v>3.85263117695893</v>
      </c>
      <c r="B3412" s="45">
        <v>9.8</v>
      </c>
      <c r="D3412" s="2"/>
      <c r="E3412" s="31"/>
      <c r="G3412" s="43"/>
      <c r="H3412" s="2"/>
    </row>
    <row r="3413" spans="1:8">
      <c r="A3413" s="39">
        <v>3.85236498694205</v>
      </c>
      <c r="B3413" s="45">
        <v>5.4</v>
      </c>
      <c r="D3413" s="2"/>
      <c r="E3413" s="31"/>
      <c r="G3413" s="43"/>
      <c r="H3413" s="2"/>
    </row>
    <row r="3414" spans="1:8">
      <c r="A3414" s="39">
        <v>3.85233110857318</v>
      </c>
      <c r="B3414" s="45">
        <v>11.3</v>
      </c>
      <c r="D3414" s="2"/>
      <c r="E3414" s="31"/>
      <c r="G3414" s="43"/>
      <c r="H3414" s="2"/>
    </row>
    <row r="3415" spans="1:8">
      <c r="A3415" s="39">
        <v>3.85223082092938</v>
      </c>
      <c r="B3415" s="45">
        <v>10.5</v>
      </c>
      <c r="D3415" s="2"/>
      <c r="E3415" s="31"/>
      <c r="G3415" s="43"/>
      <c r="H3415" s="2"/>
    </row>
    <row r="3416" spans="1:8">
      <c r="A3416" s="39">
        <v>3.85221444537291</v>
      </c>
      <c r="B3416" s="45">
        <v>5</v>
      </c>
      <c r="D3416" s="2"/>
      <c r="E3416" s="31"/>
      <c r="G3416" s="43"/>
      <c r="H3416" s="2"/>
    </row>
    <row r="3417" spans="1:8">
      <c r="A3417" s="39">
        <v>3.85215663662376</v>
      </c>
      <c r="B3417" s="45">
        <v>5</v>
      </c>
      <c r="D3417" s="2"/>
      <c r="E3417" s="31"/>
      <c r="G3417" s="43"/>
      <c r="H3417" s="2"/>
    </row>
    <row r="3418" spans="1:8">
      <c r="A3418" s="39">
        <v>3.85215663662376</v>
      </c>
      <c r="B3418" s="45">
        <v>6.5</v>
      </c>
      <c r="D3418" s="2"/>
      <c r="E3418" s="31"/>
      <c r="G3418" s="43"/>
      <c r="H3418" s="2"/>
    </row>
    <row r="3419" spans="1:8">
      <c r="A3419" s="39">
        <v>3.85195787545998</v>
      </c>
      <c r="B3419" s="45">
        <v>13</v>
      </c>
      <c r="D3419" s="2"/>
      <c r="E3419" s="31"/>
      <c r="G3419" s="43"/>
      <c r="H3419" s="2"/>
    </row>
    <row r="3420" spans="1:8">
      <c r="A3420" s="39">
        <v>3.85195787545998</v>
      </c>
      <c r="B3420" s="45">
        <v>15.3</v>
      </c>
      <c r="D3420" s="2"/>
      <c r="E3420" s="31"/>
      <c r="G3420" s="43"/>
      <c r="H3420" s="2"/>
    </row>
    <row r="3421" spans="1:8">
      <c r="A3421" s="39">
        <v>3.85162735791396</v>
      </c>
      <c r="B3421" s="45">
        <v>18</v>
      </c>
      <c r="D3421" s="2"/>
      <c r="E3421" s="31"/>
      <c r="G3421" s="43"/>
      <c r="H3421" s="2"/>
    </row>
    <row r="3422" spans="1:8">
      <c r="A3422" s="39">
        <v>3.85150302368378</v>
      </c>
      <c r="B3422" s="45">
        <v>14</v>
      </c>
      <c r="D3422" s="2"/>
      <c r="E3422" s="31"/>
      <c r="G3422" s="43"/>
      <c r="H3422" s="2"/>
    </row>
    <row r="3423" spans="1:8">
      <c r="A3423" s="39">
        <v>3.85147217382408</v>
      </c>
      <c r="B3423" s="45">
        <v>7.7</v>
      </c>
      <c r="D3423" s="2"/>
      <c r="E3423" s="31"/>
      <c r="G3423" s="43"/>
      <c r="H3423" s="2"/>
    </row>
    <row r="3424" spans="1:8">
      <c r="A3424" s="39">
        <v>3.85147217382408</v>
      </c>
      <c r="B3424" s="45">
        <v>3.2</v>
      </c>
      <c r="D3424" s="2"/>
      <c r="E3424" s="31"/>
      <c r="G3424" s="43"/>
      <c r="H3424" s="2"/>
    </row>
    <row r="3425" spans="1:8">
      <c r="A3425" s="39">
        <v>3.85132639287614</v>
      </c>
      <c r="B3425" s="45">
        <v>2</v>
      </c>
      <c r="D3425" s="2"/>
      <c r="E3425" s="31"/>
      <c r="G3425" s="43"/>
      <c r="H3425" s="2"/>
    </row>
    <row r="3426" spans="1:8">
      <c r="A3426" s="39">
        <v>3.85089358158684</v>
      </c>
      <c r="B3426" s="45">
        <v>4.5</v>
      </c>
      <c r="D3426" s="2"/>
      <c r="E3426" s="31"/>
      <c r="G3426" s="43"/>
      <c r="H3426" s="2"/>
    </row>
    <row r="3427" spans="1:8">
      <c r="A3427" s="39">
        <v>3.85089358158684</v>
      </c>
      <c r="B3427" s="45">
        <v>4.8</v>
      </c>
      <c r="D3427" s="2"/>
      <c r="E3427" s="31"/>
      <c r="G3427" s="43"/>
      <c r="H3427" s="2"/>
    </row>
    <row r="3428" spans="1:8">
      <c r="A3428" s="39">
        <v>3.85077522643819</v>
      </c>
      <c r="B3428" s="45">
        <v>16</v>
      </c>
      <c r="D3428" s="2"/>
      <c r="E3428" s="31"/>
      <c r="G3428" s="43"/>
      <c r="H3428" s="2"/>
    </row>
    <row r="3429" spans="1:8">
      <c r="A3429" s="39">
        <v>3.85042697055179</v>
      </c>
      <c r="B3429" s="45">
        <v>2.3</v>
      </c>
      <c r="D3429" s="2"/>
      <c r="E3429" s="31"/>
      <c r="G3429" s="43"/>
      <c r="H3429" s="2"/>
    </row>
    <row r="3430" spans="1:8">
      <c r="A3430" s="39">
        <v>3.85040903396335</v>
      </c>
      <c r="B3430" s="45">
        <v>7.8</v>
      </c>
      <c r="D3430" s="2"/>
      <c r="E3430" s="31"/>
      <c r="G3430" s="43"/>
      <c r="H3430" s="2"/>
    </row>
    <row r="3431" spans="1:8">
      <c r="A3431" s="39">
        <v>3.85021985659552</v>
      </c>
      <c r="B3431" s="45">
        <v>9</v>
      </c>
      <c r="D3431" s="2"/>
      <c r="E3431" s="31"/>
      <c r="G3431" s="43"/>
      <c r="H3431" s="2"/>
    </row>
    <row r="3432" spans="1:8">
      <c r="A3432" s="39">
        <v>3.85010324822471</v>
      </c>
      <c r="B3432" s="45">
        <v>8.5</v>
      </c>
      <c r="D3432" s="2"/>
      <c r="E3432" s="31"/>
      <c r="G3432" s="43"/>
      <c r="H3432" s="2"/>
    </row>
    <row r="3433" spans="1:8">
      <c r="A3433" s="39">
        <v>3.8500474291926</v>
      </c>
      <c r="B3433" s="45">
        <v>15</v>
      </c>
      <c r="D3433" s="2"/>
      <c r="E3433" s="31"/>
      <c r="G3433" s="43"/>
      <c r="H3433" s="2"/>
    </row>
    <row r="3434" spans="1:8">
      <c r="A3434" s="39">
        <v>3.84969281204483</v>
      </c>
      <c r="B3434" s="45">
        <v>12</v>
      </c>
      <c r="D3434" s="2"/>
      <c r="E3434" s="31"/>
      <c r="G3434" s="43"/>
      <c r="H3434" s="2"/>
    </row>
    <row r="3435" spans="1:8">
      <c r="A3435" s="39">
        <v>3.84965925042791</v>
      </c>
      <c r="B3435" s="45">
        <v>7</v>
      </c>
      <c r="D3435" s="2"/>
      <c r="E3435" s="31"/>
      <c r="G3435" s="43"/>
      <c r="H3435" s="2"/>
    </row>
    <row r="3436" spans="1:8">
      <c r="A3436" s="39">
        <v>3.8495161059363</v>
      </c>
      <c r="B3436" s="45">
        <v>3</v>
      </c>
      <c r="D3436" s="2"/>
      <c r="E3436" s="31"/>
      <c r="G3436" s="43"/>
      <c r="H3436" s="2"/>
    </row>
    <row r="3437" spans="1:8">
      <c r="A3437" s="39">
        <v>3.8491878393716</v>
      </c>
      <c r="B3437" s="45">
        <v>13.5</v>
      </c>
      <c r="D3437" s="2"/>
      <c r="E3437" s="31"/>
      <c r="G3437" s="43"/>
      <c r="H3437" s="2"/>
    </row>
    <row r="3438" spans="1:8">
      <c r="A3438" s="39">
        <v>3.8491878393716</v>
      </c>
      <c r="B3438" s="45">
        <v>8.4</v>
      </c>
      <c r="D3438" s="2"/>
      <c r="E3438" s="31"/>
      <c r="G3438" s="43"/>
      <c r="H3438" s="2"/>
    </row>
    <row r="3439" spans="1:8">
      <c r="A3439" s="39">
        <v>3.84908182997552</v>
      </c>
      <c r="B3439" s="45">
        <v>7.5</v>
      </c>
      <c r="D3439" s="2"/>
      <c r="E3439" s="31"/>
      <c r="G3439" s="43"/>
      <c r="H3439" s="2"/>
    </row>
    <row r="3440" spans="1:8">
      <c r="A3440" s="39">
        <v>3.84908182997552</v>
      </c>
      <c r="B3440" s="45">
        <v>17.7</v>
      </c>
      <c r="D3440" s="2"/>
      <c r="E3440" s="31"/>
      <c r="G3440" s="43"/>
      <c r="H3440" s="2"/>
    </row>
    <row r="3441" spans="1:8">
      <c r="A3441" s="39">
        <v>3.84873432262534</v>
      </c>
      <c r="B3441" s="45">
        <v>7.5</v>
      </c>
      <c r="D3441" s="2"/>
      <c r="E3441" s="31"/>
      <c r="G3441" s="43"/>
      <c r="H3441" s="2"/>
    </row>
    <row r="3442" spans="1:8">
      <c r="A3442" s="39">
        <v>3.84791806646632</v>
      </c>
      <c r="B3442" s="45">
        <v>8.9</v>
      </c>
      <c r="D3442" s="2"/>
      <c r="E3442" s="31"/>
      <c r="G3442" s="43"/>
      <c r="H3442" s="2"/>
    </row>
    <row r="3443" spans="1:8">
      <c r="A3443" s="39">
        <v>3.84791806646632</v>
      </c>
      <c r="B3443" s="45">
        <v>8.6</v>
      </c>
      <c r="D3443" s="2"/>
      <c r="E3443" s="31"/>
      <c r="G3443" s="43"/>
      <c r="H3443" s="2"/>
    </row>
    <row r="3444" spans="1:8">
      <c r="A3444" s="39">
        <v>3.84786403745581</v>
      </c>
      <c r="B3444" s="45">
        <v>12</v>
      </c>
      <c r="D3444" s="2"/>
      <c r="E3444" s="31"/>
      <c r="G3444" s="43"/>
      <c r="H3444" s="2"/>
    </row>
    <row r="3445" spans="1:8">
      <c r="A3445" s="39">
        <v>3.84762687558883</v>
      </c>
      <c r="B3445" s="45">
        <v>6.4</v>
      </c>
      <c r="D3445" s="2"/>
      <c r="E3445" s="31"/>
      <c r="G3445" s="43"/>
      <c r="H3445" s="2"/>
    </row>
    <row r="3446" spans="1:8">
      <c r="A3446" s="39">
        <v>3.84754414628927</v>
      </c>
      <c r="B3446" s="45">
        <v>9</v>
      </c>
      <c r="D3446" s="2"/>
      <c r="E3446" s="31"/>
      <c r="G3446" s="43"/>
      <c r="H3446" s="2"/>
    </row>
    <row r="3447" spans="1:8">
      <c r="A3447" s="39">
        <v>3.84713624021022</v>
      </c>
      <c r="B3447" s="45">
        <v>7</v>
      </c>
      <c r="D3447" s="2"/>
      <c r="E3447" s="31"/>
      <c r="G3447" s="43"/>
      <c r="H3447" s="2"/>
    </row>
    <row r="3448" spans="1:8">
      <c r="A3448" s="39">
        <v>3.84682928125438</v>
      </c>
      <c r="B3448" s="45">
        <v>4</v>
      </c>
      <c r="D3448" s="2"/>
      <c r="E3448" s="31"/>
      <c r="G3448" s="43"/>
      <c r="H3448" s="2"/>
    </row>
    <row r="3449" spans="1:8">
      <c r="A3449" s="39">
        <v>3.84682792437075</v>
      </c>
      <c r="B3449" s="45">
        <v>7.9</v>
      </c>
      <c r="D3449" s="2"/>
      <c r="E3449" s="31"/>
      <c r="G3449" s="43"/>
      <c r="H3449" s="2"/>
    </row>
    <row r="3450" spans="1:8">
      <c r="A3450" s="39">
        <v>3.84682792437075</v>
      </c>
      <c r="B3450" s="45">
        <v>6</v>
      </c>
      <c r="D3450" s="2"/>
      <c r="E3450" s="31"/>
      <c r="G3450" s="43"/>
      <c r="H3450" s="2"/>
    </row>
    <row r="3451" spans="1:8">
      <c r="A3451" s="39">
        <v>3.84682792437075</v>
      </c>
      <c r="B3451" s="45">
        <v>24.9</v>
      </c>
      <c r="D3451" s="2"/>
      <c r="E3451" s="31"/>
      <c r="G3451" s="43"/>
      <c r="H3451" s="2"/>
    </row>
    <row r="3452" spans="1:8">
      <c r="A3452" s="39">
        <v>3.84670110329942</v>
      </c>
      <c r="B3452" s="45">
        <v>10.8</v>
      </c>
      <c r="D3452" s="2"/>
      <c r="E3452" s="31"/>
      <c r="G3452" s="43"/>
      <c r="H3452" s="2"/>
    </row>
    <row r="3453" spans="1:8">
      <c r="A3453" s="39">
        <v>3.84617192120215</v>
      </c>
      <c r="B3453" s="45">
        <v>7</v>
      </c>
      <c r="D3453" s="2"/>
      <c r="E3453" s="31"/>
      <c r="G3453" s="43"/>
      <c r="H3453" s="2"/>
    </row>
    <row r="3454" spans="1:8">
      <c r="A3454" s="39">
        <v>3.84602181025861</v>
      </c>
      <c r="B3454" s="45">
        <v>5</v>
      </c>
      <c r="D3454" s="2"/>
      <c r="E3454" s="31"/>
      <c r="G3454" s="43"/>
      <c r="H3454" s="2"/>
    </row>
    <row r="3455" spans="1:8">
      <c r="A3455" s="39">
        <v>3.84594218304665</v>
      </c>
      <c r="B3455" s="45">
        <v>4.8</v>
      </c>
      <c r="D3455" s="2"/>
      <c r="E3455" s="31"/>
      <c r="G3455" s="43"/>
      <c r="H3455" s="2"/>
    </row>
    <row r="3456" spans="1:8">
      <c r="A3456" s="39">
        <v>3.84589816196948</v>
      </c>
      <c r="B3456" s="45">
        <v>5.2</v>
      </c>
      <c r="D3456" s="2"/>
      <c r="E3456" s="31"/>
      <c r="G3456" s="43"/>
      <c r="H3456" s="2"/>
    </row>
    <row r="3457" spans="1:8">
      <c r="A3457" s="39">
        <v>3.84567002924606</v>
      </c>
      <c r="B3457" s="45">
        <v>11</v>
      </c>
      <c r="D3457" s="2"/>
      <c r="E3457" s="31"/>
      <c r="G3457" s="43"/>
      <c r="H3457" s="2"/>
    </row>
    <row r="3458" spans="1:8">
      <c r="A3458" s="39">
        <v>3.84567002924606</v>
      </c>
      <c r="B3458" s="45">
        <v>5.6</v>
      </c>
      <c r="D3458" s="2"/>
      <c r="E3458" s="31"/>
      <c r="G3458" s="43"/>
      <c r="H3458" s="2"/>
    </row>
    <row r="3459" spans="1:8">
      <c r="A3459" s="39">
        <v>3.84522486047054</v>
      </c>
      <c r="B3459" s="45">
        <v>8</v>
      </c>
      <c r="D3459" s="2"/>
      <c r="E3459" s="31"/>
      <c r="G3459" s="43"/>
      <c r="H3459" s="2"/>
    </row>
    <row r="3460" spans="1:8">
      <c r="A3460" s="39">
        <v>3.84522486047054</v>
      </c>
      <c r="B3460" s="45">
        <v>14.5</v>
      </c>
      <c r="D3460" s="2"/>
      <c r="E3460" s="31"/>
      <c r="G3460" s="43"/>
      <c r="H3460" s="2"/>
    </row>
    <row r="3461" spans="1:8">
      <c r="A3461" s="39">
        <v>3.84462754582724</v>
      </c>
      <c r="B3461" s="45">
        <v>7.2</v>
      </c>
      <c r="D3461" s="2"/>
      <c r="E3461" s="31"/>
      <c r="G3461" s="43"/>
      <c r="H3461" s="2"/>
    </row>
    <row r="3462" spans="1:8">
      <c r="A3462" s="39">
        <v>3.84458985132176</v>
      </c>
      <c r="B3462" s="45">
        <v>19</v>
      </c>
      <c r="D3462" s="2"/>
      <c r="E3462" s="31"/>
      <c r="G3462" s="43"/>
      <c r="H3462" s="2"/>
    </row>
    <row r="3463" spans="1:8">
      <c r="A3463" s="39">
        <v>3.84396303669667</v>
      </c>
      <c r="B3463" s="45">
        <v>14.8</v>
      </c>
      <c r="D3463" s="2"/>
      <c r="E3463" s="31"/>
      <c r="G3463" s="43"/>
      <c r="H3463" s="2"/>
    </row>
    <row r="3464" spans="1:8">
      <c r="A3464" s="39">
        <v>3.84388610066254</v>
      </c>
      <c r="B3464" s="45">
        <v>7</v>
      </c>
      <c r="D3464" s="2"/>
      <c r="E3464" s="31"/>
      <c r="G3464" s="43"/>
      <c r="H3464" s="2"/>
    </row>
    <row r="3465" spans="1:8">
      <c r="A3465" s="39">
        <v>3.8438514289379</v>
      </c>
      <c r="B3465" s="45">
        <v>4</v>
      </c>
      <c r="D3465" s="2"/>
      <c r="E3465" s="31"/>
      <c r="G3465" s="43"/>
      <c r="H3465" s="2"/>
    </row>
    <row r="3466" spans="1:8">
      <c r="A3466" s="39">
        <v>3.84349725398225</v>
      </c>
      <c r="B3466" s="45">
        <v>0</v>
      </c>
      <c r="D3466" s="2"/>
      <c r="E3466" s="31"/>
      <c r="G3466" s="43"/>
      <c r="H3466" s="2"/>
    </row>
    <row r="3467" spans="1:8">
      <c r="A3467" s="39">
        <v>3.84325862022787</v>
      </c>
      <c r="B3467" s="45">
        <v>7</v>
      </c>
      <c r="D3467" s="2"/>
      <c r="E3467" s="31"/>
      <c r="G3467" s="43"/>
      <c r="H3467" s="2"/>
    </row>
    <row r="3468" spans="1:8">
      <c r="A3468" s="39">
        <v>3.84320756215818</v>
      </c>
      <c r="B3468" s="45">
        <v>5.4</v>
      </c>
      <c r="D3468" s="2"/>
      <c r="E3468" s="31"/>
      <c r="G3468" s="43"/>
      <c r="H3468" s="2"/>
    </row>
    <row r="3469" spans="1:8">
      <c r="A3469" s="39">
        <v>3.84318235000332</v>
      </c>
      <c r="B3469" s="45">
        <v>5</v>
      </c>
      <c r="D3469" s="2"/>
      <c r="E3469" s="31"/>
      <c r="G3469" s="43"/>
      <c r="H3469" s="2"/>
    </row>
    <row r="3470" spans="1:8">
      <c r="A3470" s="39">
        <v>3.84318235000332</v>
      </c>
      <c r="B3470" s="45">
        <v>5.6</v>
      </c>
      <c r="D3470" s="2"/>
      <c r="E3470" s="31"/>
      <c r="G3470" s="43"/>
      <c r="H3470" s="2"/>
    </row>
    <row r="3471" spans="1:8">
      <c r="A3471" s="39">
        <v>3.84253059285963</v>
      </c>
      <c r="B3471" s="45">
        <v>18.8</v>
      </c>
      <c r="D3471" s="2"/>
      <c r="E3471" s="31"/>
      <c r="G3471" s="43"/>
      <c r="H3471" s="2"/>
    </row>
    <row r="3472" spans="1:8">
      <c r="A3472" s="39">
        <v>3.8424785993441</v>
      </c>
      <c r="B3472" s="45">
        <v>3.5</v>
      </c>
      <c r="D3472" s="2"/>
      <c r="E3472" s="31"/>
      <c r="G3472" s="43"/>
      <c r="H3472" s="2"/>
    </row>
    <row r="3473" spans="1:8">
      <c r="A3473" s="39">
        <v>3.84239704109793</v>
      </c>
      <c r="B3473" s="45">
        <v>13.5</v>
      </c>
      <c r="D3473" s="2"/>
      <c r="E3473" s="31"/>
      <c r="G3473" s="43"/>
      <c r="H3473" s="2"/>
    </row>
    <row r="3474" spans="1:8">
      <c r="A3474" s="39">
        <v>3.84185835297582</v>
      </c>
      <c r="B3474" s="45">
        <v>6</v>
      </c>
      <c r="D3474" s="2"/>
      <c r="E3474" s="31"/>
      <c r="G3474" s="43"/>
      <c r="H3474" s="2"/>
    </row>
    <row r="3475" spans="1:8">
      <c r="A3475" s="39">
        <v>3.84185835297582</v>
      </c>
      <c r="B3475" s="45">
        <v>10.8</v>
      </c>
      <c r="D3475" s="2"/>
      <c r="E3475" s="31"/>
      <c r="G3475" s="43"/>
      <c r="H3475" s="2"/>
    </row>
    <row r="3476" spans="1:8">
      <c r="A3476" s="39">
        <v>3.84174346106032</v>
      </c>
      <c r="B3476" s="45">
        <v>8</v>
      </c>
      <c r="D3476" s="2"/>
      <c r="E3476" s="31"/>
      <c r="G3476" s="43"/>
      <c r="H3476" s="2"/>
    </row>
    <row r="3477" spans="1:8">
      <c r="A3477" s="39">
        <v>3.84108988102272</v>
      </c>
      <c r="B3477" s="45">
        <v>15.4</v>
      </c>
      <c r="D3477" s="2"/>
      <c r="E3477" s="31"/>
      <c r="G3477" s="43"/>
      <c r="H3477" s="2"/>
    </row>
    <row r="3478" spans="1:8">
      <c r="A3478" s="39">
        <v>3.84101049025471</v>
      </c>
      <c r="B3478" s="45">
        <v>3</v>
      </c>
      <c r="D3478" s="2"/>
      <c r="E3478" s="31"/>
      <c r="G3478" s="43"/>
      <c r="H3478" s="2"/>
    </row>
    <row r="3479" spans="1:8">
      <c r="A3479" s="39">
        <v>3.84091665117105</v>
      </c>
      <c r="B3479" s="45">
        <v>3.8</v>
      </c>
      <c r="D3479" s="2"/>
      <c r="E3479" s="31"/>
      <c r="G3479" s="43"/>
      <c r="H3479" s="2"/>
    </row>
    <row r="3480" spans="1:8">
      <c r="A3480" s="39">
        <v>3.84074509507029</v>
      </c>
      <c r="B3480" s="45">
        <v>20.5</v>
      </c>
      <c r="D3480" s="2"/>
      <c r="E3480" s="31"/>
      <c r="G3480" s="43"/>
      <c r="H3480" s="2"/>
    </row>
    <row r="3481" spans="1:8">
      <c r="A3481" s="39">
        <v>3.84058606499987</v>
      </c>
      <c r="B3481" s="45">
        <v>5.8</v>
      </c>
      <c r="D3481" s="2"/>
      <c r="E3481" s="31"/>
      <c r="G3481" s="43"/>
      <c r="H3481" s="2"/>
    </row>
    <row r="3482" spans="1:8">
      <c r="A3482" s="39">
        <v>3.84038192710407</v>
      </c>
      <c r="B3482" s="45">
        <v>5</v>
      </c>
      <c r="D3482" s="2"/>
      <c r="E3482" s="31"/>
      <c r="G3482" s="43"/>
      <c r="H3482" s="2"/>
    </row>
    <row r="3483" spans="1:8">
      <c r="A3483" s="39">
        <v>3.84009891290169</v>
      </c>
      <c r="B3483" s="45">
        <v>3.6</v>
      </c>
      <c r="D3483" s="2"/>
      <c r="E3483" s="31"/>
      <c r="G3483" s="43"/>
      <c r="H3483" s="2"/>
    </row>
    <row r="3484" spans="1:8">
      <c r="A3484" s="39">
        <v>3.84004153304519</v>
      </c>
      <c r="B3484" s="45">
        <v>13</v>
      </c>
      <c r="D3484" s="2"/>
      <c r="E3484" s="31"/>
      <c r="G3484" s="43"/>
      <c r="H3484" s="2"/>
    </row>
    <row r="3485" spans="1:8">
      <c r="A3485" s="39">
        <v>3.83983630622944</v>
      </c>
      <c r="B3485" s="45">
        <v>7.5</v>
      </c>
      <c r="D3485" s="2"/>
      <c r="E3485" s="31"/>
      <c r="G3485" s="43"/>
      <c r="H3485" s="2"/>
    </row>
    <row r="3486" spans="1:8">
      <c r="A3486" s="39">
        <v>3.83983630622944</v>
      </c>
      <c r="B3486" s="45">
        <v>4.8</v>
      </c>
      <c r="D3486" s="2"/>
      <c r="E3486" s="31"/>
      <c r="G3486" s="43"/>
      <c r="H3486" s="2"/>
    </row>
    <row r="3487" spans="1:8">
      <c r="A3487" s="39">
        <v>3.8396699207204</v>
      </c>
      <c r="B3487" s="45">
        <v>7.7</v>
      </c>
      <c r="D3487" s="2"/>
      <c r="E3487" s="31"/>
      <c r="G3487" s="43"/>
      <c r="H3487" s="2"/>
    </row>
    <row r="3488" spans="1:8">
      <c r="A3488" s="39">
        <v>3.83966570518555</v>
      </c>
      <c r="B3488" s="45">
        <v>2</v>
      </c>
      <c r="D3488" s="2"/>
      <c r="E3488" s="31"/>
      <c r="G3488" s="43"/>
      <c r="H3488" s="2"/>
    </row>
    <row r="3489" spans="1:8">
      <c r="A3489" s="39">
        <v>3.83916514698004</v>
      </c>
      <c r="B3489" s="45">
        <v>7.6</v>
      </c>
      <c r="D3489" s="2"/>
      <c r="E3489" s="31"/>
      <c r="G3489" s="43"/>
      <c r="H3489" s="2"/>
    </row>
    <row r="3490" spans="1:8">
      <c r="A3490" s="39">
        <v>3.83916514698004</v>
      </c>
      <c r="B3490" s="45">
        <v>6.4</v>
      </c>
      <c r="D3490" s="2"/>
      <c r="E3490" s="31"/>
      <c r="G3490" s="43"/>
      <c r="H3490" s="2"/>
    </row>
    <row r="3491" spans="1:8">
      <c r="A3491" s="39">
        <v>3.83916514698004</v>
      </c>
      <c r="B3491" s="45">
        <v>5.5</v>
      </c>
      <c r="D3491" s="2"/>
      <c r="E3491" s="31"/>
      <c r="G3491" s="43"/>
      <c r="H3491" s="2"/>
    </row>
    <row r="3492" spans="1:8">
      <c r="A3492" s="39">
        <v>3.83908854354955</v>
      </c>
      <c r="B3492" s="45">
        <v>3</v>
      </c>
      <c r="D3492" s="2"/>
      <c r="E3492" s="31"/>
      <c r="G3492" s="43"/>
      <c r="H3492" s="2"/>
    </row>
    <row r="3493" spans="1:8">
      <c r="A3493" s="39">
        <v>3.83889714926872</v>
      </c>
      <c r="B3493" s="45">
        <v>10</v>
      </c>
      <c r="D3493" s="2"/>
      <c r="E3493" s="31"/>
      <c r="G3493" s="43"/>
      <c r="H3493" s="2"/>
    </row>
    <row r="3494" spans="1:8">
      <c r="A3494" s="39">
        <v>3.8384918454811</v>
      </c>
      <c r="B3494" s="45">
        <v>4</v>
      </c>
      <c r="D3494" s="2"/>
      <c r="E3494" s="31"/>
      <c r="G3494" s="43"/>
      <c r="H3494" s="2"/>
    </row>
    <row r="3495" spans="1:8">
      <c r="A3495" s="39">
        <v>3.83846738063007</v>
      </c>
      <c r="B3495" s="45">
        <v>7.5</v>
      </c>
      <c r="D3495" s="2"/>
      <c r="E3495" s="31"/>
      <c r="G3495" s="43"/>
      <c r="H3495" s="2"/>
    </row>
    <row r="3496" spans="1:8">
      <c r="A3496" s="39">
        <v>3.83825609538877</v>
      </c>
      <c r="B3496" s="45">
        <v>10.5</v>
      </c>
      <c r="D3496" s="2"/>
      <c r="E3496" s="31"/>
      <c r="G3496" s="43"/>
      <c r="H3496" s="2"/>
    </row>
    <row r="3497" spans="1:8">
      <c r="A3497" s="39">
        <v>3.83783505801086</v>
      </c>
      <c r="B3497" s="45">
        <v>3.5</v>
      </c>
      <c r="D3497" s="2"/>
      <c r="E3497" s="31"/>
      <c r="G3497" s="43"/>
      <c r="H3497" s="2"/>
    </row>
    <row r="3498" spans="1:8">
      <c r="A3498" s="39">
        <v>3.8371665968444</v>
      </c>
      <c r="B3498" s="45">
        <v>6.1</v>
      </c>
      <c r="D3498" s="44"/>
      <c r="E3498" s="31"/>
      <c r="G3498" s="43"/>
      <c r="H3498" s="2"/>
    </row>
    <row r="3499" spans="1:8">
      <c r="A3499" s="39">
        <v>3.83709845503071</v>
      </c>
      <c r="B3499" s="45">
        <v>10</v>
      </c>
      <c r="D3499" s="2"/>
      <c r="E3499" s="31"/>
      <c r="G3499" s="43"/>
      <c r="H3499" s="2"/>
    </row>
    <row r="3500" spans="1:8">
      <c r="A3500" s="39">
        <v>3.83684859407033</v>
      </c>
      <c r="B3500" s="45">
        <v>7.1</v>
      </c>
      <c r="D3500" s="2"/>
      <c r="E3500" s="31"/>
      <c r="G3500" s="43"/>
      <c r="H3500" s="2"/>
    </row>
    <row r="3501" spans="1:8">
      <c r="A3501" s="39">
        <v>3.83684859407033</v>
      </c>
      <c r="B3501" s="45">
        <v>9.5</v>
      </c>
      <c r="D3501" s="2"/>
      <c r="E3501" s="31"/>
      <c r="G3501" s="43"/>
      <c r="H3501" s="2"/>
    </row>
    <row r="3502" spans="1:8">
      <c r="A3502" s="39">
        <v>3.83601022155491</v>
      </c>
      <c r="B3502" s="45">
        <v>5.2</v>
      </c>
      <c r="D3502" s="2"/>
      <c r="E3502" s="31"/>
      <c r="G3502" s="43"/>
      <c r="H3502" s="2"/>
    </row>
    <row r="3503" spans="1:8">
      <c r="A3503" s="39">
        <v>3.83582016089453</v>
      </c>
      <c r="B3503" s="45">
        <v>5.9</v>
      </c>
      <c r="D3503" s="2"/>
      <c r="E3503" s="31"/>
      <c r="G3503" s="43"/>
      <c r="H3503" s="2"/>
    </row>
    <row r="3504" spans="1:8">
      <c r="A3504" s="39">
        <v>3.83582016089453</v>
      </c>
      <c r="B3504" s="45">
        <v>12</v>
      </c>
      <c r="D3504" s="2"/>
      <c r="E3504" s="31"/>
      <c r="G3504" s="43"/>
      <c r="H3504" s="2"/>
    </row>
    <row r="3505" spans="1:8">
      <c r="A3505" s="39">
        <v>3.83582016089453</v>
      </c>
      <c r="B3505" s="45">
        <v>9.9</v>
      </c>
      <c r="D3505" s="2"/>
      <c r="E3505" s="31"/>
      <c r="G3505" s="43"/>
      <c r="H3505" s="2"/>
    </row>
    <row r="3506" spans="1:8">
      <c r="A3506" s="39">
        <v>3.83544109275189</v>
      </c>
      <c r="B3506" s="45">
        <v>5</v>
      </c>
      <c r="D3506" s="2"/>
      <c r="E3506" s="31"/>
      <c r="G3506" s="43"/>
      <c r="H3506" s="2"/>
    </row>
    <row r="3507" spans="1:8">
      <c r="A3507" s="39">
        <v>3.83511659886942</v>
      </c>
      <c r="B3507" s="45">
        <v>24</v>
      </c>
      <c r="D3507" s="2"/>
      <c r="E3507" s="31"/>
      <c r="G3507" s="43"/>
      <c r="H3507" s="2"/>
    </row>
    <row r="3508" spans="1:8">
      <c r="A3508" s="39">
        <v>3.83501026271517</v>
      </c>
      <c r="B3508" s="45">
        <v>16.5</v>
      </c>
      <c r="D3508" s="2"/>
      <c r="E3508" s="31"/>
      <c r="G3508" s="43"/>
      <c r="H3508" s="2"/>
    </row>
    <row r="3509" spans="1:8">
      <c r="A3509" s="39">
        <v>3.83355700674684</v>
      </c>
      <c r="B3509" s="45">
        <v>4</v>
      </c>
      <c r="D3509" s="2"/>
      <c r="E3509" s="31"/>
      <c r="G3509" s="43"/>
      <c r="H3509" s="2"/>
    </row>
    <row r="3510" spans="1:8">
      <c r="A3510" s="39">
        <v>3.83339765839415</v>
      </c>
      <c r="B3510" s="45">
        <v>5</v>
      </c>
      <c r="D3510" s="2"/>
      <c r="E3510" s="31"/>
      <c r="G3510" s="43"/>
      <c r="H3510" s="2"/>
    </row>
    <row r="3511" spans="1:8">
      <c r="A3511" s="39">
        <v>3.83307733172198</v>
      </c>
      <c r="B3511" s="45">
        <v>15.5</v>
      </c>
      <c r="D3511" s="2"/>
      <c r="E3511" s="31"/>
      <c r="G3511" s="43"/>
      <c r="H3511" s="2"/>
    </row>
    <row r="3512" spans="1:8">
      <c r="A3512" s="39">
        <v>3.8329916782326</v>
      </c>
      <c r="B3512" s="45">
        <v>0.4</v>
      </c>
      <c r="D3512" s="2"/>
      <c r="E3512" s="31"/>
      <c r="G3512" s="43"/>
      <c r="H3512" s="2"/>
    </row>
    <row r="3513" spans="1:8">
      <c r="A3513" s="39">
        <v>3.83262609011501</v>
      </c>
      <c r="B3513" s="45">
        <v>11.3</v>
      </c>
      <c r="D3513" s="2"/>
      <c r="E3513" s="31"/>
      <c r="G3513" s="43"/>
      <c r="H3513" s="2"/>
    </row>
    <row r="3514" spans="1:8">
      <c r="A3514" s="39">
        <v>3.8324321319906</v>
      </c>
      <c r="B3514" s="45">
        <v>6.6</v>
      </c>
      <c r="D3514" s="2"/>
      <c r="E3514" s="31"/>
      <c r="G3514" s="43"/>
      <c r="H3514" s="2"/>
    </row>
    <row r="3515" spans="1:8">
      <c r="A3515" s="39">
        <v>3.8324321319906</v>
      </c>
      <c r="B3515" s="45">
        <v>5.6</v>
      </c>
      <c r="D3515" s="2"/>
      <c r="E3515" s="31"/>
      <c r="G3515" s="43"/>
      <c r="H3515" s="2"/>
    </row>
    <row r="3516" spans="1:8">
      <c r="A3516" s="39">
        <v>3.8324321319906</v>
      </c>
      <c r="B3516" s="45">
        <v>11</v>
      </c>
      <c r="D3516" s="2"/>
      <c r="E3516" s="31"/>
      <c r="G3516" s="43"/>
      <c r="H3516" s="2"/>
    </row>
    <row r="3517" spans="1:8">
      <c r="A3517" s="39">
        <v>3.83192153020812</v>
      </c>
      <c r="B3517" s="45">
        <v>4</v>
      </c>
      <c r="D3517" s="2"/>
      <c r="E3517" s="31"/>
      <c r="G3517" s="43"/>
      <c r="H3517" s="2"/>
    </row>
    <row r="3518" spans="1:8">
      <c r="A3518" s="39">
        <v>3.83159878874388</v>
      </c>
      <c r="B3518" s="45">
        <v>8.2</v>
      </c>
      <c r="D3518" s="2"/>
      <c r="E3518" s="31"/>
      <c r="G3518" s="43"/>
      <c r="H3518" s="2"/>
    </row>
    <row r="3519" spans="1:8">
      <c r="A3519" s="39">
        <v>3.83159878874388</v>
      </c>
      <c r="B3519" s="45">
        <v>8.7</v>
      </c>
      <c r="D3519" s="2"/>
      <c r="E3519" s="31"/>
      <c r="G3519" s="43"/>
      <c r="H3519" s="2"/>
    </row>
    <row r="3520" spans="1:8">
      <c r="A3520" s="39">
        <v>3.83153910174039</v>
      </c>
      <c r="B3520" s="45">
        <v>1.6</v>
      </c>
      <c r="D3520" s="2"/>
      <c r="E3520" s="31"/>
      <c r="G3520" s="43"/>
      <c r="H3520" s="2"/>
    </row>
    <row r="3521" spans="1:8">
      <c r="A3521" s="39">
        <v>3.83142915312257</v>
      </c>
      <c r="B3521" s="45">
        <v>14</v>
      </c>
      <c r="D3521" s="2"/>
      <c r="E3521" s="31"/>
      <c r="G3521" s="43"/>
      <c r="H3521" s="2"/>
    </row>
    <row r="3522" spans="1:8">
      <c r="A3522" s="39">
        <v>3.83039690356156</v>
      </c>
      <c r="B3522" s="45">
        <v>2</v>
      </c>
      <c r="D3522" s="2"/>
      <c r="E3522" s="31"/>
      <c r="G3522" s="43"/>
      <c r="H3522" s="2"/>
    </row>
    <row r="3523" spans="1:8">
      <c r="A3523" s="39">
        <v>3.82981108747813</v>
      </c>
      <c r="B3523" s="45">
        <v>10.5</v>
      </c>
      <c r="D3523" s="2"/>
      <c r="E3523" s="31"/>
      <c r="G3523" s="43"/>
      <c r="H3523" s="2"/>
    </row>
    <row r="3524" spans="1:8">
      <c r="A3524" s="39">
        <v>3.82981108747813</v>
      </c>
      <c r="B3524" s="45">
        <v>15</v>
      </c>
      <c r="D3524" s="2"/>
      <c r="E3524" s="31"/>
      <c r="G3524" s="43"/>
      <c r="H3524" s="2"/>
    </row>
    <row r="3525" spans="1:8">
      <c r="A3525" s="39">
        <v>3.82974025709169</v>
      </c>
      <c r="B3525" s="45">
        <v>8.5</v>
      </c>
      <c r="D3525" s="2"/>
      <c r="E3525" s="31"/>
      <c r="G3525" s="43"/>
      <c r="H3525" s="2"/>
    </row>
    <row r="3526" spans="1:8">
      <c r="A3526" s="39">
        <v>3.82973892599482</v>
      </c>
      <c r="B3526" s="45">
        <v>8</v>
      </c>
      <c r="D3526" s="2"/>
      <c r="E3526" s="31"/>
      <c r="G3526" s="43"/>
      <c r="H3526" s="2"/>
    </row>
    <row r="3527" spans="1:8">
      <c r="A3527" s="39">
        <v>3.82947881002377</v>
      </c>
      <c r="B3527" s="45">
        <v>8.5</v>
      </c>
      <c r="D3527" s="2"/>
      <c r="E3527" s="31"/>
      <c r="G3527" s="43"/>
      <c r="H3527" s="2"/>
    </row>
    <row r="3528" spans="1:8">
      <c r="A3528" s="39">
        <v>3.82943994575527</v>
      </c>
      <c r="B3528" s="45">
        <v>7.2</v>
      </c>
      <c r="D3528" s="2"/>
      <c r="E3528" s="31"/>
      <c r="G3528" s="43"/>
      <c r="H3528" s="2"/>
    </row>
    <row r="3529" spans="1:8">
      <c r="A3529" s="39">
        <v>3.82906562449588</v>
      </c>
      <c r="B3529" s="45">
        <v>13.4</v>
      </c>
      <c r="D3529" s="2"/>
      <c r="E3529" s="31"/>
      <c r="G3529" s="43"/>
      <c r="H3529" s="2"/>
    </row>
    <row r="3530" spans="1:8">
      <c r="A3530" s="39">
        <v>3.82894130907037</v>
      </c>
      <c r="B3530" s="45">
        <v>2</v>
      </c>
      <c r="D3530" s="2"/>
      <c r="E3530" s="31"/>
      <c r="G3530" s="43"/>
      <c r="H3530" s="2"/>
    </row>
    <row r="3531" spans="1:8">
      <c r="A3531" s="39">
        <v>3.82840358615968</v>
      </c>
      <c r="B3531" s="45">
        <v>3.5</v>
      </c>
      <c r="D3531" s="2"/>
      <c r="E3531" s="31"/>
      <c r="G3531" s="43"/>
      <c r="H3531" s="2"/>
    </row>
    <row r="3532" spans="1:8">
      <c r="A3532" s="39">
        <v>3.82840358615968</v>
      </c>
      <c r="B3532" s="45">
        <v>11.9</v>
      </c>
      <c r="D3532" s="2"/>
      <c r="E3532" s="31"/>
      <c r="G3532" s="43"/>
      <c r="H3532" s="2"/>
    </row>
    <row r="3533" spans="1:8">
      <c r="A3533" s="39">
        <v>3.82820615448923</v>
      </c>
      <c r="B3533" s="45">
        <v>11.7</v>
      </c>
      <c r="D3533" s="2"/>
      <c r="E3533" s="31"/>
      <c r="G3533" s="43"/>
      <c r="H3533" s="2"/>
    </row>
    <row r="3534" spans="1:8">
      <c r="A3534" s="39">
        <v>3.82817077312227</v>
      </c>
      <c r="B3534" s="45">
        <v>4.8</v>
      </c>
      <c r="D3534" s="2"/>
      <c r="E3534" s="31"/>
      <c r="G3534" s="43"/>
      <c r="H3534" s="2"/>
    </row>
    <row r="3535" spans="1:8">
      <c r="A3535" s="39">
        <v>3.82808097861833</v>
      </c>
      <c r="B3535" s="45">
        <v>12</v>
      </c>
      <c r="D3535" s="2"/>
      <c r="E3535" s="31"/>
      <c r="G3535" s="43"/>
      <c r="H3535" s="2"/>
    </row>
    <row r="3536" spans="1:8">
      <c r="A3536" s="39">
        <v>3.82783283886133</v>
      </c>
      <c r="B3536" s="45">
        <v>4.7</v>
      </c>
      <c r="D3536" s="2"/>
      <c r="E3536" s="31"/>
      <c r="G3536" s="43"/>
      <c r="H3536" s="2"/>
    </row>
    <row r="3537" spans="1:8">
      <c r="A3537" s="39">
        <v>3.82783283886133</v>
      </c>
      <c r="B3537" s="45">
        <v>1.55</v>
      </c>
      <c r="D3537" s="2"/>
      <c r="E3537" s="31"/>
      <c r="G3537" s="43"/>
      <c r="H3537" s="2"/>
    </row>
    <row r="3538" spans="1:8">
      <c r="A3538" s="39">
        <v>3.82717374443528</v>
      </c>
      <c r="B3538" s="45">
        <v>2</v>
      </c>
      <c r="D3538" s="2"/>
      <c r="E3538" s="31"/>
      <c r="G3538" s="43"/>
      <c r="H3538" s="2"/>
    </row>
    <row r="3539" spans="1:8">
      <c r="A3539" s="39">
        <v>3.82704199011863</v>
      </c>
      <c r="B3539" s="45">
        <v>5</v>
      </c>
      <c r="D3539" s="2"/>
      <c r="E3539" s="31"/>
      <c r="G3539" s="43"/>
      <c r="H3539" s="2"/>
    </row>
    <row r="3540" spans="1:8">
      <c r="A3540" s="39">
        <v>3.82699608484124</v>
      </c>
      <c r="B3540" s="45">
        <v>9.4</v>
      </c>
      <c r="D3540" s="2"/>
      <c r="E3540" s="31"/>
      <c r="G3540" s="43"/>
      <c r="H3540" s="2"/>
    </row>
    <row r="3541" spans="1:8">
      <c r="A3541" s="39">
        <v>3.82677371065219</v>
      </c>
      <c r="B3541" s="45">
        <v>10</v>
      </c>
      <c r="D3541" s="2"/>
      <c r="E3541" s="31"/>
      <c r="G3541" s="43"/>
      <c r="H3541" s="2"/>
    </row>
    <row r="3542" spans="1:8">
      <c r="A3542" s="39">
        <v>3.8263724185001</v>
      </c>
      <c r="B3542" s="45">
        <v>9</v>
      </c>
      <c r="D3542" s="2"/>
      <c r="E3542" s="31"/>
      <c r="G3542" s="43"/>
      <c r="H3542" s="2"/>
    </row>
    <row r="3543" spans="1:8">
      <c r="A3543" s="39">
        <v>3.82603012008799</v>
      </c>
      <c r="B3543" s="45">
        <v>16.4</v>
      </c>
      <c r="D3543" s="2"/>
      <c r="E3543" s="31"/>
      <c r="G3543" s="43"/>
      <c r="H3543" s="2"/>
    </row>
    <row r="3544" spans="1:8">
      <c r="A3544" s="39">
        <v>3.82603012008799</v>
      </c>
      <c r="B3544" s="45">
        <v>10.5</v>
      </c>
      <c r="D3544" s="2"/>
      <c r="E3544" s="31"/>
      <c r="G3544" s="43"/>
      <c r="H3544" s="2"/>
    </row>
    <row r="3545" spans="1:8">
      <c r="A3545" s="39">
        <v>3.8255885835228</v>
      </c>
      <c r="B3545" s="45">
        <v>5.3</v>
      </c>
      <c r="D3545" s="2"/>
      <c r="E3545" s="31"/>
      <c r="G3545" s="43"/>
      <c r="H3545" s="2"/>
    </row>
    <row r="3546" spans="1:8">
      <c r="A3546" s="39">
        <v>3.82534126681515</v>
      </c>
      <c r="B3546" s="45">
        <v>3</v>
      </c>
      <c r="D3546" s="2"/>
      <c r="E3546" s="31"/>
      <c r="G3546" s="43"/>
      <c r="H3546" s="2"/>
    </row>
    <row r="3547" spans="1:8">
      <c r="A3547" s="39">
        <v>3.82534126681515</v>
      </c>
      <c r="B3547" s="45">
        <v>4.1</v>
      </c>
      <c r="D3547" s="2"/>
      <c r="E3547" s="31"/>
      <c r="G3547" s="43"/>
      <c r="H3547" s="2"/>
    </row>
    <row r="3548" spans="1:8">
      <c r="A3548" s="39">
        <v>3.8252667305179</v>
      </c>
      <c r="B3548" s="45">
        <v>6</v>
      </c>
      <c r="D3548" s="2"/>
      <c r="E3548" s="31"/>
      <c r="G3548" s="43"/>
      <c r="H3548" s="2"/>
    </row>
    <row r="3549" spans="1:8">
      <c r="A3549" s="39">
        <v>3.82502581550221</v>
      </c>
      <c r="B3549" s="45">
        <v>10</v>
      </c>
      <c r="D3549" s="2"/>
      <c r="E3549" s="31"/>
      <c r="G3549" s="43"/>
      <c r="H3549" s="2"/>
    </row>
    <row r="3550" spans="1:8">
      <c r="A3550" s="39">
        <v>3.82477812463639</v>
      </c>
      <c r="B3550" s="45">
        <v>4</v>
      </c>
      <c r="D3550" s="2"/>
      <c r="E3550" s="31"/>
      <c r="G3550" s="43"/>
      <c r="H3550" s="2"/>
    </row>
    <row r="3551" spans="1:8">
      <c r="A3551" s="39">
        <v>3.82477812463639</v>
      </c>
      <c r="B3551" s="45">
        <v>4</v>
      </c>
      <c r="D3551" s="2"/>
      <c r="E3551" s="31"/>
      <c r="G3551" s="43"/>
      <c r="H3551" s="2"/>
    </row>
    <row r="3552" spans="1:8">
      <c r="A3552" s="39">
        <v>3.82467394326088</v>
      </c>
      <c r="B3552" s="45">
        <v>11.95</v>
      </c>
      <c r="D3552" s="2"/>
      <c r="E3552" s="31"/>
      <c r="G3552" s="43"/>
      <c r="H3552" s="2"/>
    </row>
    <row r="3553" spans="1:8">
      <c r="A3553" s="39">
        <v>3.82467394326088</v>
      </c>
      <c r="B3553" s="45">
        <v>9.4</v>
      </c>
      <c r="D3553" s="2"/>
      <c r="E3553" s="31"/>
      <c r="G3553" s="43"/>
      <c r="H3553" s="2"/>
    </row>
    <row r="3554" spans="1:8">
      <c r="A3554" s="39">
        <v>3.82462504489663</v>
      </c>
      <c r="B3554" s="45">
        <v>3.8</v>
      </c>
      <c r="D3554" s="2"/>
      <c r="E3554" s="31"/>
      <c r="G3554" s="43"/>
      <c r="H3554" s="2"/>
    </row>
    <row r="3555" spans="1:8">
      <c r="A3555" s="39">
        <v>3.82435251400327</v>
      </c>
      <c r="B3555" s="45">
        <v>8.7</v>
      </c>
      <c r="D3555" s="2"/>
      <c r="E3555" s="31"/>
      <c r="G3555" s="43"/>
      <c r="H3555" s="2"/>
    </row>
    <row r="3556" spans="1:8">
      <c r="A3556" s="39">
        <v>3.82435251400327</v>
      </c>
      <c r="B3556" s="45">
        <v>13.4</v>
      </c>
      <c r="D3556" s="2"/>
      <c r="E3556" s="31"/>
      <c r="G3556" s="43"/>
      <c r="H3556" s="2"/>
    </row>
    <row r="3557" spans="1:8">
      <c r="A3557" s="39">
        <v>3.82367921250432</v>
      </c>
      <c r="B3557" s="45">
        <v>7.9</v>
      </c>
      <c r="D3557" s="2"/>
      <c r="E3557" s="31"/>
      <c r="G3557" s="43"/>
      <c r="H3557" s="2"/>
    </row>
    <row r="3558" spans="1:8">
      <c r="A3558" s="39">
        <v>3.82362012820853</v>
      </c>
      <c r="B3558" s="45">
        <v>10.6</v>
      </c>
      <c r="D3558" s="2"/>
      <c r="E3558" s="31"/>
      <c r="G3558" s="43"/>
      <c r="H3558" s="2"/>
    </row>
    <row r="3559" spans="1:8">
      <c r="A3559" s="39">
        <v>3.8234432200073</v>
      </c>
      <c r="B3559" s="45">
        <v>27</v>
      </c>
      <c r="D3559" s="2"/>
      <c r="E3559" s="31"/>
      <c r="G3559" s="43"/>
      <c r="H3559" s="2"/>
    </row>
    <row r="3560" spans="1:8">
      <c r="A3560" s="39">
        <v>3.82311893110562</v>
      </c>
      <c r="B3560" s="45">
        <v>10.2</v>
      </c>
      <c r="D3560" s="2"/>
      <c r="E3560" s="31"/>
      <c r="G3560" s="43"/>
      <c r="H3560" s="2"/>
    </row>
    <row r="3561" spans="1:8">
      <c r="A3561" s="39">
        <v>3.82300591100538</v>
      </c>
      <c r="B3561" s="45">
        <v>2</v>
      </c>
      <c r="D3561" s="2"/>
      <c r="E3561" s="31"/>
      <c r="G3561" s="43"/>
      <c r="H3561" s="2"/>
    </row>
    <row r="3562" spans="1:8">
      <c r="A3562" s="39">
        <v>3.8229438878504</v>
      </c>
      <c r="B3562" s="45">
        <v>1.9</v>
      </c>
      <c r="D3562" s="2"/>
      <c r="E3562" s="31"/>
      <c r="G3562" s="43"/>
      <c r="H3562" s="2"/>
    </row>
    <row r="3563" spans="1:8">
      <c r="A3563" s="39">
        <v>3.8229438878504</v>
      </c>
      <c r="B3563" s="45">
        <v>4.5</v>
      </c>
      <c r="D3563" s="2"/>
      <c r="E3563" s="31"/>
      <c r="G3563" s="43"/>
      <c r="H3563" s="2"/>
    </row>
    <row r="3564" spans="1:8">
      <c r="A3564" s="39">
        <v>3.82272473623733</v>
      </c>
      <c r="B3564" s="45">
        <v>5</v>
      </c>
      <c r="D3564" s="2"/>
      <c r="E3564" s="31"/>
      <c r="G3564" s="43"/>
      <c r="H3564" s="2"/>
    </row>
    <row r="3565" spans="1:8">
      <c r="A3565" s="39">
        <v>3.82247637914107</v>
      </c>
      <c r="B3565" s="45">
        <v>5.5</v>
      </c>
      <c r="D3565" s="2"/>
      <c r="E3565" s="31"/>
      <c r="G3565" s="43"/>
      <c r="H3565" s="2"/>
    </row>
    <row r="3566" spans="1:8">
      <c r="A3566" s="39">
        <v>3.82239113386002</v>
      </c>
      <c r="B3566" s="45">
        <v>14.6</v>
      </c>
      <c r="D3566" s="2"/>
      <c r="E3566" s="31"/>
      <c r="G3566" s="43"/>
      <c r="H3566" s="2"/>
    </row>
    <row r="3567" spans="1:8">
      <c r="A3567" s="39">
        <v>3.82213605993208</v>
      </c>
      <c r="B3567" s="45">
        <v>5</v>
      </c>
      <c r="D3567" s="2"/>
      <c r="E3567" s="31"/>
      <c r="G3567" s="43"/>
      <c r="H3567" s="2"/>
    </row>
    <row r="3568" spans="1:8">
      <c r="A3568" s="39">
        <v>3.8220698302267</v>
      </c>
      <c r="B3568" s="45">
        <v>10.7</v>
      </c>
      <c r="D3568" s="2"/>
      <c r="E3568" s="31"/>
      <c r="G3568" s="43"/>
      <c r="H3568" s="2"/>
    </row>
    <row r="3569" spans="1:8">
      <c r="A3569" s="39">
        <v>3.82176015722255</v>
      </c>
      <c r="B3569" s="45">
        <v>10</v>
      </c>
      <c r="D3569" s="2"/>
      <c r="E3569" s="31"/>
      <c r="G3569" s="43"/>
      <c r="H3569" s="2"/>
    </row>
    <row r="3570" spans="1:8">
      <c r="A3570" s="39">
        <v>3.82174892039235</v>
      </c>
      <c r="B3570" s="45">
        <v>5.5</v>
      </c>
      <c r="D3570" s="2"/>
      <c r="E3570" s="31"/>
      <c r="G3570" s="43"/>
      <c r="H3570" s="2"/>
    </row>
    <row r="3571" spans="1:8">
      <c r="A3571" s="39">
        <v>3.82165930800749</v>
      </c>
      <c r="B3571" s="45">
        <v>10.5</v>
      </c>
      <c r="D3571" s="2"/>
      <c r="E3571" s="31"/>
      <c r="G3571" s="43"/>
      <c r="H3571" s="2"/>
    </row>
    <row r="3572" spans="1:8">
      <c r="A3572" s="39">
        <v>3.8214376966285</v>
      </c>
      <c r="B3572" s="45">
        <v>12.4</v>
      </c>
      <c r="D3572" s="2"/>
      <c r="E3572" s="31"/>
      <c r="G3572" s="43"/>
      <c r="H3572" s="2"/>
    </row>
    <row r="3573" spans="1:8">
      <c r="A3573" s="39">
        <v>3.8213971393798</v>
      </c>
      <c r="B3573" s="45">
        <v>9.8</v>
      </c>
      <c r="D3573" s="2"/>
      <c r="E3573" s="31"/>
      <c r="G3573" s="43"/>
      <c r="H3573" s="2"/>
    </row>
    <row r="3574" spans="1:8">
      <c r="A3574" s="39">
        <v>3.82136607956748</v>
      </c>
      <c r="B3574" s="45">
        <v>11.2</v>
      </c>
      <c r="D3574" s="2"/>
      <c r="E3574" s="31"/>
      <c r="G3574" s="43"/>
      <c r="H3574" s="2"/>
    </row>
    <row r="3575" spans="1:8">
      <c r="A3575" s="39">
        <v>3.82135581063797</v>
      </c>
      <c r="B3575" s="45">
        <v>8.7</v>
      </c>
      <c r="D3575" s="2"/>
      <c r="E3575" s="31"/>
      <c r="G3575" s="43"/>
      <c r="H3575" s="2"/>
    </row>
    <row r="3576" spans="1:8">
      <c r="A3576" s="39">
        <v>3.82104535836724</v>
      </c>
      <c r="B3576" s="45">
        <v>4.5</v>
      </c>
      <c r="D3576" s="2"/>
      <c r="E3576" s="31"/>
      <c r="G3576" s="43"/>
      <c r="H3576" s="2"/>
    </row>
    <row r="3577" spans="1:8">
      <c r="A3577" s="39">
        <v>3.82104535836724</v>
      </c>
      <c r="B3577" s="45">
        <v>16</v>
      </c>
      <c r="D3577" s="2"/>
      <c r="E3577" s="31"/>
      <c r="G3577" s="43"/>
      <c r="H3577" s="2"/>
    </row>
    <row r="3578" spans="1:8">
      <c r="A3578" s="39">
        <v>3.82104535836724</v>
      </c>
      <c r="B3578" s="45">
        <v>9.1</v>
      </c>
      <c r="D3578" s="2"/>
      <c r="E3578" s="31"/>
      <c r="G3578" s="43"/>
      <c r="H3578" s="2"/>
    </row>
    <row r="3579" spans="1:8">
      <c r="A3579" s="39">
        <v>3.82093553936883</v>
      </c>
      <c r="B3579" s="45">
        <v>1</v>
      </c>
      <c r="D3579" s="2"/>
      <c r="E3579" s="31"/>
      <c r="G3579" s="43"/>
      <c r="H3579" s="2"/>
    </row>
    <row r="3580" spans="1:8">
      <c r="A3580" s="39">
        <v>3.82085313374165</v>
      </c>
      <c r="B3580" s="45">
        <v>5.9</v>
      </c>
      <c r="D3580" s="2"/>
      <c r="E3580" s="31"/>
      <c r="G3580" s="43"/>
      <c r="H3580" s="2"/>
    </row>
    <row r="3581" spans="1:8">
      <c r="A3581" s="39">
        <v>3.82082889985686</v>
      </c>
      <c r="B3581" s="45">
        <v>13.2</v>
      </c>
      <c r="D3581" s="2"/>
      <c r="E3581" s="31"/>
      <c r="G3581" s="43"/>
      <c r="H3581" s="2"/>
    </row>
    <row r="3582" spans="1:8">
      <c r="A3582" s="39">
        <v>3.82034179634213</v>
      </c>
      <c r="B3582" s="45">
        <v>13.5</v>
      </c>
      <c r="D3582" s="2"/>
      <c r="E3582" s="31"/>
      <c r="G3582" s="43"/>
      <c r="H3582" s="2"/>
    </row>
    <row r="3583" spans="1:8">
      <c r="A3583" s="39">
        <v>3.82017531981926</v>
      </c>
      <c r="B3583" s="45">
        <v>17</v>
      </c>
      <c r="D3583" s="2"/>
      <c r="E3583" s="31"/>
      <c r="G3583" s="43"/>
      <c r="H3583" s="2"/>
    </row>
    <row r="3584" spans="1:8">
      <c r="A3584" s="39">
        <v>3.81998274224182</v>
      </c>
      <c r="B3584" s="45">
        <v>8</v>
      </c>
      <c r="D3584" s="2"/>
      <c r="E3584" s="31"/>
      <c r="G3584" s="43"/>
      <c r="H3584" s="2"/>
    </row>
    <row r="3585" spans="1:8">
      <c r="A3585" s="39">
        <v>3.81995857824904</v>
      </c>
      <c r="B3585" s="45">
        <v>6.5</v>
      </c>
      <c r="D3585" s="2"/>
      <c r="E3585" s="31"/>
      <c r="G3585" s="43"/>
      <c r="H3585" s="2"/>
    </row>
    <row r="3586" spans="1:8">
      <c r="A3586" s="39">
        <v>3.81995857824904</v>
      </c>
      <c r="B3586" s="45">
        <v>11.8</v>
      </c>
      <c r="D3586" s="2"/>
      <c r="E3586" s="31"/>
      <c r="G3586" s="43"/>
      <c r="H3586" s="2"/>
    </row>
    <row r="3587" spans="1:8">
      <c r="A3587" s="39">
        <v>3.81965545616776</v>
      </c>
      <c r="B3587" s="45">
        <v>3.7</v>
      </c>
      <c r="D3587" s="2"/>
      <c r="E3587" s="31"/>
      <c r="G3587" s="43"/>
      <c r="H3587" s="2"/>
    </row>
    <row r="3588" spans="1:8">
      <c r="A3588" s="39">
        <v>3.81930242223891</v>
      </c>
      <c r="B3588" s="45">
        <v>4.7</v>
      </c>
      <c r="D3588" s="2"/>
      <c r="E3588" s="31"/>
      <c r="G3588" s="43"/>
      <c r="H3588" s="2"/>
    </row>
    <row r="3589" spans="1:8">
      <c r="A3589" s="39">
        <v>3.81893467229191</v>
      </c>
      <c r="B3589" s="45">
        <v>9.8</v>
      </c>
      <c r="D3589" s="2"/>
      <c r="E3589" s="31"/>
      <c r="G3589" s="43"/>
      <c r="H3589" s="2"/>
    </row>
    <row r="3590" spans="1:8">
      <c r="A3590" s="39">
        <v>3.81854136972524</v>
      </c>
      <c r="B3590" s="45">
        <v>11.2</v>
      </c>
      <c r="D3590" s="2"/>
      <c r="E3590" s="31"/>
      <c r="G3590" s="43"/>
      <c r="H3590" s="2"/>
    </row>
    <row r="3591" spans="1:8">
      <c r="A3591" s="39">
        <v>3.81817904762995</v>
      </c>
      <c r="B3591" s="45">
        <v>17</v>
      </c>
      <c r="D3591" s="2"/>
      <c r="E3591" s="31"/>
      <c r="G3591" s="43"/>
      <c r="H3591" s="2"/>
    </row>
    <row r="3592" spans="1:8">
      <c r="A3592" s="39">
        <v>3.81817904762995</v>
      </c>
      <c r="B3592" s="45">
        <v>0.7</v>
      </c>
      <c r="D3592" s="2"/>
      <c r="E3592" s="31"/>
      <c r="G3592" s="43"/>
      <c r="H3592" s="2"/>
    </row>
    <row r="3593" spans="1:8">
      <c r="A3593" s="39">
        <v>3.81817904762995</v>
      </c>
      <c r="B3593" s="45">
        <v>14</v>
      </c>
      <c r="D3593" s="2"/>
      <c r="E3593" s="31"/>
      <c r="G3593" s="43"/>
      <c r="H3593" s="2"/>
    </row>
    <row r="3594" spans="1:8">
      <c r="A3594" s="39">
        <v>3.81761949901383</v>
      </c>
      <c r="B3594" s="45">
        <v>11.1</v>
      </c>
      <c r="D3594" s="2"/>
      <c r="E3594" s="31"/>
      <c r="G3594" s="43"/>
      <c r="H3594" s="2"/>
    </row>
    <row r="3595" spans="1:8">
      <c r="A3595" s="39">
        <v>3.81729655314086</v>
      </c>
      <c r="B3595" s="45">
        <v>8.8</v>
      </c>
      <c r="D3595" s="2"/>
      <c r="E3595" s="31"/>
      <c r="G3595" s="43"/>
      <c r="H3595" s="2"/>
    </row>
    <row r="3596" spans="1:8">
      <c r="A3596" s="39">
        <v>3.81724903383986</v>
      </c>
      <c r="B3596" s="45">
        <v>8</v>
      </c>
      <c r="D3596" s="2"/>
      <c r="E3596" s="31"/>
      <c r="G3596" s="43"/>
      <c r="H3596" s="2"/>
    </row>
    <row r="3597" spans="1:8">
      <c r="A3597" s="39">
        <v>3.81647220520403</v>
      </c>
      <c r="B3597" s="45">
        <v>7.7</v>
      </c>
      <c r="D3597" s="2"/>
      <c r="E3597" s="31"/>
      <c r="G3597" s="43"/>
      <c r="H3597" s="2"/>
    </row>
    <row r="3598" spans="1:8">
      <c r="A3598" s="39">
        <v>3.81643982495294</v>
      </c>
      <c r="B3598" s="45">
        <v>11.5</v>
      </c>
      <c r="D3598" s="2"/>
      <c r="E3598" s="31"/>
      <c r="G3598" s="43"/>
      <c r="H3598" s="2"/>
    </row>
    <row r="3599" spans="1:8">
      <c r="A3599" s="39">
        <v>3.81638450309033</v>
      </c>
      <c r="B3599" s="45">
        <v>2.3</v>
      </c>
      <c r="D3599" s="2"/>
      <c r="E3599" s="31"/>
      <c r="G3599" s="43"/>
      <c r="H3599" s="2"/>
    </row>
    <row r="3600" spans="1:8">
      <c r="A3600" s="39">
        <v>3.8163453562751</v>
      </c>
      <c r="B3600" s="45">
        <v>10.6</v>
      </c>
      <c r="D3600" s="2"/>
      <c r="E3600" s="31"/>
      <c r="G3600" s="43"/>
      <c r="H3600" s="2"/>
    </row>
    <row r="3601" spans="1:8">
      <c r="A3601" s="39">
        <v>3.8163453562751</v>
      </c>
      <c r="B3601" s="45">
        <v>4</v>
      </c>
      <c r="D3601" s="2"/>
      <c r="E3601" s="31"/>
      <c r="G3601" s="43"/>
      <c r="H3601" s="2"/>
    </row>
    <row r="3602" spans="1:8">
      <c r="A3602" s="39">
        <v>3.81602518308768</v>
      </c>
      <c r="B3602" s="45">
        <v>7.4</v>
      </c>
      <c r="D3602" s="2"/>
      <c r="E3602" s="31"/>
      <c r="G3602" s="43"/>
      <c r="H3602" s="2"/>
    </row>
    <row r="3603" spans="1:8">
      <c r="A3603" s="39">
        <v>3.81584095864967</v>
      </c>
      <c r="B3603" s="45">
        <v>10</v>
      </c>
      <c r="D3603" s="2"/>
      <c r="E3603" s="31"/>
      <c r="G3603" s="43"/>
      <c r="H3603" s="2"/>
    </row>
    <row r="3604" spans="1:8">
      <c r="A3604" s="39">
        <v>3.81561787908176</v>
      </c>
      <c r="B3604" s="45">
        <v>3.6</v>
      </c>
      <c r="D3604" s="2"/>
      <c r="E3604" s="31"/>
      <c r="G3604" s="43"/>
      <c r="H3604" s="2"/>
    </row>
    <row r="3605" spans="1:8">
      <c r="A3605" s="39">
        <v>3.81541686216637</v>
      </c>
      <c r="B3605" s="45">
        <v>7.8</v>
      </c>
      <c r="D3605" s="2"/>
      <c r="E3605" s="31"/>
      <c r="G3605" s="43"/>
      <c r="H3605" s="2"/>
    </row>
    <row r="3606" spans="1:8">
      <c r="A3606" s="39">
        <v>3.8150642097351</v>
      </c>
      <c r="B3606" s="45">
        <v>9.3</v>
      </c>
      <c r="D3606" s="2"/>
      <c r="E3606" s="31"/>
      <c r="G3606" s="43"/>
      <c r="H3606" s="2"/>
    </row>
    <row r="3607" spans="1:8">
      <c r="A3607" s="39">
        <v>3.81503232363449</v>
      </c>
      <c r="B3607" s="45">
        <v>21</v>
      </c>
      <c r="D3607" s="2"/>
      <c r="E3607" s="31"/>
      <c r="G3607" s="43"/>
      <c r="H3607" s="2"/>
    </row>
    <row r="3608" spans="1:8">
      <c r="A3608" s="39">
        <v>3.81492629301805</v>
      </c>
      <c r="B3608" s="45">
        <v>11.3</v>
      </c>
      <c r="D3608" s="2"/>
      <c r="E3608" s="31"/>
      <c r="G3608" s="43"/>
      <c r="H3608" s="2"/>
    </row>
    <row r="3609" spans="1:8">
      <c r="A3609" s="39">
        <v>3.81471330014126</v>
      </c>
      <c r="B3609" s="45">
        <v>7.5</v>
      </c>
      <c r="D3609" s="2"/>
      <c r="E3609" s="31"/>
      <c r="G3609" s="43"/>
      <c r="H3609" s="2"/>
    </row>
    <row r="3610" spans="1:8">
      <c r="A3610" s="39">
        <v>3.81471330014126</v>
      </c>
      <c r="B3610" s="45">
        <v>11.4</v>
      </c>
      <c r="D3610" s="2"/>
      <c r="E3610" s="31"/>
      <c r="G3610" s="43"/>
      <c r="H3610" s="2"/>
    </row>
    <row r="3611" spans="1:8">
      <c r="A3611" s="39">
        <v>3.81459793803735</v>
      </c>
      <c r="B3611" s="45">
        <v>9.5</v>
      </c>
      <c r="D3611" s="2"/>
      <c r="E3611" s="31"/>
      <c r="G3611" s="43"/>
      <c r="H3611" s="2"/>
    </row>
    <row r="3612" spans="1:8">
      <c r="A3612" s="39">
        <v>3.81459793803735</v>
      </c>
      <c r="B3612" s="45">
        <v>8.3</v>
      </c>
      <c r="D3612" s="2"/>
      <c r="E3612" s="31"/>
      <c r="G3612" s="43"/>
      <c r="H3612" s="2"/>
    </row>
    <row r="3613" spans="1:8">
      <c r="A3613" s="39">
        <v>3.81438536415849</v>
      </c>
      <c r="B3613" s="45">
        <v>0</v>
      </c>
      <c r="D3613" s="2"/>
      <c r="E3613" s="31"/>
      <c r="G3613" s="43"/>
      <c r="H3613" s="2"/>
    </row>
    <row r="3614" spans="1:8">
      <c r="A3614" s="39">
        <v>3.81416292469508</v>
      </c>
      <c r="B3614" s="45">
        <v>10.5</v>
      </c>
      <c r="D3614" s="2"/>
      <c r="E3614" s="31"/>
      <c r="G3614" s="43"/>
      <c r="H3614" s="2"/>
    </row>
    <row r="3615" spans="1:8">
      <c r="A3615" s="39">
        <v>3.81365756691289</v>
      </c>
      <c r="B3615" s="45">
        <v>6.4</v>
      </c>
      <c r="D3615" s="2"/>
      <c r="E3615" s="31"/>
      <c r="G3615" s="43"/>
      <c r="H3615" s="2"/>
    </row>
    <row r="3616" spans="1:8">
      <c r="A3616" s="39">
        <v>3.81365756691289</v>
      </c>
      <c r="B3616" s="45">
        <v>12</v>
      </c>
      <c r="D3616" s="2"/>
      <c r="E3616" s="31"/>
      <c r="G3616" s="43"/>
      <c r="H3616" s="2"/>
    </row>
    <row r="3617" spans="1:8">
      <c r="A3617" s="39">
        <v>3.81363951944318</v>
      </c>
      <c r="B3617" s="45">
        <v>8.5</v>
      </c>
      <c r="D3617" s="2"/>
      <c r="E3617" s="31"/>
      <c r="G3617" s="43"/>
      <c r="H3617" s="2"/>
    </row>
    <row r="3618" spans="1:8">
      <c r="A3618" s="39">
        <v>3.81316549420031</v>
      </c>
      <c r="B3618" s="45">
        <v>10</v>
      </c>
      <c r="D3618" s="2"/>
      <c r="E3618" s="31"/>
      <c r="G3618" s="43"/>
      <c r="H3618" s="2"/>
    </row>
    <row r="3619" spans="1:8">
      <c r="A3619" s="39">
        <v>3.81314226302994</v>
      </c>
      <c r="B3619" s="45">
        <v>7.8</v>
      </c>
      <c r="D3619" s="2"/>
      <c r="E3619" s="31"/>
      <c r="G3619" s="43"/>
      <c r="H3619" s="2"/>
    </row>
    <row r="3620" spans="1:8">
      <c r="A3620" s="39">
        <v>3.81314225704175</v>
      </c>
      <c r="B3620" s="45">
        <v>5.7</v>
      </c>
      <c r="D3620" s="2"/>
      <c r="E3620" s="31"/>
      <c r="G3620" s="43"/>
      <c r="H3620" s="2"/>
    </row>
    <row r="3621" spans="1:8">
      <c r="A3621" s="39">
        <v>3.8131135500129</v>
      </c>
      <c r="B3621" s="45">
        <v>12.4</v>
      </c>
      <c r="D3621" s="2"/>
      <c r="E3621" s="31"/>
      <c r="G3621" s="43"/>
      <c r="H3621" s="2"/>
    </row>
    <row r="3622" spans="1:8">
      <c r="A3622" s="39">
        <v>3.81270797030839</v>
      </c>
      <c r="B3622" s="45">
        <v>9.5</v>
      </c>
      <c r="D3622" s="2"/>
      <c r="E3622" s="31"/>
      <c r="G3622" s="43"/>
      <c r="H3622" s="2"/>
    </row>
    <row r="3623" spans="1:8">
      <c r="A3623" s="39">
        <v>3.81270797030839</v>
      </c>
      <c r="B3623" s="45">
        <v>17.5</v>
      </c>
      <c r="D3623" s="2"/>
      <c r="E3623" s="31"/>
      <c r="G3623" s="43"/>
      <c r="H3623" s="2"/>
    </row>
    <row r="3624" spans="1:8">
      <c r="A3624" s="39">
        <v>3.81245779424207</v>
      </c>
      <c r="B3624" s="45">
        <v>3.4</v>
      </c>
      <c r="D3624" s="2"/>
      <c r="E3624" s="31"/>
      <c r="G3624" s="43"/>
      <c r="H3624" s="2"/>
    </row>
    <row r="3625" spans="1:8">
      <c r="A3625" s="39">
        <v>3.81223308702227</v>
      </c>
      <c r="B3625" s="45">
        <v>9.8</v>
      </c>
      <c r="D3625" s="2"/>
      <c r="E3625" s="31"/>
      <c r="G3625" s="43"/>
      <c r="H3625" s="2"/>
    </row>
    <row r="3626" spans="1:8">
      <c r="A3626" s="39">
        <v>3.81218128967737</v>
      </c>
      <c r="B3626" s="45">
        <v>1.6</v>
      </c>
      <c r="D3626" s="2"/>
      <c r="E3626" s="31"/>
      <c r="G3626" s="43"/>
      <c r="H3626" s="2"/>
    </row>
    <row r="3627" spans="1:8">
      <c r="A3627" s="39">
        <v>3.81155978552333</v>
      </c>
      <c r="B3627" s="45">
        <v>15.8</v>
      </c>
      <c r="D3627" s="2"/>
      <c r="E3627" s="31"/>
      <c r="G3627" s="43"/>
      <c r="H3627" s="2"/>
    </row>
    <row r="3628" spans="1:8">
      <c r="A3628" s="39">
        <v>3.81155978552333</v>
      </c>
      <c r="B3628" s="45">
        <v>11</v>
      </c>
      <c r="D3628" s="2"/>
      <c r="E3628" s="31"/>
      <c r="G3628" s="43"/>
      <c r="H3628" s="2"/>
    </row>
    <row r="3629" spans="1:8">
      <c r="A3629" s="39">
        <v>3.81147807347419</v>
      </c>
      <c r="B3629" s="45">
        <v>5.1</v>
      </c>
      <c r="D3629" s="2"/>
      <c r="E3629" s="31"/>
      <c r="G3629" s="43"/>
      <c r="H3629" s="2"/>
    </row>
    <row r="3630" spans="1:8">
      <c r="A3630" s="39">
        <v>3.81147807347419</v>
      </c>
      <c r="B3630" s="45">
        <v>3.7</v>
      </c>
      <c r="D3630" s="2"/>
      <c r="E3630" s="31"/>
      <c r="G3630" s="43"/>
      <c r="H3630" s="44"/>
    </row>
    <row r="3631" spans="1:8">
      <c r="A3631" s="39">
        <v>3.81125301592171</v>
      </c>
      <c r="B3631" s="45">
        <v>26.4</v>
      </c>
      <c r="D3631" s="2"/>
      <c r="E3631" s="31"/>
      <c r="G3631" s="43"/>
      <c r="H3631" s="44"/>
    </row>
    <row r="3632" spans="1:8">
      <c r="A3632" s="39">
        <v>3.81101682844475</v>
      </c>
      <c r="B3632" s="45">
        <v>8.7</v>
      </c>
      <c r="D3632" s="2"/>
      <c r="E3632" s="31"/>
      <c r="G3632" s="43"/>
      <c r="H3632" s="44"/>
    </row>
    <row r="3633" spans="1:8">
      <c r="A3633" s="39">
        <v>3.81101682844475</v>
      </c>
      <c r="B3633" s="45">
        <v>16</v>
      </c>
      <c r="D3633" s="2"/>
      <c r="E3633" s="31"/>
      <c r="G3633" s="43"/>
      <c r="H3633" s="44"/>
    </row>
    <row r="3634" spans="1:8">
      <c r="A3634" s="39">
        <v>3.81088648402438</v>
      </c>
      <c r="B3634" s="45">
        <v>7</v>
      </c>
      <c r="D3634" s="2"/>
      <c r="E3634" s="31"/>
      <c r="G3634" s="43"/>
      <c r="H3634" s="44"/>
    </row>
    <row r="3635" spans="1:8">
      <c r="A3635" s="39">
        <v>3.81085238828029</v>
      </c>
      <c r="B3635" s="45">
        <v>7.7</v>
      </c>
      <c r="D3635" s="2"/>
      <c r="E3635" s="31"/>
      <c r="G3635" s="43"/>
      <c r="H3635" s="44"/>
    </row>
    <row r="3636" spans="1:8">
      <c r="A3636" s="39">
        <v>3.81049192799061</v>
      </c>
      <c r="B3636" s="45">
        <v>8.3</v>
      </c>
      <c r="D3636" s="2"/>
      <c r="E3636" s="31"/>
      <c r="G3636" s="43"/>
      <c r="H3636" s="44"/>
    </row>
    <row r="3637" spans="1:8">
      <c r="A3637" s="39">
        <v>3.81039936319789</v>
      </c>
      <c r="B3637" s="45">
        <v>3.5</v>
      </c>
      <c r="D3637" s="2"/>
      <c r="E3637" s="31"/>
      <c r="G3637" s="43"/>
      <c r="H3637" s="44"/>
    </row>
    <row r="3638" spans="1:8">
      <c r="A3638" s="39">
        <v>3.81039936319789</v>
      </c>
      <c r="B3638" s="45">
        <v>6</v>
      </c>
      <c r="D3638" s="2"/>
      <c r="E3638" s="31"/>
      <c r="G3638" s="43"/>
      <c r="H3638" s="2"/>
    </row>
    <row r="3639" spans="1:8">
      <c r="A3639" s="39">
        <v>3.81025934297221</v>
      </c>
      <c r="B3639" s="45">
        <v>8.9</v>
      </c>
      <c r="D3639" s="2"/>
      <c r="E3639" s="31"/>
      <c r="G3639" s="43"/>
      <c r="H3639" s="2"/>
    </row>
    <row r="3640" spans="1:8">
      <c r="A3640" s="39">
        <v>3.81001858068492</v>
      </c>
      <c r="B3640" s="45">
        <v>11.6</v>
      </c>
      <c r="D3640" s="2"/>
      <c r="E3640" s="31"/>
      <c r="G3640" s="43"/>
      <c r="H3640" s="2"/>
    </row>
    <row r="3641" spans="1:8">
      <c r="A3641" s="39">
        <v>3.8095398810265</v>
      </c>
      <c r="B3641" s="45">
        <v>6.5</v>
      </c>
      <c r="D3641" s="2"/>
      <c r="E3641" s="31"/>
      <c r="G3641" s="43"/>
      <c r="H3641" s="2"/>
    </row>
    <row r="3642" spans="1:8">
      <c r="A3642" s="39">
        <v>3.80907058434168</v>
      </c>
      <c r="B3642" s="45">
        <v>10.3</v>
      </c>
      <c r="D3642" s="2"/>
      <c r="E3642" s="31"/>
      <c r="G3642" s="43"/>
      <c r="H3642" s="2"/>
    </row>
    <row r="3643" spans="1:8">
      <c r="A3643" s="39">
        <v>3.80907058434168</v>
      </c>
      <c r="B3643" s="45">
        <v>4</v>
      </c>
      <c r="D3643" s="2"/>
      <c r="E3643" s="31"/>
      <c r="G3643" s="43"/>
      <c r="H3643" s="2"/>
    </row>
    <row r="3644" spans="1:8">
      <c r="A3644" s="39">
        <v>3.80907058434168</v>
      </c>
      <c r="B3644" s="45">
        <v>10.6</v>
      </c>
      <c r="D3644" s="2"/>
      <c r="E3644" s="31"/>
      <c r="G3644" s="43"/>
      <c r="H3644" s="2"/>
    </row>
    <row r="3645" spans="1:8">
      <c r="A3645" s="39">
        <v>3.80869856770151</v>
      </c>
      <c r="B3645" s="45">
        <v>8.3</v>
      </c>
      <c r="D3645" s="2"/>
      <c r="E3645" s="31"/>
      <c r="G3645" s="43"/>
      <c r="H3645" s="2"/>
    </row>
    <row r="3646" spans="1:8">
      <c r="A3646" s="39">
        <v>3.80856298619373</v>
      </c>
      <c r="B3646" s="45">
        <v>0</v>
      </c>
      <c r="D3646" s="2"/>
      <c r="E3646" s="31"/>
      <c r="G3646" s="43"/>
      <c r="H3646" s="2"/>
    </row>
    <row r="3647" spans="1:8">
      <c r="A3647" s="39">
        <v>3.80841087914231</v>
      </c>
      <c r="B3647" s="45">
        <v>10.5</v>
      </c>
      <c r="D3647" s="2"/>
      <c r="E3647" s="31"/>
      <c r="G3647" s="43"/>
      <c r="H3647" s="2"/>
    </row>
    <row r="3648" spans="1:8">
      <c r="A3648" s="39">
        <v>3.80838124191528</v>
      </c>
      <c r="B3648" s="45">
        <v>9.9</v>
      </c>
      <c r="D3648" s="2"/>
      <c r="E3648" s="31"/>
      <c r="G3648" s="43"/>
      <c r="H3648" s="2"/>
    </row>
    <row r="3649" spans="1:8">
      <c r="A3649" s="39">
        <v>3.80815194077067</v>
      </c>
      <c r="B3649" s="45">
        <v>14.9</v>
      </c>
      <c r="D3649" s="2"/>
      <c r="E3649" s="31"/>
      <c r="G3649" s="43"/>
      <c r="H3649" s="2"/>
    </row>
    <row r="3650" spans="1:8">
      <c r="A3650" s="39">
        <v>3.80783518894814</v>
      </c>
      <c r="B3650" s="45">
        <v>12.5</v>
      </c>
      <c r="D3650" s="2"/>
      <c r="E3650" s="31"/>
      <c r="G3650" s="43"/>
      <c r="H3650" s="2"/>
    </row>
    <row r="3651" spans="1:8">
      <c r="A3651" s="39">
        <v>3.80766655464428</v>
      </c>
      <c r="B3651" s="45">
        <v>1.85</v>
      </c>
      <c r="D3651" s="2"/>
      <c r="E3651" s="31"/>
      <c r="G3651" s="43"/>
      <c r="H3651" s="2"/>
    </row>
    <row r="3652" spans="1:8">
      <c r="A3652" s="39">
        <v>3.80743571885215</v>
      </c>
      <c r="B3652" s="45">
        <v>2.3</v>
      </c>
      <c r="D3652" s="2"/>
      <c r="E3652" s="31"/>
      <c r="G3652" s="43"/>
      <c r="H3652" s="2"/>
    </row>
    <row r="3653" spans="1:8">
      <c r="A3653" s="39">
        <v>3.8073893821274</v>
      </c>
      <c r="B3653" s="45">
        <v>8.2</v>
      </c>
      <c r="D3653" s="2"/>
      <c r="E3653" s="31"/>
      <c r="G3653" s="43"/>
      <c r="H3653" s="2"/>
    </row>
    <row r="3654" spans="1:8">
      <c r="A3654" s="39">
        <v>3.80729106638307</v>
      </c>
      <c r="B3654" s="45">
        <v>2</v>
      </c>
      <c r="D3654" s="2"/>
      <c r="E3654" s="31"/>
      <c r="G3654" s="43"/>
      <c r="H3654" s="2"/>
    </row>
    <row r="3655" spans="1:8">
      <c r="A3655" s="39">
        <v>3.80698209184459</v>
      </c>
      <c r="B3655" s="45">
        <v>2.5</v>
      </c>
      <c r="D3655" s="2"/>
      <c r="E3655" s="31"/>
      <c r="G3655" s="43"/>
      <c r="H3655" s="2"/>
    </row>
    <row r="3656" spans="1:8">
      <c r="A3656" s="39">
        <v>3.80697411786506</v>
      </c>
      <c r="B3656" s="45">
        <v>23</v>
      </c>
      <c r="D3656" s="2"/>
      <c r="E3656" s="31"/>
      <c r="G3656" s="43"/>
      <c r="H3656" s="2"/>
    </row>
    <row r="3657" spans="1:8">
      <c r="A3657" s="39">
        <v>3.80697411786506</v>
      </c>
      <c r="B3657" s="45">
        <v>10.5</v>
      </c>
      <c r="D3657" s="2"/>
      <c r="E3657" s="31"/>
      <c r="G3657" s="43"/>
      <c r="H3657" s="2"/>
    </row>
    <row r="3658" spans="1:8">
      <c r="A3658" s="39">
        <v>3.80680498782071</v>
      </c>
      <c r="B3658" s="45">
        <v>4.7</v>
      </c>
      <c r="D3658" s="2"/>
      <c r="E3658" s="31"/>
      <c r="G3658" s="43"/>
      <c r="H3658" s="2"/>
    </row>
    <row r="3659" spans="1:8">
      <c r="A3659" s="39">
        <v>3.80637959445695</v>
      </c>
      <c r="B3659" s="45">
        <v>17.5</v>
      </c>
      <c r="D3659" s="2"/>
      <c r="E3659" s="31"/>
      <c r="G3659" s="43"/>
      <c r="H3659" s="2"/>
    </row>
    <row r="3660" spans="1:8">
      <c r="A3660" s="39">
        <v>3.80627055583995</v>
      </c>
      <c r="B3660" s="45">
        <v>6</v>
      </c>
      <c r="D3660" s="2"/>
      <c r="E3660" s="31"/>
      <c r="G3660" s="43"/>
      <c r="H3660" s="2"/>
    </row>
    <row r="3661" spans="1:8">
      <c r="A3661" s="39">
        <v>3.80545585433418</v>
      </c>
      <c r="B3661" s="45">
        <v>3.2</v>
      </c>
      <c r="D3661" s="2"/>
      <c r="E3661" s="31"/>
      <c r="G3661" s="43"/>
      <c r="H3661" s="2"/>
    </row>
    <row r="3662" spans="1:8">
      <c r="A3662" s="39">
        <v>3.80514297895427</v>
      </c>
      <c r="B3662" s="45">
        <v>19.5</v>
      </c>
      <c r="D3662" s="2"/>
      <c r="E3662" s="31"/>
      <c r="G3662" s="43"/>
      <c r="H3662" s="2"/>
    </row>
    <row r="3663" spans="1:8">
      <c r="A3663" s="39">
        <v>3.80482677053389</v>
      </c>
      <c r="B3663" s="45">
        <v>7</v>
      </c>
      <c r="D3663" s="2"/>
      <c r="E3663" s="31"/>
      <c r="G3663" s="43"/>
      <c r="H3663" s="2"/>
    </row>
    <row r="3664" spans="1:8">
      <c r="A3664" s="39">
        <v>3.80482677053389</v>
      </c>
      <c r="B3664" s="45">
        <v>4.5</v>
      </c>
      <c r="D3664" s="2"/>
      <c r="E3664" s="31"/>
      <c r="G3664" s="43"/>
      <c r="H3664" s="2"/>
    </row>
    <row r="3665" spans="1:8">
      <c r="A3665" s="39">
        <v>3.80455643200982</v>
      </c>
      <c r="B3665" s="45">
        <v>7</v>
      </c>
      <c r="D3665" s="2"/>
      <c r="E3665" s="31"/>
      <c r="G3665" s="43"/>
      <c r="H3665" s="2"/>
    </row>
    <row r="3666" spans="1:8">
      <c r="A3666" s="39">
        <v>3.80447606374619</v>
      </c>
      <c r="B3666" s="45">
        <v>14.1</v>
      </c>
      <c r="D3666" s="2"/>
      <c r="E3666" s="31"/>
      <c r="G3666" s="43"/>
      <c r="H3666" s="2"/>
    </row>
    <row r="3667" spans="1:8">
      <c r="A3667" s="39">
        <v>3.80424424064586</v>
      </c>
      <c r="B3667" s="45">
        <v>4.3</v>
      </c>
      <c r="D3667" s="2"/>
      <c r="E3667" s="31"/>
      <c r="G3667" s="43"/>
      <c r="H3667" s="2"/>
    </row>
    <row r="3668" spans="1:8">
      <c r="A3668" s="39">
        <v>3.80411842904997</v>
      </c>
      <c r="B3668" s="45">
        <v>7.8</v>
      </c>
      <c r="D3668" s="2"/>
      <c r="E3668" s="31"/>
      <c r="G3668" s="43"/>
      <c r="H3668" s="2"/>
    </row>
    <row r="3669" spans="1:8">
      <c r="A3669" s="39">
        <v>3.80385460925955</v>
      </c>
      <c r="B3669" s="45">
        <v>9</v>
      </c>
      <c r="D3669" s="2"/>
      <c r="E3669" s="31"/>
      <c r="G3669" s="43"/>
      <c r="H3669" s="2"/>
    </row>
    <row r="3670" spans="1:8">
      <c r="A3670" s="39">
        <v>3.80385460925955</v>
      </c>
      <c r="B3670" s="45">
        <v>7</v>
      </c>
      <c r="D3670" s="2"/>
      <c r="E3670" s="31"/>
      <c r="G3670" s="43"/>
      <c r="H3670" s="2"/>
    </row>
    <row r="3671" spans="1:8">
      <c r="A3671" s="39">
        <v>3.80385460925955</v>
      </c>
      <c r="B3671" s="45">
        <v>15.9</v>
      </c>
      <c r="D3671" s="2"/>
      <c r="E3671" s="31"/>
      <c r="G3671" s="43"/>
      <c r="H3671" s="2"/>
    </row>
    <row r="3672" spans="1:8">
      <c r="A3672" s="39">
        <v>3.80355977784617</v>
      </c>
      <c r="B3672" s="45">
        <v>3</v>
      </c>
      <c r="D3672" s="2"/>
      <c r="E3672" s="31"/>
      <c r="G3672" s="43"/>
      <c r="H3672" s="2"/>
    </row>
    <row r="3673" spans="1:8">
      <c r="A3673" s="39">
        <v>3.80346840547458</v>
      </c>
      <c r="B3673" s="45">
        <v>17.8</v>
      </c>
      <c r="D3673" s="2"/>
      <c r="E3673" s="31"/>
      <c r="G3673" s="43"/>
      <c r="H3673" s="2"/>
    </row>
    <row r="3674" spans="1:8">
      <c r="A3674" s="39">
        <v>3.80330069078062</v>
      </c>
      <c r="B3674" s="45">
        <v>3</v>
      </c>
      <c r="D3674" s="2"/>
      <c r="E3674" s="31"/>
      <c r="G3674" s="43"/>
      <c r="H3674" s="2"/>
    </row>
    <row r="3675" spans="1:8">
      <c r="A3675" s="39">
        <v>3.80278027638177</v>
      </c>
      <c r="B3675" s="45">
        <v>8.6</v>
      </c>
      <c r="D3675" s="2"/>
      <c r="E3675" s="31"/>
      <c r="G3675" s="43"/>
      <c r="H3675" s="2"/>
    </row>
    <row r="3676" spans="1:8">
      <c r="A3676" s="39">
        <v>3.80248295251126</v>
      </c>
      <c r="B3676" s="45">
        <v>3.5</v>
      </c>
      <c r="D3676" s="2"/>
      <c r="E3676" s="31"/>
      <c r="G3676" s="43"/>
      <c r="H3676" s="2"/>
    </row>
    <row r="3677" spans="1:8">
      <c r="A3677" s="39">
        <v>3.80179581240825</v>
      </c>
      <c r="B3677" s="45">
        <v>2</v>
      </c>
      <c r="D3677" s="2"/>
      <c r="E3677" s="31"/>
      <c r="G3677" s="43"/>
      <c r="H3677" s="2"/>
    </row>
    <row r="3678" spans="1:8">
      <c r="A3678" s="39">
        <v>3.80179581240825</v>
      </c>
      <c r="B3678" s="45">
        <v>17.3</v>
      </c>
      <c r="D3678" s="2"/>
      <c r="E3678" s="31"/>
      <c r="G3678" s="43"/>
      <c r="H3678" s="2"/>
    </row>
    <row r="3679" spans="1:8">
      <c r="A3679" s="39">
        <v>3.8016652142419</v>
      </c>
      <c r="B3679" s="45">
        <v>6.5</v>
      </c>
      <c r="D3679" s="2"/>
      <c r="E3679" s="31"/>
      <c r="G3679" s="43"/>
      <c r="H3679" s="2"/>
    </row>
    <row r="3680" spans="1:8">
      <c r="A3680" s="39">
        <v>3.80166106110931</v>
      </c>
      <c r="B3680" s="45">
        <v>5.4</v>
      </c>
      <c r="D3680" s="2"/>
      <c r="E3680" s="31"/>
      <c r="G3680" s="43"/>
      <c r="H3680" s="2"/>
    </row>
    <row r="3681" spans="1:8">
      <c r="A3681" s="39">
        <v>3.80166106110931</v>
      </c>
      <c r="B3681" s="45">
        <v>23.3</v>
      </c>
      <c r="D3681" s="2"/>
      <c r="E3681" s="31"/>
      <c r="G3681" s="43"/>
      <c r="H3681" s="2"/>
    </row>
    <row r="3682" spans="1:8">
      <c r="A3682" s="39">
        <v>3.80106833521491</v>
      </c>
      <c r="B3682" s="45">
        <v>5.5</v>
      </c>
      <c r="D3682" s="2"/>
      <c r="E3682" s="31"/>
      <c r="G3682" s="43"/>
      <c r="H3682" s="2"/>
    </row>
    <row r="3683" spans="1:8">
      <c r="A3683" s="39">
        <v>3.80082192664743</v>
      </c>
      <c r="B3683" s="45">
        <v>8.6</v>
      </c>
      <c r="D3683" s="2"/>
      <c r="E3683" s="31"/>
      <c r="G3683" s="43"/>
      <c r="H3683" s="2"/>
    </row>
    <row r="3684" spans="1:8">
      <c r="A3684" s="39">
        <v>3.80064205963908</v>
      </c>
      <c r="B3684" s="45">
        <v>8</v>
      </c>
      <c r="D3684" s="2"/>
      <c r="E3684" s="31"/>
      <c r="G3684" s="43"/>
      <c r="H3684" s="2"/>
    </row>
    <row r="3685" spans="1:8">
      <c r="A3685" s="39">
        <v>3.8005572164922</v>
      </c>
      <c r="B3685" s="45">
        <v>4</v>
      </c>
      <c r="D3685" s="2"/>
      <c r="E3685" s="31"/>
      <c r="G3685" s="43"/>
      <c r="H3685" s="2"/>
    </row>
    <row r="3686" spans="1:8">
      <c r="A3686" s="39">
        <v>3.80025355979086</v>
      </c>
      <c r="B3686" s="45">
        <v>9</v>
      </c>
      <c r="D3686" s="2"/>
      <c r="E3686" s="31"/>
      <c r="G3686" s="43"/>
      <c r="H3686" s="2"/>
    </row>
    <row r="3687" spans="1:8">
      <c r="A3687" s="39">
        <v>3.79979523244791</v>
      </c>
      <c r="B3687" s="45">
        <v>5.6</v>
      </c>
      <c r="D3687" s="2"/>
      <c r="E3687" s="31"/>
      <c r="G3687" s="43"/>
      <c r="H3687" s="2"/>
    </row>
    <row r="3688" spans="1:8">
      <c r="A3688" s="39">
        <v>3.79945300104806</v>
      </c>
      <c r="B3688" s="45">
        <v>3</v>
      </c>
      <c r="D3688" s="2"/>
      <c r="E3688" s="31"/>
      <c r="G3688" s="43"/>
      <c r="H3688" s="2"/>
    </row>
    <row r="3689" spans="1:8">
      <c r="A3689" s="39">
        <v>3.79920814941756</v>
      </c>
      <c r="B3689" s="45">
        <v>6.8</v>
      </c>
      <c r="D3689" s="2"/>
      <c r="E3689" s="31"/>
      <c r="G3689" s="43"/>
      <c r="H3689" s="2"/>
    </row>
    <row r="3690" spans="1:8">
      <c r="A3690" s="39">
        <v>3.7981423078132</v>
      </c>
      <c r="B3690" s="45">
        <v>9.5</v>
      </c>
      <c r="D3690" s="2"/>
      <c r="E3690" s="31"/>
      <c r="G3690" s="43"/>
      <c r="H3690" s="2"/>
    </row>
    <row r="3691" spans="1:8">
      <c r="A3691" s="39">
        <v>3.79764602750982</v>
      </c>
      <c r="B3691" s="45">
        <v>12.6</v>
      </c>
      <c r="D3691" s="2"/>
      <c r="E3691" s="31"/>
      <c r="G3691" s="43"/>
      <c r="H3691" s="2"/>
    </row>
    <row r="3692" spans="1:8">
      <c r="A3692" s="39">
        <v>3.7974204540455</v>
      </c>
      <c r="B3692" s="45">
        <v>7.1</v>
      </c>
      <c r="D3692" s="2"/>
      <c r="E3692" s="31"/>
      <c r="G3692" s="43"/>
      <c r="H3692" s="2"/>
    </row>
    <row r="3693" spans="1:8">
      <c r="A3693" s="39">
        <v>3.79712424951353</v>
      </c>
      <c r="B3693" s="45">
        <v>4.4</v>
      </c>
      <c r="D3693" s="2"/>
      <c r="E3693" s="31"/>
      <c r="G3693" s="43"/>
      <c r="H3693" s="2"/>
    </row>
    <row r="3694" spans="1:8">
      <c r="A3694" s="39">
        <v>3.79691823026423</v>
      </c>
      <c r="B3694" s="45">
        <v>7.8</v>
      </c>
      <c r="D3694" s="2"/>
      <c r="E3694" s="31"/>
      <c r="G3694" s="43"/>
      <c r="H3694" s="2"/>
    </row>
    <row r="3695" spans="1:8">
      <c r="A3695" s="39">
        <v>3.79680946149101</v>
      </c>
      <c r="B3695" s="45">
        <v>4.2</v>
      </c>
      <c r="D3695" s="2"/>
      <c r="E3695" s="31"/>
      <c r="G3695" s="43"/>
      <c r="H3695" s="2"/>
    </row>
    <row r="3696" spans="1:8">
      <c r="A3696" s="39">
        <v>3.79673480649476</v>
      </c>
      <c r="B3696" s="45">
        <v>9</v>
      </c>
      <c r="D3696" s="2"/>
      <c r="E3696" s="31"/>
      <c r="G3696" s="43"/>
      <c r="H3696" s="2"/>
    </row>
    <row r="3697" spans="1:8">
      <c r="A3697" s="39">
        <v>3.79536534445076</v>
      </c>
      <c r="B3697" s="45">
        <v>14</v>
      </c>
      <c r="D3697" s="2"/>
      <c r="E3697" s="31"/>
      <c r="G3697" s="43"/>
      <c r="H3697" s="2"/>
    </row>
    <row r="3698" spans="1:8">
      <c r="A3698" s="39">
        <v>3.79534622424996</v>
      </c>
      <c r="B3698" s="45">
        <v>5.4</v>
      </c>
      <c r="D3698" s="2"/>
      <c r="E3698" s="31"/>
      <c r="G3698" s="43"/>
      <c r="H3698" s="2"/>
    </row>
    <row r="3699" spans="1:8">
      <c r="A3699" s="39">
        <v>3.79534622424996</v>
      </c>
      <c r="B3699" s="45">
        <v>7</v>
      </c>
      <c r="D3699" s="2"/>
      <c r="E3699" s="31"/>
      <c r="G3699" s="43"/>
      <c r="H3699" s="2"/>
    </row>
    <row r="3700" spans="1:8">
      <c r="A3700" s="39">
        <v>3.7943100014131</v>
      </c>
      <c r="B3700" s="45">
        <v>7</v>
      </c>
      <c r="D3700" s="2"/>
      <c r="E3700" s="31"/>
      <c r="G3700" s="43"/>
      <c r="H3700" s="2"/>
    </row>
    <row r="3701" spans="1:8">
      <c r="A3701" s="39">
        <v>3.7943100014131</v>
      </c>
      <c r="B3701" s="45">
        <v>10</v>
      </c>
      <c r="D3701" s="2"/>
      <c r="E3701" s="31"/>
      <c r="G3701" s="43"/>
      <c r="H3701" s="2"/>
    </row>
    <row r="3702" spans="1:8">
      <c r="A3702" s="39">
        <v>3.79360643938799</v>
      </c>
      <c r="B3702" s="45">
        <v>9.9</v>
      </c>
      <c r="D3702" s="2"/>
      <c r="E3702" s="31"/>
      <c r="G3702" s="43"/>
      <c r="H3702" s="2"/>
    </row>
    <row r="3703" spans="1:8">
      <c r="A3703" s="39">
        <v>3.79327924403626</v>
      </c>
      <c r="B3703" s="45">
        <v>8.2</v>
      </c>
      <c r="D3703" s="2"/>
      <c r="E3703" s="31"/>
      <c r="G3703" s="43"/>
      <c r="H3703" s="2"/>
    </row>
    <row r="3704" spans="1:8">
      <c r="A3704" s="39">
        <v>3.79290287736288</v>
      </c>
      <c r="B3704" s="45">
        <v>18</v>
      </c>
      <c r="D3704" s="2"/>
      <c r="E3704" s="31"/>
      <c r="G3704" s="43"/>
      <c r="H3704" s="2"/>
    </row>
    <row r="3705" spans="1:8">
      <c r="A3705" s="39">
        <v>3.79290287736288</v>
      </c>
      <c r="B3705" s="45">
        <v>10.5</v>
      </c>
      <c r="D3705" s="2"/>
      <c r="E3705" s="31"/>
      <c r="G3705" s="43"/>
      <c r="H3705" s="2"/>
    </row>
    <row r="3706" spans="1:8">
      <c r="A3706" s="39">
        <v>3.79290287736288</v>
      </c>
      <c r="B3706" s="45">
        <v>9.5</v>
      </c>
      <c r="D3706" s="2"/>
      <c r="E3706" s="31"/>
      <c r="G3706" s="43"/>
      <c r="H3706" s="2"/>
    </row>
    <row r="3707" spans="1:8">
      <c r="A3707" s="39">
        <v>3.79290287736288</v>
      </c>
      <c r="B3707" s="45">
        <v>10</v>
      </c>
      <c r="D3707" s="2"/>
      <c r="E3707" s="31"/>
      <c r="G3707" s="43"/>
      <c r="H3707" s="2"/>
    </row>
    <row r="3708" spans="1:8">
      <c r="A3708" s="39">
        <v>3.79237069280342</v>
      </c>
      <c r="B3708" s="45">
        <v>9.2</v>
      </c>
      <c r="D3708" s="2"/>
      <c r="E3708" s="31"/>
      <c r="G3708" s="43"/>
      <c r="H3708" s="2"/>
    </row>
    <row r="3709" spans="1:8">
      <c r="A3709" s="39">
        <v>3.7923386088948</v>
      </c>
      <c r="B3709" s="45">
        <v>15.5</v>
      </c>
      <c r="D3709" s="2"/>
      <c r="E3709" s="31"/>
      <c r="G3709" s="43"/>
      <c r="H3709" s="2"/>
    </row>
    <row r="3710" spans="1:8">
      <c r="A3710" s="39">
        <v>3.79196451946889</v>
      </c>
      <c r="B3710" s="45">
        <v>1</v>
      </c>
      <c r="D3710" s="2"/>
      <c r="E3710" s="31"/>
      <c r="G3710" s="43"/>
      <c r="H3710" s="2"/>
    </row>
    <row r="3711" spans="1:8">
      <c r="A3711" s="39">
        <v>3.79192391025154</v>
      </c>
      <c r="B3711" s="45">
        <v>9.2</v>
      </c>
      <c r="D3711" s="2"/>
      <c r="E3711" s="31"/>
      <c r="G3711" s="43"/>
      <c r="H3711" s="2"/>
    </row>
    <row r="3712" spans="1:8">
      <c r="A3712" s="39">
        <v>3.79185235500961</v>
      </c>
      <c r="B3712" s="45">
        <v>6.7</v>
      </c>
      <c r="D3712" s="2"/>
      <c r="E3712" s="31"/>
      <c r="G3712" s="43"/>
      <c r="H3712" s="2"/>
    </row>
    <row r="3713" spans="1:8">
      <c r="A3713" s="39">
        <v>3.79180855188022</v>
      </c>
      <c r="B3713" s="45">
        <v>3.5</v>
      </c>
      <c r="D3713" s="2"/>
      <c r="E3713" s="31"/>
      <c r="G3713" s="43"/>
      <c r="H3713" s="2"/>
    </row>
    <row r="3714" spans="1:8">
      <c r="A3714" s="39">
        <v>3.79158257621914</v>
      </c>
      <c r="B3714" s="45">
        <v>8.5</v>
      </c>
      <c r="D3714" s="2"/>
      <c r="E3714" s="31"/>
      <c r="G3714" s="43"/>
      <c r="H3714" s="2"/>
    </row>
    <row r="3715" spans="1:8">
      <c r="A3715" s="39">
        <v>3.79103987592065</v>
      </c>
      <c r="B3715" s="45">
        <v>2</v>
      </c>
      <c r="D3715" s="2"/>
      <c r="E3715" s="31"/>
      <c r="G3715" s="43"/>
      <c r="H3715" s="2"/>
    </row>
    <row r="3716" spans="1:8">
      <c r="A3716" s="39">
        <v>3.79103987592065</v>
      </c>
      <c r="B3716" s="45">
        <v>5</v>
      </c>
      <c r="D3716" s="2"/>
      <c r="E3716" s="31"/>
      <c r="G3716" s="43"/>
      <c r="H3716" s="2"/>
    </row>
    <row r="3717" spans="1:8">
      <c r="A3717" s="39">
        <v>3.79088365450811</v>
      </c>
      <c r="B3717" s="45">
        <v>6.7</v>
      </c>
      <c r="D3717" s="2"/>
      <c r="E3717" s="31"/>
      <c r="G3717" s="43"/>
      <c r="H3717" s="2"/>
    </row>
    <row r="3718" spans="1:8">
      <c r="A3718" s="39">
        <v>3.79079219128755</v>
      </c>
      <c r="B3718" s="45">
        <v>15</v>
      </c>
      <c r="D3718" s="2"/>
      <c r="E3718" s="31"/>
      <c r="G3718" s="43"/>
      <c r="H3718" s="2"/>
    </row>
    <row r="3719" spans="1:8">
      <c r="A3719" s="39">
        <v>3.79055498465217</v>
      </c>
      <c r="B3719" s="45">
        <v>4.2</v>
      </c>
      <c r="D3719" s="2"/>
      <c r="E3719" s="31"/>
      <c r="G3719" s="43"/>
      <c r="H3719" s="2"/>
    </row>
    <row r="3720" spans="1:8">
      <c r="A3720" s="39">
        <v>3.79055498465217</v>
      </c>
      <c r="B3720" s="45">
        <v>10.2</v>
      </c>
      <c r="D3720" s="2"/>
      <c r="E3720" s="31"/>
      <c r="G3720" s="43"/>
      <c r="H3720" s="2"/>
    </row>
    <row r="3721" spans="1:8">
      <c r="A3721" s="39">
        <v>3.79055498465217</v>
      </c>
      <c r="B3721" s="45">
        <v>6.8</v>
      </c>
      <c r="D3721" s="2"/>
      <c r="E3721" s="31"/>
      <c r="G3721" s="43"/>
      <c r="H3721" s="2"/>
    </row>
    <row r="3722" spans="1:8">
      <c r="A3722" s="39">
        <v>3.7902168784709</v>
      </c>
      <c r="B3722" s="45">
        <v>7</v>
      </c>
      <c r="D3722" s="2"/>
      <c r="E3722" s="31"/>
      <c r="G3722" s="43"/>
      <c r="H3722" s="2"/>
    </row>
    <row r="3723" spans="1:8">
      <c r="A3723" s="39">
        <v>3.78969729990256</v>
      </c>
      <c r="B3723" s="45">
        <v>7</v>
      </c>
      <c r="D3723" s="2"/>
      <c r="E3723" s="31"/>
      <c r="G3723" s="43"/>
      <c r="H3723" s="2"/>
    </row>
    <row r="3724" spans="1:8">
      <c r="A3724" s="39">
        <v>3.78949182211039</v>
      </c>
      <c r="B3724" s="45">
        <v>4.55</v>
      </c>
      <c r="D3724" s="2"/>
      <c r="E3724" s="31"/>
      <c r="G3724" s="43"/>
      <c r="H3724" s="2"/>
    </row>
    <row r="3725" spans="1:8">
      <c r="A3725" s="39">
        <v>3.78949182211039</v>
      </c>
      <c r="B3725" s="45">
        <v>6</v>
      </c>
      <c r="D3725" s="2"/>
      <c r="E3725" s="31"/>
      <c r="G3725" s="43"/>
      <c r="H3725" s="2"/>
    </row>
    <row r="3726" spans="1:8">
      <c r="A3726" s="39">
        <v>3.78938506723733</v>
      </c>
      <c r="B3726" s="45">
        <v>7.4</v>
      </c>
      <c r="D3726" s="2"/>
      <c r="E3726" s="31"/>
      <c r="G3726" s="43"/>
      <c r="H3726" s="2"/>
    </row>
    <row r="3727" spans="1:8">
      <c r="A3727" s="39">
        <v>3.78934083605817</v>
      </c>
      <c r="B3727" s="45">
        <v>17.6</v>
      </c>
      <c r="D3727" s="2"/>
      <c r="E3727" s="31"/>
      <c r="G3727" s="43"/>
      <c r="H3727" s="2"/>
    </row>
    <row r="3728" spans="1:8">
      <c r="A3728" s="39">
        <v>3.78881394897063</v>
      </c>
      <c r="B3728" s="45">
        <v>3.8</v>
      </c>
      <c r="D3728" s="2"/>
      <c r="E3728" s="31"/>
      <c r="G3728" s="43"/>
      <c r="H3728" s="2"/>
    </row>
    <row r="3729" spans="1:8">
      <c r="A3729" s="39">
        <v>3.78881394897063</v>
      </c>
      <c r="B3729" s="45">
        <v>5</v>
      </c>
      <c r="D3729" s="2"/>
      <c r="E3729" s="31"/>
      <c r="G3729" s="43"/>
      <c r="H3729" s="2"/>
    </row>
    <row r="3730" spans="1:8">
      <c r="A3730" s="39">
        <v>3.78850159625311</v>
      </c>
      <c r="B3730" s="45">
        <v>5.4</v>
      </c>
      <c r="D3730" s="2"/>
      <c r="E3730" s="31"/>
      <c r="G3730" s="43"/>
      <c r="H3730" s="2"/>
    </row>
    <row r="3731" spans="1:8">
      <c r="A3731" s="39">
        <v>3.78850159625311</v>
      </c>
      <c r="B3731" s="45">
        <v>4.5</v>
      </c>
      <c r="D3731" s="2"/>
      <c r="E3731" s="31"/>
      <c r="G3731" s="43"/>
      <c r="H3731" s="2"/>
    </row>
    <row r="3732" spans="1:8">
      <c r="A3732" s="39">
        <v>3.78828979858411</v>
      </c>
      <c r="B3732" s="45">
        <v>17.2</v>
      </c>
      <c r="D3732" s="2"/>
      <c r="E3732" s="31"/>
      <c r="G3732" s="43"/>
      <c r="H3732" s="2"/>
    </row>
    <row r="3733" spans="1:8">
      <c r="A3733" s="39">
        <v>3.78828979858411</v>
      </c>
      <c r="B3733" s="45">
        <v>8.3</v>
      </c>
      <c r="D3733" s="2"/>
      <c r="E3733" s="31"/>
      <c r="G3733" s="43"/>
      <c r="H3733" s="2"/>
    </row>
    <row r="3734" spans="1:8">
      <c r="A3734" s="39">
        <v>3.78799423306028</v>
      </c>
      <c r="B3734" s="45">
        <v>11</v>
      </c>
      <c r="D3734" s="2"/>
      <c r="E3734" s="31"/>
      <c r="G3734" s="43"/>
      <c r="H3734" s="2"/>
    </row>
    <row r="3735" spans="1:8">
      <c r="A3735" s="39">
        <v>3.78758604792489</v>
      </c>
      <c r="B3735" s="45">
        <v>23.5</v>
      </c>
      <c r="D3735" s="2"/>
      <c r="E3735" s="31"/>
      <c r="G3735" s="43"/>
      <c r="H3735" s="2"/>
    </row>
    <row r="3736" spans="1:8">
      <c r="A3736" s="39">
        <v>3.78758604792489</v>
      </c>
      <c r="B3736" s="45">
        <v>12.4</v>
      </c>
      <c r="D3736" s="2"/>
      <c r="E3736" s="31"/>
      <c r="G3736" s="43"/>
      <c r="H3736" s="2"/>
    </row>
    <row r="3737" spans="1:8">
      <c r="A3737" s="39">
        <v>3.78758604792489</v>
      </c>
      <c r="B3737" s="45">
        <v>11.5</v>
      </c>
      <c r="D3737" s="2"/>
      <c r="E3737" s="31"/>
      <c r="G3737" s="43"/>
      <c r="H3737" s="2"/>
    </row>
    <row r="3738" spans="1:8">
      <c r="A3738" s="39">
        <v>3.78749631793885</v>
      </c>
      <c r="B3738" s="45">
        <v>3</v>
      </c>
      <c r="D3738" s="2"/>
      <c r="E3738" s="31"/>
      <c r="G3738" s="43"/>
      <c r="H3738" s="2"/>
    </row>
    <row r="3739" spans="1:8">
      <c r="A3739" s="39">
        <v>3.78732093156134</v>
      </c>
      <c r="B3739" s="45">
        <v>8</v>
      </c>
      <c r="D3739" s="2"/>
      <c r="E3739" s="31"/>
      <c r="G3739" s="43"/>
      <c r="H3739" s="2"/>
    </row>
    <row r="3740" spans="1:8">
      <c r="A3740" s="39">
        <v>3.7872462685414</v>
      </c>
      <c r="B3740" s="45">
        <v>4</v>
      </c>
      <c r="D3740" s="2"/>
      <c r="E3740" s="31"/>
      <c r="G3740" s="43"/>
      <c r="H3740" s="2"/>
    </row>
    <row r="3741" spans="1:8">
      <c r="A3741" s="39">
        <v>3.7872462685414</v>
      </c>
      <c r="B3741" s="45">
        <v>10.6</v>
      </c>
      <c r="D3741" s="2"/>
      <c r="E3741" s="31"/>
      <c r="G3741" s="43"/>
      <c r="H3741" s="2"/>
    </row>
    <row r="3742" spans="1:8">
      <c r="A3742" s="39">
        <v>3.7865708191369</v>
      </c>
      <c r="B3742" s="45">
        <v>6.9</v>
      </c>
      <c r="D3742" s="2"/>
      <c r="E3742" s="31"/>
      <c r="G3742" s="43"/>
      <c r="H3742" s="2"/>
    </row>
    <row r="3743" spans="1:8">
      <c r="A3743" s="39">
        <v>3.78623500915776</v>
      </c>
      <c r="B3743" s="45">
        <v>1</v>
      </c>
      <c r="D3743" s="2"/>
      <c r="E3743" s="31"/>
      <c r="G3743" s="43"/>
      <c r="H3743" s="2"/>
    </row>
    <row r="3744" spans="1:8">
      <c r="A3744" s="39">
        <v>3.78600127158032</v>
      </c>
      <c r="B3744" s="45">
        <v>7.5</v>
      </c>
      <c r="D3744" s="2"/>
      <c r="E3744" s="31"/>
      <c r="G3744" s="43"/>
      <c r="H3744" s="2"/>
    </row>
    <row r="3745" spans="1:8">
      <c r="A3745" s="39">
        <v>3.78586725711179</v>
      </c>
      <c r="B3745" s="45">
        <v>25</v>
      </c>
      <c r="D3745" s="2"/>
      <c r="E3745" s="31"/>
      <c r="G3745" s="43"/>
      <c r="H3745" s="2"/>
    </row>
    <row r="3746" spans="1:8">
      <c r="A3746" s="39">
        <v>3.78586725711179</v>
      </c>
      <c r="B3746" s="45">
        <v>9.3</v>
      </c>
      <c r="D3746" s="2"/>
      <c r="E3746" s="31"/>
      <c r="G3746" s="43"/>
      <c r="H3746" s="2"/>
    </row>
    <row r="3747" spans="1:8">
      <c r="A3747" s="39">
        <v>3.78527403580518</v>
      </c>
      <c r="B3747" s="45">
        <v>4.5</v>
      </c>
      <c r="D3747" s="2"/>
      <c r="E3747" s="31"/>
      <c r="G3747" s="43"/>
      <c r="H3747" s="2"/>
    </row>
    <row r="3748" spans="1:8">
      <c r="A3748" s="39">
        <v>3.78527403580518</v>
      </c>
      <c r="B3748" s="45">
        <v>8</v>
      </c>
      <c r="D3748" s="2"/>
      <c r="E3748" s="31"/>
      <c r="G3748" s="43"/>
      <c r="H3748" s="2"/>
    </row>
    <row r="3749" spans="1:8">
      <c r="A3749" s="39">
        <v>3.78507928225469</v>
      </c>
      <c r="B3749" s="45">
        <v>6</v>
      </c>
      <c r="D3749" s="2"/>
      <c r="E3749" s="31"/>
      <c r="G3749" s="43"/>
      <c r="H3749" s="2"/>
    </row>
    <row r="3750" spans="1:8">
      <c r="A3750" s="39">
        <v>3.78507928225469</v>
      </c>
      <c r="B3750" s="45">
        <v>10.7</v>
      </c>
      <c r="D3750" s="2"/>
      <c r="E3750" s="31"/>
      <c r="G3750" s="43"/>
      <c r="H3750" s="2"/>
    </row>
    <row r="3751" spans="1:8">
      <c r="A3751" s="39">
        <v>3.78507928225469</v>
      </c>
      <c r="B3751" s="45">
        <v>5.5</v>
      </c>
      <c r="D3751" s="2"/>
      <c r="E3751" s="31"/>
      <c r="G3751" s="43"/>
      <c r="H3751" s="2"/>
    </row>
    <row r="3752" spans="1:8">
      <c r="A3752" s="39">
        <v>3.78426493683851</v>
      </c>
      <c r="B3752" s="45">
        <v>11</v>
      </c>
      <c r="D3752" s="2"/>
      <c r="E3752" s="31"/>
      <c r="G3752" s="43"/>
      <c r="H3752" s="2"/>
    </row>
    <row r="3753" spans="1:8">
      <c r="A3753" s="39">
        <v>3.78375657103646</v>
      </c>
      <c r="B3753" s="45">
        <v>15</v>
      </c>
      <c r="D3753" s="2"/>
      <c r="E3753" s="31"/>
      <c r="G3753" s="43"/>
      <c r="H3753" s="2"/>
    </row>
    <row r="3754" spans="1:8">
      <c r="A3754" s="39">
        <v>3.78371035665532</v>
      </c>
      <c r="B3754" s="45">
        <v>6</v>
      </c>
      <c r="D3754" s="2"/>
      <c r="E3754" s="31"/>
      <c r="G3754" s="43"/>
      <c r="H3754" s="2"/>
    </row>
    <row r="3755" spans="1:8">
      <c r="A3755" s="39">
        <v>3.78336354396957</v>
      </c>
      <c r="B3755" s="45">
        <v>7.9</v>
      </c>
      <c r="D3755" s="2"/>
      <c r="E3755" s="31"/>
      <c r="G3755" s="43"/>
      <c r="H3755" s="2"/>
    </row>
    <row r="3756" spans="1:8">
      <c r="A3756" s="39">
        <v>3.78336354396957</v>
      </c>
      <c r="B3756" s="45">
        <v>6.5</v>
      </c>
      <c r="D3756" s="2"/>
      <c r="E3756" s="31"/>
      <c r="G3756" s="43"/>
      <c r="H3756" s="2"/>
    </row>
    <row r="3757" spans="1:8">
      <c r="A3757" s="39">
        <v>3.78328112256767</v>
      </c>
      <c r="B3757" s="45">
        <v>7.5</v>
      </c>
      <c r="D3757" s="2"/>
      <c r="E3757" s="31"/>
      <c r="G3757" s="43"/>
      <c r="H3757" s="2"/>
    </row>
    <row r="3758" spans="1:8">
      <c r="A3758" s="39">
        <v>3.78308417362247</v>
      </c>
      <c r="B3758" s="45">
        <v>5</v>
      </c>
      <c r="D3758" s="2"/>
      <c r="E3758" s="31"/>
      <c r="G3758" s="43"/>
      <c r="H3758" s="2"/>
    </row>
    <row r="3759" spans="1:8">
      <c r="A3759" s="39">
        <v>3.78308417362247</v>
      </c>
      <c r="B3759" s="45">
        <v>8</v>
      </c>
      <c r="D3759" s="2"/>
      <c r="E3759" s="31"/>
      <c r="G3759" s="43"/>
      <c r="H3759" s="2"/>
    </row>
    <row r="3760" spans="1:8">
      <c r="A3760" s="39">
        <v>3.78260782106873</v>
      </c>
      <c r="B3760" s="45">
        <v>10.7</v>
      </c>
      <c r="D3760" s="2"/>
      <c r="E3760" s="31"/>
      <c r="G3760" s="43"/>
      <c r="H3760" s="2"/>
    </row>
    <row r="3761" spans="1:8">
      <c r="A3761" s="39">
        <v>3.78236228535235</v>
      </c>
      <c r="B3761" s="45">
        <v>11.6</v>
      </c>
      <c r="D3761" s="2"/>
      <c r="E3761" s="31"/>
      <c r="G3761" s="43"/>
      <c r="H3761" s="2"/>
    </row>
    <row r="3762" spans="1:8">
      <c r="A3762" s="39">
        <v>3.78164588496114</v>
      </c>
      <c r="B3762" s="45">
        <v>7.5</v>
      </c>
      <c r="D3762" s="2"/>
      <c r="E3762" s="31"/>
      <c r="G3762" s="43"/>
      <c r="H3762" s="2"/>
    </row>
    <row r="3763" spans="1:8">
      <c r="A3763" s="39">
        <v>3.78161409760038</v>
      </c>
      <c r="B3763" s="45">
        <v>22</v>
      </c>
      <c r="D3763" s="2"/>
      <c r="E3763" s="31"/>
      <c r="G3763" s="43"/>
      <c r="H3763" s="2"/>
    </row>
    <row r="3764" spans="1:8">
      <c r="A3764" s="39">
        <v>3.78143014239487</v>
      </c>
      <c r="B3764" s="45">
        <v>7</v>
      </c>
      <c r="D3764" s="2"/>
      <c r="E3764" s="31"/>
      <c r="G3764" s="43"/>
      <c r="H3764" s="2"/>
    </row>
    <row r="3765" spans="1:8">
      <c r="A3765" s="39">
        <v>3.78143014239487</v>
      </c>
      <c r="B3765" s="45">
        <v>7.1</v>
      </c>
      <c r="D3765" s="2"/>
      <c r="E3765" s="31"/>
      <c r="G3765" s="43"/>
      <c r="H3765" s="2"/>
    </row>
    <row r="3766" spans="1:8">
      <c r="A3766" s="39">
        <v>3.78125229199191</v>
      </c>
      <c r="B3766" s="45">
        <v>22.7</v>
      </c>
      <c r="D3766" s="2"/>
      <c r="E3766" s="31"/>
      <c r="G3766" s="43"/>
      <c r="H3766" s="2"/>
    </row>
    <row r="3767" spans="1:8">
      <c r="A3767" s="39">
        <v>3.78096051756277</v>
      </c>
      <c r="B3767" s="45">
        <v>10</v>
      </c>
      <c r="D3767" s="2"/>
      <c r="E3767" s="31"/>
      <c r="G3767" s="43"/>
      <c r="H3767" s="2"/>
    </row>
    <row r="3768" spans="1:8">
      <c r="A3768" s="39">
        <v>3.78069897380132</v>
      </c>
      <c r="B3768" s="45">
        <v>10</v>
      </c>
      <c r="D3768" s="2"/>
      <c r="E3768" s="31"/>
      <c r="G3768" s="43"/>
      <c r="H3768" s="2"/>
    </row>
    <row r="3769" spans="1:8">
      <c r="A3769" s="39">
        <v>3.7802880426569</v>
      </c>
      <c r="B3769" s="45">
        <v>7.9</v>
      </c>
      <c r="D3769" s="2"/>
      <c r="E3769" s="31"/>
      <c r="G3769" s="43"/>
      <c r="H3769" s="2"/>
    </row>
    <row r="3770" spans="1:8">
      <c r="A3770" s="39">
        <v>3.77984479067347</v>
      </c>
      <c r="B3770" s="45">
        <v>9.8</v>
      </c>
      <c r="D3770" s="2"/>
      <c r="E3770" s="31"/>
      <c r="G3770" s="43"/>
      <c r="H3770" s="2"/>
    </row>
    <row r="3771" spans="1:8">
      <c r="A3771" s="39">
        <v>3.77958628096926</v>
      </c>
      <c r="B3771" s="45">
        <v>7</v>
      </c>
      <c r="D3771" s="2"/>
      <c r="E3771" s="31"/>
      <c r="G3771" s="43"/>
      <c r="H3771" s="2"/>
    </row>
    <row r="3772" spans="1:8">
      <c r="A3772" s="39">
        <v>3.77950306402987</v>
      </c>
      <c r="B3772" s="45">
        <v>14.8</v>
      </c>
      <c r="D3772" s="2"/>
      <c r="E3772" s="31"/>
      <c r="G3772" s="43"/>
      <c r="H3772" s="2"/>
    </row>
    <row r="3773" spans="1:8">
      <c r="A3773" s="39">
        <v>3.77903805156663</v>
      </c>
      <c r="B3773" s="45">
        <v>5.5</v>
      </c>
      <c r="D3773" s="2"/>
      <c r="E3773" s="31"/>
      <c r="G3773" s="43"/>
      <c r="H3773" s="2"/>
    </row>
    <row r="3774" spans="1:8">
      <c r="A3774" s="39">
        <v>3.77899977744995</v>
      </c>
      <c r="B3774" s="45">
        <v>11.5</v>
      </c>
      <c r="D3774" s="2"/>
      <c r="E3774" s="31"/>
      <c r="G3774" s="43"/>
      <c r="H3774" s="2"/>
    </row>
    <row r="3775" spans="1:8">
      <c r="A3775" s="39">
        <v>3.7788316368607</v>
      </c>
      <c r="B3775" s="45">
        <v>9.8</v>
      </c>
      <c r="D3775" s="2"/>
      <c r="E3775" s="31"/>
      <c r="G3775" s="43"/>
      <c r="H3775" s="2"/>
    </row>
    <row r="3776" spans="1:8">
      <c r="A3776" s="39">
        <v>3.7787685426999</v>
      </c>
      <c r="B3776" s="45">
        <v>2</v>
      </c>
      <c r="D3776" s="2"/>
      <c r="E3776" s="31"/>
      <c r="G3776" s="43"/>
      <c r="H3776" s="2"/>
    </row>
    <row r="3777" spans="1:8">
      <c r="A3777" s="39">
        <v>3.77856801207506</v>
      </c>
      <c r="B3777" s="45">
        <v>9.5</v>
      </c>
      <c r="D3777" s="2"/>
      <c r="E3777" s="31"/>
      <c r="G3777" s="43"/>
      <c r="H3777" s="2"/>
    </row>
    <row r="3778" spans="1:8">
      <c r="A3778" s="39">
        <v>3.77856801207506</v>
      </c>
      <c r="B3778" s="45">
        <v>4.5</v>
      </c>
      <c r="D3778" s="2"/>
      <c r="E3778" s="31"/>
      <c r="G3778" s="43"/>
      <c r="H3778" s="2"/>
    </row>
    <row r="3779" spans="1:8">
      <c r="A3779" s="39">
        <v>3.77847318460361</v>
      </c>
      <c r="B3779" s="45">
        <v>20</v>
      </c>
      <c r="D3779" s="2"/>
      <c r="E3779" s="31"/>
      <c r="G3779" s="43"/>
      <c r="H3779" s="2"/>
    </row>
    <row r="3780" spans="1:8">
      <c r="A3780" s="39">
        <v>3.77834619741234</v>
      </c>
      <c r="B3780" s="45">
        <v>18.6</v>
      </c>
      <c r="D3780" s="2"/>
      <c r="E3780" s="31"/>
      <c r="G3780" s="43"/>
      <c r="H3780" s="2"/>
    </row>
    <row r="3781" spans="1:8">
      <c r="A3781" s="39">
        <v>3.77826878724061</v>
      </c>
      <c r="B3781" s="45">
        <v>12.2</v>
      </c>
      <c r="D3781" s="2"/>
      <c r="E3781" s="31"/>
      <c r="G3781" s="43"/>
      <c r="H3781" s="2"/>
    </row>
    <row r="3782" spans="1:8">
      <c r="A3782" s="39">
        <v>3.77823465425785</v>
      </c>
      <c r="B3782" s="45">
        <v>9.9</v>
      </c>
      <c r="D3782" s="2"/>
      <c r="E3782" s="31"/>
      <c r="G3782" s="43"/>
      <c r="H3782" s="2"/>
    </row>
    <row r="3783" spans="1:8">
      <c r="A3783" s="39">
        <v>3.77799550187878</v>
      </c>
      <c r="B3783" s="45">
        <v>6.2</v>
      </c>
      <c r="D3783" s="2"/>
      <c r="E3783" s="31"/>
      <c r="G3783" s="43"/>
      <c r="H3783" s="2"/>
    </row>
    <row r="3784" spans="1:8">
      <c r="A3784" s="39">
        <v>3.77757376227926</v>
      </c>
      <c r="B3784" s="45">
        <v>2</v>
      </c>
      <c r="D3784" s="2"/>
      <c r="E3784" s="31"/>
      <c r="G3784" s="43"/>
      <c r="H3784" s="2"/>
    </row>
    <row r="3785" spans="1:8">
      <c r="A3785" s="39">
        <v>3.77722140907717</v>
      </c>
      <c r="B3785" s="45">
        <v>11.5</v>
      </c>
      <c r="D3785" s="2"/>
      <c r="E3785" s="31"/>
      <c r="G3785" s="43"/>
      <c r="H3785" s="2"/>
    </row>
    <row r="3786" spans="1:8">
      <c r="A3786" s="39">
        <v>3.77672095078537</v>
      </c>
      <c r="B3786" s="45">
        <v>10</v>
      </c>
      <c r="D3786" s="2"/>
      <c r="E3786" s="31"/>
      <c r="G3786" s="43"/>
      <c r="H3786" s="2"/>
    </row>
    <row r="3787" spans="1:8">
      <c r="A3787" s="39">
        <v>3.77662527563198</v>
      </c>
      <c r="B3787" s="45">
        <v>6.8</v>
      </c>
      <c r="D3787" s="2"/>
      <c r="E3787" s="31"/>
      <c r="G3787" s="43"/>
      <c r="H3787" s="2"/>
    </row>
    <row r="3788" spans="1:8">
      <c r="A3788" s="39">
        <v>3.77662527563198</v>
      </c>
      <c r="B3788" s="45">
        <v>5.4</v>
      </c>
      <c r="D3788" s="2"/>
      <c r="E3788" s="31"/>
      <c r="G3788" s="43"/>
      <c r="H3788" s="2"/>
    </row>
    <row r="3789" spans="1:8">
      <c r="A3789" s="39">
        <v>3.77662527563198</v>
      </c>
      <c r="B3789" s="45">
        <v>1</v>
      </c>
      <c r="D3789" s="2"/>
      <c r="E3789" s="31"/>
      <c r="G3789" s="43"/>
      <c r="H3789" s="2"/>
    </row>
    <row r="3790" spans="1:8">
      <c r="A3790" s="39">
        <v>3.77662527563198</v>
      </c>
      <c r="B3790" s="45">
        <v>4.4</v>
      </c>
      <c r="D3790" s="2"/>
      <c r="E3790" s="31"/>
      <c r="G3790" s="43"/>
      <c r="H3790" s="2"/>
    </row>
    <row r="3791" spans="1:8">
      <c r="A3791" s="39">
        <v>3.77633411064126</v>
      </c>
      <c r="B3791" s="45">
        <v>13</v>
      </c>
      <c r="D3791" s="2"/>
      <c r="E3791" s="31"/>
      <c r="G3791" s="43"/>
      <c r="H3791" s="2"/>
    </row>
    <row r="3792" spans="1:8">
      <c r="A3792" s="39">
        <v>3.77632603737737</v>
      </c>
      <c r="B3792" s="45">
        <v>20.7</v>
      </c>
      <c r="D3792" s="2"/>
      <c r="E3792" s="31"/>
      <c r="G3792" s="43"/>
      <c r="H3792" s="2"/>
    </row>
    <row r="3793" spans="1:8">
      <c r="A3793" s="39">
        <v>3.77632603737737</v>
      </c>
      <c r="B3793" s="45">
        <v>10</v>
      </c>
      <c r="D3793" s="2"/>
      <c r="E3793" s="31"/>
      <c r="G3793" s="43"/>
      <c r="H3793" s="2"/>
    </row>
    <row r="3794" spans="1:8">
      <c r="A3794" s="39">
        <v>3.77632603737737</v>
      </c>
      <c r="B3794" s="45">
        <v>4.2</v>
      </c>
      <c r="D3794" s="2"/>
      <c r="E3794" s="31"/>
      <c r="G3794" s="43"/>
      <c r="H3794" s="2"/>
    </row>
    <row r="3795" spans="1:8">
      <c r="A3795" s="39">
        <v>3.7761812658588</v>
      </c>
      <c r="B3795" s="45">
        <v>6</v>
      </c>
      <c r="D3795" s="2"/>
      <c r="E3795" s="31"/>
      <c r="G3795" s="43"/>
      <c r="H3795" s="2"/>
    </row>
    <row r="3796" spans="1:8">
      <c r="A3796" s="39">
        <v>3.7761812658588</v>
      </c>
      <c r="B3796" s="45">
        <v>2.3</v>
      </c>
      <c r="D3796" s="2"/>
      <c r="E3796" s="31"/>
      <c r="G3796" s="43"/>
      <c r="H3796" s="2"/>
    </row>
    <row r="3797" spans="1:8">
      <c r="A3797" s="39">
        <v>3.7761812658588</v>
      </c>
      <c r="B3797" s="45">
        <v>4</v>
      </c>
      <c r="D3797" s="2"/>
      <c r="E3797" s="31"/>
      <c r="G3797" s="43"/>
      <c r="H3797" s="2"/>
    </row>
    <row r="3798" spans="1:8">
      <c r="A3798" s="39">
        <v>3.77573187726191</v>
      </c>
      <c r="B3798" s="45">
        <v>6</v>
      </c>
      <c r="D3798" s="2"/>
      <c r="E3798" s="31"/>
      <c r="G3798" s="43"/>
      <c r="H3798" s="2"/>
    </row>
    <row r="3799" spans="1:8">
      <c r="A3799" s="39">
        <v>3.77549758962247</v>
      </c>
      <c r="B3799" s="45">
        <v>3.2</v>
      </c>
      <c r="D3799" s="2"/>
      <c r="E3799" s="31"/>
      <c r="G3799" s="43"/>
      <c r="H3799" s="2"/>
    </row>
    <row r="3800" spans="1:8">
      <c r="A3800" s="39">
        <v>3.77531382673515</v>
      </c>
      <c r="B3800" s="45">
        <v>10.8</v>
      </c>
      <c r="D3800" s="2"/>
      <c r="E3800" s="31"/>
      <c r="G3800" s="43"/>
      <c r="H3800" s="2"/>
    </row>
    <row r="3801" spans="1:8">
      <c r="A3801" s="39">
        <v>3.77520150458034</v>
      </c>
      <c r="B3801" s="45">
        <v>3</v>
      </c>
      <c r="D3801" s="2"/>
      <c r="E3801" s="31"/>
      <c r="G3801" s="43"/>
      <c r="H3801" s="2"/>
    </row>
    <row r="3802" spans="1:8">
      <c r="A3802" s="39">
        <v>3.77520150458034</v>
      </c>
      <c r="B3802" s="45">
        <v>7</v>
      </c>
      <c r="D3802" s="2"/>
      <c r="E3802" s="31"/>
      <c r="G3802" s="43"/>
      <c r="H3802" s="2"/>
    </row>
    <row r="3803" spans="1:8">
      <c r="A3803" s="39">
        <v>3.77508431289641</v>
      </c>
      <c r="B3803" s="45">
        <v>9.8</v>
      </c>
      <c r="D3803" s="2"/>
      <c r="E3803" s="31"/>
      <c r="G3803" s="43"/>
      <c r="H3803" s="2"/>
    </row>
    <row r="3804" spans="1:8">
      <c r="A3804" s="39">
        <v>3.77508431289641</v>
      </c>
      <c r="B3804" s="45">
        <v>9.5</v>
      </c>
      <c r="D3804" s="2"/>
      <c r="E3804" s="31"/>
      <c r="G3804" s="43"/>
      <c r="H3804" s="2"/>
    </row>
    <row r="3805" spans="1:8">
      <c r="A3805" s="39">
        <v>3.77487915625458</v>
      </c>
      <c r="B3805" s="45">
        <v>9.2</v>
      </c>
      <c r="D3805" s="2"/>
      <c r="E3805" s="31"/>
      <c r="G3805" s="43"/>
      <c r="H3805" s="2"/>
    </row>
    <row r="3806" spans="1:8">
      <c r="A3806" s="39">
        <v>3.7748754953062</v>
      </c>
      <c r="B3806" s="45">
        <v>6</v>
      </c>
      <c r="D3806" s="2"/>
      <c r="E3806" s="31"/>
      <c r="G3806" s="43"/>
      <c r="H3806" s="2"/>
    </row>
    <row r="3807" spans="1:8">
      <c r="A3807" s="39">
        <v>3.77481234025943</v>
      </c>
      <c r="B3807" s="45">
        <v>5.7</v>
      </c>
      <c r="D3807" s="2"/>
      <c r="E3807" s="31"/>
      <c r="G3807" s="43"/>
      <c r="H3807" s="2"/>
    </row>
    <row r="3808" spans="1:8">
      <c r="A3808" s="39">
        <v>3.77467985135311</v>
      </c>
      <c r="B3808" s="45">
        <v>10.9</v>
      </c>
      <c r="D3808" s="2"/>
      <c r="E3808" s="31"/>
      <c r="G3808" s="43"/>
      <c r="H3808" s="2"/>
    </row>
    <row r="3809" spans="1:8">
      <c r="A3809" s="39">
        <v>3.77377113714908</v>
      </c>
      <c r="B3809" s="45">
        <v>18</v>
      </c>
      <c r="D3809" s="2"/>
      <c r="E3809" s="31"/>
      <c r="G3809" s="43"/>
      <c r="H3809" s="2"/>
    </row>
    <row r="3810" spans="1:8">
      <c r="A3810" s="39">
        <v>3.77344341466006</v>
      </c>
      <c r="B3810" s="45">
        <v>9.9</v>
      </c>
      <c r="D3810" s="2"/>
      <c r="E3810" s="31"/>
      <c r="G3810" s="43"/>
      <c r="H3810" s="2"/>
    </row>
    <row r="3811" spans="1:8">
      <c r="A3811" s="39">
        <v>3.77280728408126</v>
      </c>
      <c r="B3811" s="45">
        <v>8</v>
      </c>
      <c r="D3811" s="2"/>
      <c r="E3811" s="31"/>
      <c r="G3811" s="43"/>
      <c r="H3811" s="2"/>
    </row>
    <row r="3812" spans="1:8">
      <c r="A3812" s="39">
        <v>3.77280728408126</v>
      </c>
      <c r="B3812" s="45">
        <v>11.3</v>
      </c>
      <c r="D3812" s="2"/>
      <c r="E3812" s="31"/>
      <c r="G3812" s="43"/>
      <c r="H3812" s="2"/>
    </row>
    <row r="3813" spans="1:8">
      <c r="A3813" s="39">
        <v>3.77275895186037</v>
      </c>
      <c r="B3813" s="45">
        <v>6</v>
      </c>
      <c r="D3813" s="2"/>
      <c r="E3813" s="31"/>
      <c r="G3813" s="43"/>
      <c r="H3813" s="2"/>
    </row>
    <row r="3814" spans="1:8">
      <c r="A3814" s="39">
        <v>3.77275895186037</v>
      </c>
      <c r="B3814" s="45">
        <v>4</v>
      </c>
      <c r="D3814" s="2"/>
      <c r="E3814" s="31"/>
      <c r="G3814" s="43"/>
      <c r="H3814" s="2"/>
    </row>
    <row r="3815" spans="1:8">
      <c r="A3815" s="39">
        <v>3.77269672467455</v>
      </c>
      <c r="B3815" s="45">
        <v>4</v>
      </c>
      <c r="D3815" s="2"/>
      <c r="E3815" s="31"/>
      <c r="G3815" s="43"/>
      <c r="H3815" s="2"/>
    </row>
    <row r="3816" spans="1:8">
      <c r="A3816" s="39">
        <v>3.77234084484467</v>
      </c>
      <c r="B3816" s="45">
        <v>12.4</v>
      </c>
      <c r="D3816" s="2"/>
      <c r="E3816" s="31"/>
      <c r="G3816" s="43"/>
      <c r="H3816" s="2"/>
    </row>
    <row r="3817" spans="1:8">
      <c r="A3817" s="39">
        <v>3.77181039703626</v>
      </c>
      <c r="B3817" s="45">
        <v>23</v>
      </c>
      <c r="D3817" s="2"/>
      <c r="E3817" s="31"/>
      <c r="G3817" s="43"/>
      <c r="H3817" s="2"/>
    </row>
    <row r="3818" spans="1:8">
      <c r="A3818" s="39">
        <v>3.77179601660961</v>
      </c>
      <c r="B3818" s="45">
        <v>3</v>
      </c>
      <c r="D3818" s="2"/>
      <c r="E3818" s="31"/>
      <c r="G3818" s="43"/>
      <c r="H3818" s="2"/>
    </row>
    <row r="3819" spans="1:8">
      <c r="A3819" s="39">
        <v>3.77127780600879</v>
      </c>
      <c r="B3819" s="45">
        <v>4</v>
      </c>
      <c r="D3819" s="2"/>
      <c r="E3819" s="31"/>
      <c r="G3819" s="43"/>
      <c r="H3819" s="2"/>
    </row>
    <row r="3820" spans="1:8">
      <c r="A3820" s="39">
        <v>3.77087803169119</v>
      </c>
      <c r="B3820" s="45">
        <v>8.9</v>
      </c>
      <c r="D3820" s="2"/>
      <c r="E3820" s="31"/>
      <c r="G3820" s="43"/>
      <c r="H3820" s="2"/>
    </row>
    <row r="3821" spans="1:8">
      <c r="A3821" s="39">
        <v>3.77067503513163</v>
      </c>
      <c r="B3821" s="45">
        <v>3.9</v>
      </c>
      <c r="D3821" s="2"/>
      <c r="E3821" s="31"/>
      <c r="G3821" s="43"/>
      <c r="H3821" s="2"/>
    </row>
    <row r="3822" spans="1:8">
      <c r="A3822" s="39">
        <v>3.77067503513163</v>
      </c>
      <c r="B3822" s="45">
        <v>3.4</v>
      </c>
      <c r="D3822" s="2"/>
      <c r="E3822" s="31"/>
      <c r="G3822" s="43"/>
      <c r="H3822" s="2"/>
    </row>
    <row r="3823" spans="1:8">
      <c r="A3823" s="39">
        <v>3.77059116000633</v>
      </c>
      <c r="B3823" s="45">
        <v>3.4</v>
      </c>
      <c r="D3823" s="2"/>
      <c r="E3823" s="31"/>
      <c r="G3823" s="43"/>
      <c r="H3823" s="2"/>
    </row>
    <row r="3824" spans="1:8">
      <c r="A3824" s="39">
        <v>3.77059116000633</v>
      </c>
      <c r="B3824" s="45">
        <v>1.9</v>
      </c>
      <c r="D3824" s="2"/>
      <c r="E3824" s="31"/>
      <c r="G3824" s="43"/>
      <c r="H3824" s="2"/>
    </row>
    <row r="3825" spans="1:8">
      <c r="A3825" s="39">
        <v>3.76989846216393</v>
      </c>
      <c r="B3825" s="45">
        <v>5.6</v>
      </c>
      <c r="D3825" s="2"/>
      <c r="E3825" s="31"/>
      <c r="G3825" s="43"/>
      <c r="H3825" s="2"/>
    </row>
    <row r="3826" spans="1:8">
      <c r="A3826" s="39">
        <v>3.76989846216393</v>
      </c>
      <c r="B3826" s="45">
        <v>6.6</v>
      </c>
      <c r="D3826" s="2"/>
      <c r="E3826" s="31"/>
      <c r="G3826" s="43"/>
      <c r="H3826" s="2"/>
    </row>
    <row r="3827" spans="1:8">
      <c r="A3827" s="39">
        <v>3.76984965692343</v>
      </c>
      <c r="B3827" s="45">
        <v>15</v>
      </c>
      <c r="D3827" s="2"/>
      <c r="E3827" s="31"/>
      <c r="G3827" s="43"/>
      <c r="H3827" s="2"/>
    </row>
    <row r="3828" spans="1:8">
      <c r="A3828" s="39">
        <v>3.76928853078516</v>
      </c>
      <c r="B3828" s="45">
        <v>12</v>
      </c>
      <c r="D3828" s="2"/>
      <c r="E3828" s="31"/>
      <c r="G3828" s="43"/>
      <c r="H3828" s="2"/>
    </row>
    <row r="3829" spans="1:8">
      <c r="A3829" s="39">
        <v>3.76919607688583</v>
      </c>
      <c r="B3829" s="45">
        <v>6.7</v>
      </c>
      <c r="D3829" s="2"/>
      <c r="E3829" s="31"/>
      <c r="G3829" s="43"/>
      <c r="H3829" s="2"/>
    </row>
    <row r="3830" spans="1:8">
      <c r="A3830" s="39">
        <v>3.76895568346761</v>
      </c>
      <c r="B3830" s="45">
        <v>3.5</v>
      </c>
      <c r="D3830" s="2"/>
      <c r="E3830" s="31"/>
      <c r="G3830" s="43"/>
      <c r="H3830" s="2"/>
    </row>
    <row r="3831" spans="1:8">
      <c r="A3831" s="39">
        <v>3.76858428102288</v>
      </c>
      <c r="B3831" s="45">
        <v>4.3</v>
      </c>
      <c r="D3831" s="2"/>
      <c r="E3831" s="31"/>
      <c r="G3831" s="43"/>
      <c r="H3831" s="2"/>
    </row>
    <row r="3832" spans="1:8">
      <c r="A3832" s="39">
        <v>3.76858428102288</v>
      </c>
      <c r="B3832" s="45">
        <v>4.5</v>
      </c>
      <c r="D3832" s="2"/>
      <c r="E3832" s="31"/>
      <c r="G3832" s="43"/>
      <c r="H3832" s="2"/>
    </row>
    <row r="3833" spans="1:8">
      <c r="A3833" s="39">
        <v>3.76854249684822</v>
      </c>
      <c r="B3833" s="45">
        <v>10.8</v>
      </c>
      <c r="D3833" s="2"/>
      <c r="E3833" s="31"/>
      <c r="G3833" s="43"/>
      <c r="H3833" s="2"/>
    </row>
    <row r="3834" spans="1:8">
      <c r="A3834" s="39">
        <v>3.7684684895909</v>
      </c>
      <c r="B3834" s="45">
        <v>5</v>
      </c>
      <c r="D3834" s="2"/>
      <c r="E3834" s="31"/>
      <c r="G3834" s="43"/>
      <c r="H3834" s="2"/>
    </row>
    <row r="3835" spans="1:8">
      <c r="A3835" s="39">
        <v>3.76833186151449</v>
      </c>
      <c r="B3835" s="45">
        <v>2.3</v>
      </c>
      <c r="D3835" s="2"/>
      <c r="E3835" s="31"/>
      <c r="G3835" s="43"/>
      <c r="H3835" s="2"/>
    </row>
    <row r="3836" spans="1:8">
      <c r="A3836" s="39">
        <v>3.76813794519825</v>
      </c>
      <c r="B3836" s="45">
        <v>5</v>
      </c>
      <c r="D3836" s="2"/>
      <c r="E3836" s="31"/>
      <c r="G3836" s="43"/>
      <c r="H3836" s="2"/>
    </row>
    <row r="3837" spans="1:8">
      <c r="A3837" s="39">
        <v>3.76797651545877</v>
      </c>
      <c r="B3837" s="45">
        <v>11.4</v>
      </c>
      <c r="D3837" s="2"/>
      <c r="E3837" s="31"/>
      <c r="G3837" s="43"/>
      <c r="H3837" s="2"/>
    </row>
    <row r="3838" spans="1:8">
      <c r="A3838" s="39">
        <v>3.76788891681061</v>
      </c>
      <c r="B3838" s="45">
        <v>10</v>
      </c>
      <c r="D3838" s="2"/>
      <c r="E3838" s="31"/>
      <c r="G3838" s="43"/>
      <c r="H3838" s="2"/>
    </row>
    <row r="3839" spans="1:8">
      <c r="A3839" s="39">
        <v>3.76659878666321</v>
      </c>
      <c r="B3839" s="45">
        <v>3.9</v>
      </c>
      <c r="D3839" s="2"/>
      <c r="E3839" s="31"/>
      <c r="G3839" s="43"/>
      <c r="H3839" s="2"/>
    </row>
    <row r="3840" spans="1:8">
      <c r="A3840" s="39">
        <v>3.76650246865954</v>
      </c>
      <c r="B3840" s="45">
        <v>3.55</v>
      </c>
      <c r="D3840" s="2"/>
      <c r="E3840" s="31"/>
      <c r="G3840" s="43"/>
      <c r="H3840" s="2"/>
    </row>
    <row r="3841" spans="1:8">
      <c r="A3841" s="39">
        <v>3.76647352814828</v>
      </c>
      <c r="B3841" s="45">
        <v>13.2</v>
      </c>
      <c r="D3841" s="2"/>
      <c r="E3841" s="31"/>
      <c r="G3841" s="43"/>
      <c r="H3841" s="2"/>
    </row>
    <row r="3842" spans="1:8">
      <c r="A3842" s="39">
        <v>3.76592817669778</v>
      </c>
      <c r="B3842" s="45">
        <v>20</v>
      </c>
      <c r="D3842" s="2"/>
      <c r="E3842" s="31"/>
      <c r="G3842" s="43"/>
      <c r="H3842" s="2"/>
    </row>
    <row r="3843" spans="1:8">
      <c r="A3843" s="39">
        <v>3.76588127206268</v>
      </c>
      <c r="B3843" s="45">
        <v>2</v>
      </c>
      <c r="D3843" s="2"/>
      <c r="E3843" s="31"/>
      <c r="G3843" s="43"/>
      <c r="H3843" s="2"/>
    </row>
    <row r="3844" spans="1:8">
      <c r="A3844" s="39">
        <v>3.76588127206268</v>
      </c>
      <c r="B3844" s="45">
        <v>4.2</v>
      </c>
      <c r="D3844" s="2"/>
      <c r="E3844" s="31"/>
      <c r="G3844" s="43"/>
      <c r="H3844" s="2"/>
    </row>
    <row r="3845" spans="1:8">
      <c r="A3845" s="39">
        <v>3.76576977748906</v>
      </c>
      <c r="B3845" s="45">
        <v>14.5</v>
      </c>
      <c r="D3845" s="2"/>
      <c r="E3845" s="31"/>
      <c r="G3845" s="43"/>
      <c r="H3845" s="2"/>
    </row>
    <row r="3846" spans="1:8">
      <c r="A3846" s="39">
        <v>3.76557209246369</v>
      </c>
      <c r="B3846" s="45">
        <v>2</v>
      </c>
      <c r="D3846" s="2"/>
      <c r="E3846" s="31"/>
      <c r="G3846" s="43"/>
      <c r="H3846" s="2"/>
    </row>
    <row r="3847" spans="1:8">
      <c r="A3847" s="39">
        <v>3.76546395838363</v>
      </c>
      <c r="B3847" s="45">
        <v>14</v>
      </c>
      <c r="D3847" s="2"/>
      <c r="E3847" s="31"/>
      <c r="G3847" s="43"/>
      <c r="H3847" s="2"/>
    </row>
    <row r="3848" spans="1:8">
      <c r="A3848" s="39">
        <v>3.76546395838363</v>
      </c>
      <c r="B3848" s="45">
        <v>5.3</v>
      </c>
      <c r="D3848" s="2"/>
      <c r="E3848" s="31"/>
      <c r="G3848" s="43"/>
      <c r="H3848" s="2"/>
    </row>
    <row r="3849" spans="1:8">
      <c r="A3849" s="39">
        <v>3.76454539826416</v>
      </c>
      <c r="B3849" s="45">
        <v>13.9</v>
      </c>
      <c r="D3849" s="2"/>
      <c r="E3849" s="31"/>
      <c r="G3849" s="43"/>
      <c r="H3849" s="2"/>
    </row>
    <row r="3850" spans="1:8">
      <c r="A3850" s="39">
        <v>3.76413262204846</v>
      </c>
      <c r="B3850" s="45">
        <v>3</v>
      </c>
      <c r="D3850" s="2"/>
      <c r="E3850" s="31"/>
      <c r="G3850" s="43"/>
      <c r="H3850" s="2"/>
    </row>
    <row r="3851" spans="1:8">
      <c r="A3851" s="39">
        <v>3.76396743658496</v>
      </c>
      <c r="B3851" s="45">
        <v>12.2</v>
      </c>
      <c r="D3851" s="2"/>
      <c r="E3851" s="31"/>
      <c r="G3851" s="43"/>
      <c r="H3851" s="2"/>
    </row>
    <row r="3852" spans="1:8">
      <c r="A3852" s="39">
        <v>3.76331385654735</v>
      </c>
      <c r="B3852" s="45">
        <v>11.2</v>
      </c>
      <c r="D3852" s="2"/>
      <c r="E3852" s="31"/>
      <c r="G3852" s="43"/>
      <c r="H3852" s="2"/>
    </row>
    <row r="3853" spans="1:8">
      <c r="A3853" s="39">
        <v>3.76317647266479</v>
      </c>
      <c r="B3853" s="45">
        <v>13.5</v>
      </c>
      <c r="D3853" s="2"/>
      <c r="E3853" s="31"/>
      <c r="G3853" s="43"/>
      <c r="H3853" s="2"/>
    </row>
    <row r="3854" spans="1:8">
      <c r="A3854" s="39">
        <v>3.76317647266479</v>
      </c>
      <c r="B3854" s="45">
        <v>1.8</v>
      </c>
      <c r="D3854" s="2"/>
      <c r="E3854" s="31"/>
      <c r="G3854" s="43"/>
      <c r="H3854" s="2"/>
    </row>
    <row r="3855" spans="1:8">
      <c r="A3855" s="39">
        <v>3.76266027650974</v>
      </c>
      <c r="B3855" s="45">
        <v>20.3</v>
      </c>
      <c r="D3855" s="2"/>
      <c r="E3855" s="31"/>
      <c r="G3855" s="43"/>
      <c r="H3855" s="2"/>
    </row>
    <row r="3856" spans="1:8">
      <c r="A3856" s="39">
        <v>3.76264971028319</v>
      </c>
      <c r="B3856" s="45">
        <v>7.5</v>
      </c>
      <c r="D3856" s="2"/>
      <c r="E3856" s="31"/>
      <c r="G3856" s="43"/>
      <c r="H3856" s="2"/>
    </row>
    <row r="3857" spans="1:8">
      <c r="A3857" s="39">
        <v>3.76264971028319</v>
      </c>
      <c r="B3857" s="45">
        <v>9.5</v>
      </c>
      <c r="D3857" s="2"/>
      <c r="E3857" s="31"/>
      <c r="G3857" s="43"/>
      <c r="H3857" s="2"/>
    </row>
    <row r="3858" spans="1:8">
      <c r="A3858" s="39">
        <v>3.76225102419296</v>
      </c>
      <c r="B3858" s="45">
        <v>8.2</v>
      </c>
      <c r="D3858" s="2"/>
      <c r="E3858" s="31"/>
      <c r="G3858" s="43"/>
      <c r="H3858" s="2"/>
    </row>
    <row r="3859" spans="1:8">
      <c r="A3859" s="39">
        <v>3.76200669647214</v>
      </c>
      <c r="B3859" s="45">
        <v>16.2</v>
      </c>
      <c r="D3859" s="2"/>
      <c r="E3859" s="31"/>
      <c r="G3859" s="43"/>
      <c r="H3859" s="2"/>
    </row>
    <row r="3860" spans="1:8">
      <c r="A3860" s="39">
        <v>3.76198396247571</v>
      </c>
      <c r="B3860" s="45">
        <v>11.3</v>
      </c>
      <c r="D3860" s="2"/>
      <c r="E3860" s="31"/>
      <c r="G3860" s="43"/>
      <c r="H3860" s="2"/>
    </row>
    <row r="3861" spans="1:8">
      <c r="A3861" s="39">
        <v>3.76173547460145</v>
      </c>
      <c r="B3861" s="45">
        <v>15.4</v>
      </c>
      <c r="D3861" s="2"/>
      <c r="E3861" s="31"/>
      <c r="G3861" s="43"/>
      <c r="H3861" s="2"/>
    </row>
    <row r="3862" spans="1:8">
      <c r="A3862" s="39">
        <v>3.76135311643453</v>
      </c>
      <c r="B3862" s="45">
        <v>6.4</v>
      </c>
      <c r="D3862" s="2"/>
      <c r="E3862" s="31"/>
      <c r="G3862" s="43"/>
      <c r="H3862" s="2"/>
    </row>
    <row r="3863" spans="1:8">
      <c r="A3863" s="39">
        <v>3.76106217310251</v>
      </c>
      <c r="B3863" s="45">
        <v>6.5</v>
      </c>
      <c r="D3863" s="2"/>
      <c r="E3863" s="31"/>
      <c r="G3863" s="43"/>
      <c r="H3863" s="2"/>
    </row>
    <row r="3864" spans="1:8">
      <c r="A3864" s="39">
        <v>3.76106217310251</v>
      </c>
      <c r="B3864" s="45">
        <v>5.7</v>
      </c>
      <c r="D3864" s="2"/>
      <c r="E3864" s="31"/>
      <c r="G3864" s="43"/>
      <c r="H3864" s="2"/>
    </row>
    <row r="3865" spans="1:8">
      <c r="A3865" s="39">
        <v>3.76088129414835</v>
      </c>
      <c r="B3865" s="45">
        <v>15.3</v>
      </c>
      <c r="D3865" s="2"/>
      <c r="E3865" s="31"/>
      <c r="G3865" s="43"/>
      <c r="H3865" s="2"/>
    </row>
    <row r="3866" spans="1:8">
      <c r="A3866" s="39">
        <v>3.76069953639692</v>
      </c>
      <c r="B3866" s="45">
        <v>17</v>
      </c>
      <c r="D3866" s="2"/>
      <c r="E3866" s="31"/>
      <c r="G3866" s="43"/>
      <c r="H3866" s="2"/>
    </row>
    <row r="3867" spans="1:8">
      <c r="A3867" s="39">
        <v>3.76052836798453</v>
      </c>
      <c r="B3867" s="45">
        <v>8.2</v>
      </c>
      <c r="D3867" s="2"/>
      <c r="E3867" s="31"/>
      <c r="G3867" s="43"/>
      <c r="H3867" s="2"/>
    </row>
    <row r="3868" spans="1:8">
      <c r="A3868" s="39">
        <v>3.76052836798453</v>
      </c>
      <c r="B3868" s="45">
        <v>10</v>
      </c>
      <c r="D3868" s="2"/>
      <c r="E3868" s="31"/>
      <c r="G3868" s="43"/>
      <c r="H3868" s="2"/>
    </row>
    <row r="3869" spans="1:8">
      <c r="A3869" s="39">
        <v>3.76022126458788</v>
      </c>
      <c r="B3869" s="45">
        <v>0</v>
      </c>
      <c r="D3869" s="2"/>
      <c r="E3869" s="31"/>
      <c r="G3869" s="43"/>
      <c r="H3869" s="2"/>
    </row>
    <row r="3870" spans="1:8">
      <c r="A3870" s="39">
        <v>3.75996056250468</v>
      </c>
      <c r="B3870" s="45">
        <v>8</v>
      </c>
      <c r="D3870" s="2"/>
      <c r="E3870" s="31"/>
      <c r="G3870" s="43"/>
      <c r="H3870" s="2"/>
    </row>
    <row r="3871" spans="1:8">
      <c r="A3871" s="39">
        <v>3.75907277349334</v>
      </c>
      <c r="B3871" s="45">
        <v>16.5</v>
      </c>
      <c r="D3871" s="2"/>
      <c r="E3871" s="31"/>
      <c r="G3871" s="43"/>
      <c r="H3871" s="2"/>
    </row>
    <row r="3872" spans="1:8">
      <c r="A3872" s="39">
        <v>3.75906969586669</v>
      </c>
      <c r="B3872" s="45">
        <v>5</v>
      </c>
      <c r="D3872" s="2"/>
      <c r="E3872" s="31"/>
      <c r="G3872" s="43"/>
      <c r="H3872" s="2"/>
    </row>
    <row r="3873" spans="1:8">
      <c r="A3873" s="39">
        <v>3.75904226860568</v>
      </c>
      <c r="B3873" s="45">
        <v>4</v>
      </c>
      <c r="D3873" s="2"/>
      <c r="E3873" s="31"/>
      <c r="G3873" s="43"/>
      <c r="H3873" s="2"/>
    </row>
    <row r="3874" spans="1:8">
      <c r="A3874" s="39">
        <v>3.75887465800104</v>
      </c>
      <c r="B3874" s="45">
        <v>11.5</v>
      </c>
      <c r="D3874" s="2"/>
      <c r="E3874" s="31"/>
      <c r="G3874" s="43"/>
      <c r="H3874" s="2"/>
    </row>
    <row r="3875" spans="1:8">
      <c r="A3875" s="39">
        <v>3.75873227089685</v>
      </c>
      <c r="B3875" s="45">
        <v>2.9</v>
      </c>
      <c r="D3875" s="2"/>
      <c r="E3875" s="31"/>
      <c r="G3875" s="43"/>
      <c r="H3875" s="2"/>
    </row>
    <row r="3876" spans="1:8">
      <c r="A3876" s="39">
        <v>3.75873227089685</v>
      </c>
      <c r="B3876" s="45">
        <v>6</v>
      </c>
      <c r="D3876" s="2"/>
      <c r="E3876" s="31"/>
      <c r="G3876" s="43"/>
      <c r="H3876" s="2"/>
    </row>
    <row r="3877" spans="1:8">
      <c r="A3877" s="39">
        <v>3.75873227089685</v>
      </c>
      <c r="B3877" s="45">
        <v>22.4</v>
      </c>
      <c r="D3877" s="2"/>
      <c r="E3877" s="31"/>
      <c r="G3877" s="43"/>
      <c r="H3877" s="2"/>
    </row>
    <row r="3878" spans="1:8">
      <c r="A3878" s="39">
        <v>3.75836896710673</v>
      </c>
      <c r="B3878" s="45">
        <v>6.5</v>
      </c>
      <c r="D3878" s="2"/>
      <c r="E3878" s="31"/>
      <c r="G3878" s="43"/>
      <c r="H3878" s="2"/>
    </row>
    <row r="3879" spans="1:8">
      <c r="A3879" s="39">
        <v>3.75832508596597</v>
      </c>
      <c r="B3879" s="45">
        <v>10.7</v>
      </c>
      <c r="D3879" s="2"/>
      <c r="E3879" s="31"/>
      <c r="G3879" s="43"/>
      <c r="H3879" s="2"/>
    </row>
    <row r="3880" spans="1:8">
      <c r="A3880" s="39">
        <v>3.75832508596597</v>
      </c>
      <c r="B3880" s="45">
        <v>6.5</v>
      </c>
      <c r="D3880" s="2"/>
      <c r="E3880" s="31"/>
      <c r="G3880" s="43"/>
      <c r="H3880" s="2"/>
    </row>
    <row r="3881" spans="1:8">
      <c r="A3881" s="39">
        <v>3.7581471808077</v>
      </c>
      <c r="B3881" s="45">
        <v>5</v>
      </c>
      <c r="D3881" s="2"/>
      <c r="E3881" s="31"/>
      <c r="G3881" s="43"/>
      <c r="H3881" s="2"/>
    </row>
    <row r="3882" spans="1:8">
      <c r="A3882" s="39">
        <v>3.75813051047913</v>
      </c>
      <c r="B3882" s="45">
        <v>7</v>
      </c>
      <c r="D3882" s="2"/>
      <c r="E3882" s="31"/>
      <c r="G3882" s="43"/>
      <c r="H3882" s="2"/>
    </row>
    <row r="3883" spans="1:8">
      <c r="A3883" s="39">
        <v>3.75778647114351</v>
      </c>
      <c r="B3883" s="45">
        <v>0</v>
      </c>
      <c r="D3883" s="2"/>
      <c r="E3883" s="31"/>
      <c r="G3883" s="43"/>
      <c r="H3883" s="2"/>
    </row>
    <row r="3884" spans="1:8">
      <c r="A3884" s="39">
        <v>3.75769566560779</v>
      </c>
      <c r="B3884" s="45">
        <v>5</v>
      </c>
      <c r="D3884" s="2"/>
      <c r="E3884" s="31"/>
      <c r="G3884" s="43"/>
      <c r="H3884" s="2"/>
    </row>
    <row r="3885" spans="1:8">
      <c r="A3885" s="39">
        <v>3.75740580858041</v>
      </c>
      <c r="B3885" s="45">
        <v>4.6</v>
      </c>
      <c r="D3885" s="2"/>
      <c r="E3885" s="31"/>
      <c r="G3885" s="43"/>
      <c r="H3885" s="2"/>
    </row>
    <row r="3886" spans="1:8">
      <c r="A3886" s="39">
        <v>3.75740580858041</v>
      </c>
      <c r="B3886" s="45">
        <v>1</v>
      </c>
      <c r="D3886" s="2"/>
      <c r="E3886" s="31"/>
      <c r="G3886" s="43"/>
      <c r="H3886" s="2"/>
    </row>
    <row r="3887" spans="1:8">
      <c r="A3887" s="39">
        <v>3.75730018455575</v>
      </c>
      <c r="B3887" s="45">
        <v>8.5</v>
      </c>
      <c r="D3887" s="2"/>
      <c r="E3887" s="31"/>
      <c r="G3887" s="43"/>
      <c r="H3887" s="2"/>
    </row>
    <row r="3888" spans="1:8">
      <c r="A3888" s="39">
        <v>3.75708513342475</v>
      </c>
      <c r="B3888" s="45">
        <v>5</v>
      </c>
      <c r="D3888" s="2"/>
      <c r="E3888" s="31"/>
      <c r="G3888" s="43"/>
      <c r="H3888" s="2"/>
    </row>
    <row r="3889" spans="1:8">
      <c r="A3889" s="39">
        <v>3.75702121408232</v>
      </c>
      <c r="B3889" s="45">
        <v>11.2</v>
      </c>
      <c r="D3889" s="2"/>
      <c r="E3889" s="31"/>
      <c r="G3889" s="43"/>
      <c r="H3889" s="2"/>
    </row>
    <row r="3890" spans="1:8">
      <c r="A3890" s="39">
        <v>3.75701630746763</v>
      </c>
      <c r="B3890" s="45">
        <v>4</v>
      </c>
      <c r="D3890" s="2"/>
      <c r="E3890" s="31"/>
      <c r="G3890" s="43"/>
      <c r="H3890" s="2"/>
    </row>
    <row r="3891" spans="1:8">
      <c r="A3891" s="39">
        <v>3.75662101891919</v>
      </c>
      <c r="B3891" s="45">
        <v>22.7</v>
      </c>
      <c r="D3891" s="2"/>
      <c r="E3891" s="31"/>
      <c r="G3891" s="43"/>
      <c r="H3891" s="2"/>
    </row>
    <row r="3892" spans="1:8">
      <c r="A3892" s="39">
        <v>3.7563490626099</v>
      </c>
      <c r="B3892" s="45">
        <v>10.5</v>
      </c>
      <c r="D3892" s="2"/>
      <c r="E3892" s="31"/>
      <c r="G3892" s="43"/>
      <c r="H3892" s="2"/>
    </row>
    <row r="3893" spans="1:8">
      <c r="A3893" s="39">
        <v>3.75633184466795</v>
      </c>
      <c r="B3893" s="45">
        <v>7.8</v>
      </c>
      <c r="D3893" s="2"/>
      <c r="E3893" s="31"/>
      <c r="G3893" s="43"/>
      <c r="H3893" s="2"/>
    </row>
    <row r="3894" spans="1:8">
      <c r="A3894" s="39">
        <v>3.75633184466795</v>
      </c>
      <c r="B3894" s="45">
        <v>2.3</v>
      </c>
      <c r="D3894" s="2"/>
      <c r="E3894" s="31"/>
      <c r="G3894" s="43"/>
      <c r="H3894" s="2"/>
    </row>
    <row r="3895" spans="1:8">
      <c r="A3895" s="39">
        <v>3.75616158451096</v>
      </c>
      <c r="B3895" s="45">
        <v>9.1</v>
      </c>
      <c r="D3895" s="2"/>
      <c r="E3895" s="31"/>
      <c r="G3895" s="43"/>
      <c r="H3895" s="2"/>
    </row>
    <row r="3896" spans="1:8">
      <c r="A3896" s="39">
        <v>3.75603975637038</v>
      </c>
      <c r="B3896" s="45">
        <v>5.7</v>
      </c>
      <c r="D3896" s="2"/>
      <c r="E3896" s="31"/>
      <c r="G3896" s="43"/>
      <c r="H3896" s="2"/>
    </row>
    <row r="3897" spans="1:8">
      <c r="A3897" s="39">
        <v>3.75596474922767</v>
      </c>
      <c r="B3897" s="45">
        <v>10.7</v>
      </c>
      <c r="D3897" s="2"/>
      <c r="E3897" s="31"/>
      <c r="G3897" s="43"/>
      <c r="H3897" s="2"/>
    </row>
    <row r="3898" spans="1:8">
      <c r="A3898" s="39">
        <v>3.75591726825997</v>
      </c>
      <c r="B3898" s="45">
        <v>10</v>
      </c>
      <c r="D3898" s="2"/>
      <c r="E3898" s="31"/>
      <c r="G3898" s="43"/>
      <c r="H3898" s="2"/>
    </row>
    <row r="3899" spans="1:8">
      <c r="A3899" s="39">
        <v>3.75591726825997</v>
      </c>
      <c r="B3899" s="45">
        <v>7</v>
      </c>
      <c r="D3899" s="2"/>
      <c r="E3899" s="31"/>
      <c r="G3899" s="43"/>
      <c r="H3899" s="2"/>
    </row>
    <row r="3900" spans="1:8">
      <c r="A3900" s="39">
        <v>3.75567576111096</v>
      </c>
      <c r="B3900" s="45">
        <v>1</v>
      </c>
      <c r="D3900" s="2"/>
      <c r="E3900" s="31"/>
      <c r="G3900" s="43"/>
      <c r="H3900" s="2"/>
    </row>
    <row r="3901" spans="1:8">
      <c r="A3901" s="39">
        <v>3.75564738186826</v>
      </c>
      <c r="B3901" s="45">
        <v>7</v>
      </c>
      <c r="D3901" s="2"/>
      <c r="E3901" s="31"/>
      <c r="G3901" s="43"/>
      <c r="H3901" s="2"/>
    </row>
    <row r="3902" spans="1:8">
      <c r="A3902" s="39">
        <v>3.75521351760075</v>
      </c>
      <c r="B3902" s="45">
        <v>5.8</v>
      </c>
      <c r="D3902" s="2"/>
      <c r="E3902" s="31"/>
      <c r="G3902" s="43"/>
      <c r="H3902" s="2"/>
    </row>
    <row r="3903" spans="1:8">
      <c r="A3903" s="39">
        <v>3.75500245961201</v>
      </c>
      <c r="B3903" s="45">
        <v>6.3</v>
      </c>
      <c r="D3903" s="2"/>
      <c r="E3903" s="31"/>
      <c r="G3903" s="43"/>
      <c r="H3903" s="2"/>
    </row>
    <row r="3904" spans="1:8">
      <c r="A3904" s="39">
        <v>3.75500245961201</v>
      </c>
      <c r="B3904" s="45">
        <v>9.5</v>
      </c>
      <c r="D3904" s="2"/>
      <c r="E3904" s="31"/>
      <c r="G3904" s="43"/>
      <c r="H3904" s="2"/>
    </row>
    <row r="3905" spans="1:8">
      <c r="A3905" s="39">
        <v>3.75450979484099</v>
      </c>
      <c r="B3905" s="45">
        <v>11.8</v>
      </c>
      <c r="D3905" s="2"/>
      <c r="E3905" s="31"/>
      <c r="G3905" s="43"/>
      <c r="H3905" s="2"/>
    </row>
    <row r="3906" spans="1:8">
      <c r="A3906" s="39">
        <v>3.75450979484099</v>
      </c>
      <c r="B3906" s="45">
        <v>15.5</v>
      </c>
      <c r="D3906" s="2"/>
      <c r="E3906" s="31"/>
      <c r="G3906" s="43"/>
      <c r="H3906" s="2"/>
    </row>
    <row r="3907" spans="1:8">
      <c r="A3907" s="39">
        <v>3.75371907496315</v>
      </c>
      <c r="B3907" s="45">
        <v>16</v>
      </c>
      <c r="D3907" s="2"/>
      <c r="E3907" s="31"/>
      <c r="G3907" s="43"/>
      <c r="H3907" s="2"/>
    </row>
    <row r="3908" spans="1:8">
      <c r="A3908" s="39">
        <v>3.75371907496315</v>
      </c>
      <c r="B3908" s="45">
        <v>7.2</v>
      </c>
      <c r="D3908" s="2"/>
      <c r="E3908" s="31"/>
      <c r="G3908" s="43"/>
      <c r="H3908" s="2"/>
    </row>
    <row r="3909" spans="1:8">
      <c r="A3909" s="39">
        <v>3.75371907496315</v>
      </c>
      <c r="B3909" s="45">
        <v>5.5</v>
      </c>
      <c r="D3909" s="2"/>
      <c r="E3909" s="31"/>
      <c r="G3909" s="43"/>
      <c r="H3909" s="2"/>
    </row>
    <row r="3910" spans="1:8">
      <c r="A3910" s="39">
        <v>3.75252259828299</v>
      </c>
      <c r="B3910" s="45">
        <v>8</v>
      </c>
      <c r="D3910" s="2"/>
      <c r="E3910" s="31"/>
      <c r="G3910" s="43"/>
      <c r="H3910" s="2"/>
    </row>
    <row r="3911" spans="1:8">
      <c r="A3911" s="39">
        <v>3.75239851496387</v>
      </c>
      <c r="B3911" s="45">
        <v>5</v>
      </c>
      <c r="D3911" s="2"/>
      <c r="E3911" s="31"/>
      <c r="G3911" s="43"/>
      <c r="H3911" s="2"/>
    </row>
    <row r="3912" spans="1:8">
      <c r="A3912" s="39">
        <v>3.75239851496387</v>
      </c>
      <c r="B3912" s="45">
        <v>11.2</v>
      </c>
      <c r="D3912" s="2"/>
      <c r="E3912" s="31"/>
      <c r="G3912" s="43"/>
      <c r="H3912" s="2"/>
    </row>
    <row r="3913" spans="1:8">
      <c r="A3913" s="39">
        <v>3.75228663112611</v>
      </c>
      <c r="B3913" s="45">
        <v>6.5</v>
      </c>
      <c r="D3913" s="2"/>
      <c r="E3913" s="31"/>
      <c r="G3913" s="43"/>
      <c r="H3913" s="2"/>
    </row>
    <row r="3914" spans="1:8">
      <c r="A3914" s="39">
        <v>3.75220299590801</v>
      </c>
      <c r="B3914" s="45">
        <v>20.3</v>
      </c>
      <c r="D3914" s="2"/>
      <c r="E3914" s="31"/>
      <c r="G3914" s="43"/>
      <c r="H3914" s="2"/>
    </row>
    <row r="3915" spans="1:8">
      <c r="A3915" s="39">
        <v>3.75169476430465</v>
      </c>
      <c r="B3915" s="45">
        <v>6.5</v>
      </c>
      <c r="D3915" s="2"/>
      <c r="E3915" s="31"/>
      <c r="G3915" s="43"/>
      <c r="H3915" s="2"/>
    </row>
    <row r="3916" spans="1:8">
      <c r="A3916" s="39">
        <v>3.75139271788145</v>
      </c>
      <c r="B3916" s="45">
        <v>8.5</v>
      </c>
      <c r="D3916" s="2"/>
      <c r="E3916" s="31"/>
      <c r="G3916" s="43"/>
      <c r="H3916" s="2"/>
    </row>
    <row r="3917" spans="1:8">
      <c r="A3917" s="39">
        <v>3.75139271788145</v>
      </c>
      <c r="B3917" s="45">
        <v>12.7</v>
      </c>
      <c r="D3917" s="2"/>
      <c r="E3917" s="31"/>
      <c r="G3917" s="43"/>
      <c r="H3917" s="2"/>
    </row>
    <row r="3918" spans="1:8">
      <c r="A3918" s="39">
        <v>3.75085614227047</v>
      </c>
      <c r="B3918" s="45">
        <v>4.2</v>
      </c>
      <c r="D3918" s="2"/>
      <c r="E3918" s="31"/>
      <c r="G3918" s="43"/>
      <c r="H3918" s="2"/>
    </row>
    <row r="3919" spans="1:8">
      <c r="A3919" s="39">
        <v>3.75085418728907</v>
      </c>
      <c r="B3919" s="45">
        <v>5</v>
      </c>
      <c r="D3919" s="2"/>
      <c r="E3919" s="31"/>
      <c r="G3919" s="43"/>
      <c r="H3919" s="2"/>
    </row>
    <row r="3920" spans="1:8">
      <c r="A3920" s="39">
        <v>3.75014493168093</v>
      </c>
      <c r="B3920" s="45">
        <v>5.1</v>
      </c>
      <c r="D3920" s="2"/>
      <c r="E3920" s="31"/>
      <c r="G3920" s="43"/>
      <c r="H3920" s="2"/>
    </row>
    <row r="3921" spans="1:8">
      <c r="A3921" s="39">
        <v>3.75013796537055</v>
      </c>
      <c r="B3921" s="45">
        <v>9.2</v>
      </c>
      <c r="D3921" s="2"/>
      <c r="E3921" s="31"/>
      <c r="G3921" s="43"/>
      <c r="H3921" s="2"/>
    </row>
    <row r="3922" spans="1:8">
      <c r="A3922" s="39">
        <v>3.74961140930062</v>
      </c>
      <c r="B3922" s="45">
        <v>8.4</v>
      </c>
      <c r="D3922" s="2"/>
      <c r="E3922" s="31"/>
      <c r="G3922" s="43"/>
      <c r="H3922" s="2"/>
    </row>
    <row r="3923" spans="1:8">
      <c r="A3923" s="39">
        <v>3.74961140930062</v>
      </c>
      <c r="B3923" s="45">
        <v>12.5</v>
      </c>
      <c r="D3923" s="2"/>
      <c r="E3923" s="31"/>
      <c r="G3923" s="43"/>
      <c r="H3923" s="2"/>
    </row>
    <row r="3924" spans="1:8">
      <c r="A3924" s="39">
        <v>3.74958867575758</v>
      </c>
      <c r="B3924" s="45">
        <v>14</v>
      </c>
      <c r="D3924" s="2"/>
      <c r="E3924" s="31"/>
      <c r="G3924" s="43"/>
      <c r="H3924" s="2"/>
    </row>
    <row r="3925" spans="1:8">
      <c r="A3925" s="39">
        <v>3.74958867575758</v>
      </c>
      <c r="B3925" s="45">
        <v>14.2</v>
      </c>
      <c r="D3925" s="2"/>
      <c r="E3925" s="31"/>
      <c r="G3925" s="43"/>
      <c r="H3925" s="2"/>
    </row>
    <row r="3926" spans="1:8">
      <c r="A3926" s="39">
        <v>3.7494872166711</v>
      </c>
      <c r="B3926" s="45">
        <v>5.6</v>
      </c>
      <c r="D3926" s="2"/>
      <c r="E3926" s="31"/>
      <c r="G3926" s="43"/>
      <c r="H3926" s="2"/>
    </row>
    <row r="3927" spans="1:8">
      <c r="A3927" s="39">
        <v>3.7494872166711</v>
      </c>
      <c r="B3927" s="45">
        <v>4</v>
      </c>
      <c r="D3927" s="2"/>
      <c r="E3927" s="31"/>
      <c r="G3927" s="43"/>
      <c r="H3927" s="2"/>
    </row>
    <row r="3928" spans="1:8">
      <c r="A3928" s="39">
        <v>3.74887976166777</v>
      </c>
      <c r="B3928" s="45">
        <v>10.5</v>
      </c>
      <c r="D3928" s="2"/>
      <c r="E3928" s="31"/>
      <c r="G3928" s="43"/>
      <c r="H3928" s="2"/>
    </row>
    <row r="3929" spans="1:8">
      <c r="A3929" s="39">
        <v>3.74875704840721</v>
      </c>
      <c r="B3929" s="45">
        <v>6.5</v>
      </c>
      <c r="D3929" s="2"/>
      <c r="E3929" s="31"/>
      <c r="G3929" s="43"/>
      <c r="H3929" s="2"/>
    </row>
    <row r="3930" spans="1:8">
      <c r="A3930" s="39">
        <v>3.74857846978101</v>
      </c>
      <c r="B3930" s="45">
        <v>16</v>
      </c>
      <c r="D3930" s="2"/>
      <c r="E3930" s="31"/>
      <c r="G3930" s="43"/>
      <c r="H3930" s="2"/>
    </row>
    <row r="3931" spans="1:8">
      <c r="A3931" s="39">
        <v>3.74826944462257</v>
      </c>
      <c r="B3931" s="45">
        <v>11</v>
      </c>
      <c r="D3931" s="2"/>
      <c r="E3931" s="31"/>
      <c r="G3931" s="43"/>
      <c r="H3931" s="2"/>
    </row>
    <row r="3932" spans="1:8">
      <c r="A3932" s="39">
        <v>3.74826944462257</v>
      </c>
      <c r="B3932" s="45">
        <v>19</v>
      </c>
      <c r="D3932" s="2"/>
      <c r="E3932" s="31"/>
      <c r="G3932" s="43"/>
      <c r="H3932" s="2"/>
    </row>
    <row r="3933" spans="1:8">
      <c r="A3933" s="39">
        <v>3.74779607505463</v>
      </c>
      <c r="B3933" s="45">
        <v>5</v>
      </c>
      <c r="D3933" s="2"/>
      <c r="E3933" s="31"/>
      <c r="G3933" s="43"/>
      <c r="H3933" s="2"/>
    </row>
    <row r="3934" spans="1:8">
      <c r="A3934" s="39">
        <v>3.74717134573079</v>
      </c>
      <c r="B3934" s="45">
        <v>9.2</v>
      </c>
      <c r="D3934" s="2"/>
      <c r="E3934" s="31"/>
      <c r="G3934" s="43"/>
      <c r="H3934" s="2"/>
    </row>
    <row r="3935" spans="1:8">
      <c r="A3935" s="39">
        <v>3.74687675019497</v>
      </c>
      <c r="B3935" s="45">
        <v>9.4</v>
      </c>
      <c r="D3935" s="2"/>
      <c r="E3935" s="31"/>
      <c r="G3935" s="43"/>
      <c r="H3935" s="2"/>
    </row>
    <row r="3936" spans="1:8">
      <c r="A3936" s="39">
        <v>3.74687675019497</v>
      </c>
      <c r="B3936" s="45">
        <v>5.3</v>
      </c>
      <c r="D3936" s="2"/>
      <c r="E3936" s="31"/>
      <c r="G3936" s="43"/>
      <c r="H3936" s="2"/>
    </row>
    <row r="3937" spans="1:8">
      <c r="A3937" s="39">
        <v>3.74674936547237</v>
      </c>
      <c r="B3937" s="45">
        <v>5.2</v>
      </c>
      <c r="D3937" s="2"/>
      <c r="E3937" s="31"/>
      <c r="G3937" s="43"/>
      <c r="H3937" s="2"/>
    </row>
    <row r="3938" spans="1:8">
      <c r="A3938" s="39">
        <v>3.74655685577795</v>
      </c>
      <c r="B3938" s="45">
        <v>14.6</v>
      </c>
      <c r="D3938" s="2"/>
      <c r="E3938" s="31"/>
      <c r="G3938" s="43"/>
      <c r="H3938" s="2"/>
    </row>
    <row r="3939" spans="1:8">
      <c r="A3939" s="39">
        <v>3.74646778370568</v>
      </c>
      <c r="B3939" s="45">
        <v>9</v>
      </c>
      <c r="D3939" s="2"/>
      <c r="E3939" s="31"/>
      <c r="G3939" s="43"/>
      <c r="H3939" s="2"/>
    </row>
    <row r="3940" spans="1:8">
      <c r="A3940" s="39">
        <v>3.74605901192561</v>
      </c>
      <c r="B3940" s="45">
        <v>5</v>
      </c>
      <c r="D3940" s="2"/>
      <c r="E3940" s="31"/>
      <c r="G3940" s="43"/>
      <c r="H3940" s="2"/>
    </row>
    <row r="3941" spans="1:8">
      <c r="A3941" s="39">
        <v>3.74584063385943</v>
      </c>
      <c r="B3941" s="45">
        <v>6.9</v>
      </c>
      <c r="D3941" s="2"/>
      <c r="E3941" s="31"/>
      <c r="G3941" s="43"/>
      <c r="H3941" s="2"/>
    </row>
    <row r="3942" spans="1:8">
      <c r="A3942" s="39">
        <v>3.7449131549969</v>
      </c>
      <c r="B3942" s="45">
        <v>2.5</v>
      </c>
      <c r="D3942" s="2"/>
      <c r="E3942" s="31"/>
      <c r="G3942" s="43"/>
      <c r="H3942" s="2"/>
    </row>
    <row r="3943" spans="1:8">
      <c r="A3943" s="39">
        <v>3.74490293712785</v>
      </c>
      <c r="B3943" s="45">
        <v>19</v>
      </c>
      <c r="D3943" s="2"/>
      <c r="E3943" s="31"/>
      <c r="G3943" s="43"/>
      <c r="H3943" s="2"/>
    </row>
    <row r="3944" spans="1:8">
      <c r="A3944" s="39">
        <v>3.74435709763036</v>
      </c>
      <c r="B3944" s="45">
        <v>8.5</v>
      </c>
      <c r="D3944" s="2"/>
      <c r="E3944" s="31"/>
      <c r="G3944" s="43"/>
      <c r="H3944" s="2"/>
    </row>
    <row r="3945" spans="1:8">
      <c r="A3945" s="39">
        <v>3.74422963562891</v>
      </c>
      <c r="B3945" s="45">
        <v>16.5</v>
      </c>
      <c r="D3945" s="2"/>
      <c r="E3945" s="31"/>
      <c r="G3945" s="43"/>
      <c r="H3945" s="2"/>
    </row>
    <row r="3946" spans="1:8">
      <c r="A3946" s="39">
        <v>3.74395350705322</v>
      </c>
      <c r="B3946" s="45">
        <v>3.5</v>
      </c>
      <c r="D3946" s="2"/>
      <c r="E3946" s="31"/>
      <c r="G3946" s="43"/>
      <c r="H3946" s="2"/>
    </row>
    <row r="3947" spans="1:8">
      <c r="A3947" s="39">
        <v>3.74395218164432</v>
      </c>
      <c r="B3947" s="45">
        <v>9</v>
      </c>
      <c r="D3947" s="2"/>
      <c r="E3947" s="31"/>
      <c r="G3947" s="43"/>
      <c r="H3947" s="2"/>
    </row>
    <row r="3948" spans="1:8">
      <c r="A3948" s="39">
        <v>3.74306123409027</v>
      </c>
      <c r="B3948" s="45">
        <v>9.8</v>
      </c>
      <c r="D3948" s="2"/>
      <c r="E3948" s="31"/>
      <c r="G3948" s="43"/>
      <c r="H3948" s="2"/>
    </row>
    <row r="3949" spans="1:8">
      <c r="A3949" s="39">
        <v>3.74299120829174</v>
      </c>
      <c r="B3949" s="45">
        <v>2</v>
      </c>
      <c r="D3949" s="2"/>
      <c r="E3949" s="31"/>
      <c r="G3949" s="43"/>
      <c r="H3949" s="2"/>
    </row>
    <row r="3950" spans="1:8">
      <c r="A3950" s="39">
        <v>3.74174571530629</v>
      </c>
      <c r="B3950" s="45">
        <v>9.1</v>
      </c>
      <c r="D3950" s="2"/>
      <c r="E3950" s="31"/>
      <c r="G3950" s="43"/>
      <c r="H3950" s="2"/>
    </row>
    <row r="3951" spans="1:8">
      <c r="A3951" s="39">
        <v>3.74082708042979</v>
      </c>
      <c r="B3951" s="45">
        <v>10.3</v>
      </c>
      <c r="D3951" s="2"/>
      <c r="E3951" s="31"/>
      <c r="G3951" s="43"/>
      <c r="H3951" s="2"/>
    </row>
    <row r="3952" spans="1:8">
      <c r="A3952" s="39">
        <v>3.74069744698082</v>
      </c>
      <c r="B3952" s="45">
        <v>13</v>
      </c>
      <c r="D3952" s="2"/>
      <c r="E3952" s="31"/>
      <c r="G3952" s="43"/>
      <c r="H3952" s="2"/>
    </row>
    <row r="3953" spans="1:8">
      <c r="A3953" s="39">
        <v>3.74043855523107</v>
      </c>
      <c r="B3953" s="45">
        <v>3</v>
      </c>
      <c r="D3953" s="2"/>
      <c r="E3953" s="31"/>
      <c r="G3953" s="43"/>
      <c r="H3953" s="2"/>
    </row>
    <row r="3954" spans="1:8">
      <c r="A3954" s="39">
        <v>3.73996025097413</v>
      </c>
      <c r="B3954" s="45">
        <v>7</v>
      </c>
      <c r="D3954" s="2"/>
      <c r="E3954" s="31"/>
      <c r="G3954" s="43"/>
      <c r="H3954" s="2"/>
    </row>
    <row r="3955" spans="1:8">
      <c r="A3955" s="39">
        <v>3.73978497519346</v>
      </c>
      <c r="B3955" s="45">
        <v>23</v>
      </c>
      <c r="D3955" s="2"/>
      <c r="E3955" s="31"/>
      <c r="G3955" s="43"/>
      <c r="H3955" s="2"/>
    </row>
    <row r="3956" spans="1:8">
      <c r="A3956" s="39">
        <v>3.73978497519346</v>
      </c>
      <c r="B3956" s="45">
        <v>4.5</v>
      </c>
      <c r="D3956" s="2"/>
      <c r="E3956" s="31"/>
      <c r="G3956" s="43"/>
      <c r="H3956" s="2"/>
    </row>
    <row r="3957" spans="1:8">
      <c r="A3957" s="39">
        <v>3.7394222478623</v>
      </c>
      <c r="B3957" s="45">
        <v>66</v>
      </c>
      <c r="D3957" s="2"/>
      <c r="E3957" s="31"/>
      <c r="G3957" s="43"/>
      <c r="H3957" s="2"/>
    </row>
    <row r="3958" spans="1:8">
      <c r="A3958" s="39">
        <v>3.73922027467584</v>
      </c>
      <c r="B3958" s="45">
        <v>9.6</v>
      </c>
      <c r="D3958" s="2"/>
      <c r="E3958" s="31"/>
      <c r="G3958" s="43"/>
      <c r="H3958" s="2"/>
    </row>
    <row r="3959" spans="1:8">
      <c r="A3959" s="39">
        <v>3.73922027467584</v>
      </c>
      <c r="B3959" s="45">
        <v>3.6</v>
      </c>
      <c r="D3959" s="2"/>
      <c r="E3959" s="31"/>
      <c r="G3959" s="43"/>
      <c r="H3959" s="2"/>
    </row>
    <row r="3960" spans="1:8">
      <c r="A3960" s="39">
        <v>3.73902725243868</v>
      </c>
      <c r="B3960" s="45">
        <v>21.5</v>
      </c>
      <c r="D3960" s="2"/>
      <c r="E3960" s="31"/>
      <c r="G3960" s="43"/>
      <c r="H3960" s="2"/>
    </row>
    <row r="3961" spans="1:8">
      <c r="A3961" s="39">
        <v>3.73869936750139</v>
      </c>
      <c r="B3961" s="45">
        <v>10.2</v>
      </c>
      <c r="D3961" s="2"/>
      <c r="E3961" s="31"/>
      <c r="G3961" s="43"/>
      <c r="H3961" s="2"/>
    </row>
    <row r="3962" spans="1:8">
      <c r="A3962" s="39">
        <v>3.7386944506167</v>
      </c>
      <c r="B3962" s="45">
        <v>1</v>
      </c>
      <c r="D3962" s="2"/>
      <c r="E3962" s="31"/>
      <c r="G3962" s="43"/>
      <c r="H3962" s="2"/>
    </row>
    <row r="3963" spans="1:8">
      <c r="A3963" s="39">
        <v>3.73867841467423</v>
      </c>
      <c r="B3963" s="45">
        <v>11.6</v>
      </c>
      <c r="D3963" s="2"/>
      <c r="E3963" s="31"/>
      <c r="G3963" s="43"/>
      <c r="H3963" s="2"/>
    </row>
    <row r="3964" spans="1:8">
      <c r="A3964" s="39">
        <v>3.73832350177946</v>
      </c>
      <c r="B3964" s="45">
        <v>9.9</v>
      </c>
      <c r="D3964" s="2"/>
      <c r="E3964" s="31"/>
      <c r="G3964" s="43"/>
      <c r="H3964" s="2"/>
    </row>
    <row r="3965" spans="1:8">
      <c r="A3965" s="39">
        <v>3.73832350177946</v>
      </c>
      <c r="B3965" s="45">
        <v>8.7</v>
      </c>
      <c r="D3965" s="2"/>
      <c r="E3965" s="31"/>
      <c r="G3965" s="43"/>
      <c r="H3965" s="2"/>
    </row>
    <row r="3966" spans="1:8">
      <c r="A3966" s="39">
        <v>3.73818634152885</v>
      </c>
      <c r="B3966" s="45">
        <v>5</v>
      </c>
      <c r="D3966" s="2"/>
      <c r="E3966" s="31"/>
      <c r="G3966" s="43"/>
      <c r="H3966" s="2"/>
    </row>
    <row r="3967" spans="1:8">
      <c r="A3967" s="39">
        <v>3.73818634152885</v>
      </c>
      <c r="B3967" s="45">
        <v>9.8</v>
      </c>
      <c r="D3967" s="2"/>
      <c r="E3967" s="31"/>
      <c r="G3967" s="43"/>
      <c r="H3967" s="2"/>
    </row>
    <row r="3968" spans="1:8">
      <c r="A3968" s="39">
        <v>3.73818634152885</v>
      </c>
      <c r="B3968" s="45">
        <v>10</v>
      </c>
      <c r="D3968" s="2"/>
      <c r="E3968" s="31"/>
      <c r="G3968" s="43"/>
      <c r="H3968" s="2"/>
    </row>
    <row r="3969" spans="1:8">
      <c r="A3969" s="39">
        <v>3.73816992213841</v>
      </c>
      <c r="B3969" s="45">
        <v>8.4</v>
      </c>
      <c r="D3969" s="2"/>
      <c r="E3969" s="31"/>
      <c r="G3969" s="43"/>
      <c r="H3969" s="2"/>
    </row>
    <row r="3970" spans="1:8">
      <c r="A3970" s="39">
        <v>3.73816992213841</v>
      </c>
      <c r="B3970" s="45">
        <v>13</v>
      </c>
      <c r="D3970" s="2"/>
      <c r="E3970" s="31"/>
      <c r="G3970" s="43"/>
      <c r="H3970" s="2"/>
    </row>
    <row r="3971" spans="1:8">
      <c r="A3971" s="39">
        <v>3.73802503940437</v>
      </c>
      <c r="B3971" s="45">
        <v>6.7</v>
      </c>
      <c r="D3971" s="2"/>
      <c r="E3971" s="31"/>
      <c r="G3971" s="43"/>
      <c r="H3971" s="2"/>
    </row>
    <row r="3972" spans="1:8">
      <c r="A3972" s="39">
        <v>3.73802503940437</v>
      </c>
      <c r="B3972" s="45">
        <v>9.9</v>
      </c>
      <c r="D3972" s="2"/>
      <c r="E3972" s="31"/>
      <c r="G3972" s="43"/>
      <c r="H3972" s="2"/>
    </row>
    <row r="3973" spans="1:8">
      <c r="A3973" s="39">
        <v>3.73799918000776</v>
      </c>
      <c r="B3973" s="45">
        <v>9.2</v>
      </c>
      <c r="D3973" s="2"/>
      <c r="E3973" s="31"/>
      <c r="G3973" s="43"/>
      <c r="H3973" s="2"/>
    </row>
    <row r="3974" spans="1:8">
      <c r="A3974" s="39">
        <v>3.73796665337111</v>
      </c>
      <c r="B3974" s="45">
        <v>9.3</v>
      </c>
      <c r="D3974" s="2"/>
      <c r="E3974" s="31"/>
      <c r="G3974" s="43"/>
      <c r="H3974" s="2"/>
    </row>
    <row r="3975" spans="1:8">
      <c r="A3975" s="39">
        <v>3.73788162923204</v>
      </c>
      <c r="B3975" s="45">
        <v>10.1</v>
      </c>
      <c r="D3975" s="2"/>
      <c r="E3975" s="31"/>
      <c r="G3975" s="43"/>
      <c r="H3975" s="2"/>
    </row>
    <row r="3976" spans="1:8">
      <c r="A3976" s="39">
        <v>3.73732147737926</v>
      </c>
      <c r="B3976" s="45">
        <v>7.9</v>
      </c>
      <c r="D3976" s="2"/>
      <c r="E3976" s="31"/>
      <c r="G3976" s="43"/>
      <c r="H3976" s="2"/>
    </row>
    <row r="3977" spans="1:8">
      <c r="A3977" s="39">
        <v>3.73716688627678</v>
      </c>
      <c r="B3977" s="45">
        <v>7.5</v>
      </c>
      <c r="D3977" s="2"/>
      <c r="E3977" s="31"/>
      <c r="G3977" s="43"/>
      <c r="H3977" s="2"/>
    </row>
    <row r="3978" spans="1:8">
      <c r="A3978" s="39">
        <v>3.73709975768341</v>
      </c>
      <c r="B3978" s="45">
        <v>11.7</v>
      </c>
      <c r="D3978" s="2"/>
      <c r="E3978" s="31"/>
      <c r="G3978" s="43"/>
      <c r="H3978" s="2"/>
    </row>
    <row r="3979" spans="1:8">
      <c r="A3979" s="39">
        <v>3.73705034220076</v>
      </c>
      <c r="B3979" s="45">
        <v>16.6</v>
      </c>
      <c r="D3979" s="2"/>
      <c r="E3979" s="31"/>
      <c r="G3979" s="43"/>
      <c r="H3979" s="2"/>
    </row>
    <row r="3980" spans="1:8">
      <c r="A3980" s="39">
        <v>3.73705034220076</v>
      </c>
      <c r="B3980" s="45">
        <v>16.7</v>
      </c>
      <c r="D3980" s="2"/>
      <c r="E3980" s="31"/>
      <c r="G3980" s="43"/>
      <c r="H3980" s="2"/>
    </row>
    <row r="3981" spans="1:8">
      <c r="A3981" s="39">
        <v>3.73651707500542</v>
      </c>
      <c r="B3981" s="45">
        <v>13</v>
      </c>
      <c r="D3981" s="2"/>
      <c r="E3981" s="31"/>
      <c r="G3981" s="43"/>
      <c r="H3981" s="2"/>
    </row>
    <row r="3982" spans="1:8">
      <c r="A3982" s="39">
        <v>3.73620033535906</v>
      </c>
      <c r="B3982" s="45">
        <v>12</v>
      </c>
      <c r="D3982" s="2"/>
      <c r="E3982" s="31"/>
      <c r="G3982" s="43"/>
      <c r="H3982" s="2"/>
    </row>
    <row r="3983" spans="1:8">
      <c r="A3983" s="39">
        <v>3.73615001764157</v>
      </c>
      <c r="B3983" s="45">
        <v>10.8</v>
      </c>
      <c r="D3983" s="2"/>
      <c r="E3983" s="31"/>
      <c r="G3983" s="43"/>
      <c r="H3983" s="2"/>
    </row>
    <row r="3984" spans="1:8">
      <c r="A3984" s="39">
        <v>3.73579796067742</v>
      </c>
      <c r="B3984" s="45">
        <v>2.9</v>
      </c>
      <c r="D3984" s="2"/>
      <c r="E3984" s="31"/>
      <c r="G3984" s="43"/>
      <c r="H3984" s="2"/>
    </row>
    <row r="3985" spans="1:8">
      <c r="A3985" s="39">
        <v>3.73578326163433</v>
      </c>
      <c r="B3985" s="45">
        <v>7.5</v>
      </c>
      <c r="D3985" s="2"/>
      <c r="E3985" s="31"/>
      <c r="G3985" s="43"/>
      <c r="H3985" s="2"/>
    </row>
    <row r="3986" spans="1:8">
      <c r="A3986" s="39">
        <v>3.73530342147112</v>
      </c>
      <c r="B3986" s="45">
        <v>2.6</v>
      </c>
      <c r="D3986" s="2"/>
      <c r="E3986" s="31"/>
      <c r="G3986" s="43"/>
      <c r="H3986" s="2"/>
    </row>
    <row r="3987" spans="1:8">
      <c r="A3987" s="39">
        <v>3.73410099782413</v>
      </c>
      <c r="B3987" s="45">
        <v>8</v>
      </c>
      <c r="D3987" s="2"/>
      <c r="E3987" s="31"/>
      <c r="G3987" s="43"/>
      <c r="H3987" s="2"/>
    </row>
    <row r="3988" spans="1:8">
      <c r="A3988" s="39">
        <v>3.73379293788525</v>
      </c>
      <c r="B3988" s="45">
        <v>4.4</v>
      </c>
      <c r="D3988" s="2"/>
      <c r="E3988" s="31"/>
      <c r="G3988" s="43"/>
      <c r="H3988" s="2"/>
    </row>
    <row r="3989" spans="1:8">
      <c r="A3989" s="39">
        <v>3.73379293788525</v>
      </c>
      <c r="B3989" s="45">
        <v>7.6</v>
      </c>
      <c r="D3989" s="2"/>
      <c r="E3989" s="31"/>
      <c r="G3989" s="43"/>
      <c r="H3989" s="2"/>
    </row>
    <row r="3990" spans="1:8">
      <c r="A3990" s="39">
        <v>3.73338147476596</v>
      </c>
      <c r="B3990" s="45">
        <v>3.9</v>
      </c>
      <c r="D3990" s="2"/>
      <c r="E3990" s="31"/>
      <c r="G3990" s="43"/>
      <c r="H3990" s="2"/>
    </row>
    <row r="3991" spans="1:8">
      <c r="A3991" s="39">
        <v>3.73268547904071</v>
      </c>
      <c r="B3991" s="45">
        <v>7.2</v>
      </c>
      <c r="D3991" s="2"/>
      <c r="E3991" s="31"/>
      <c r="G3991" s="43"/>
      <c r="H3991" s="2"/>
    </row>
    <row r="3992" spans="1:8">
      <c r="A3992" s="39">
        <v>3.73242050141338</v>
      </c>
      <c r="B3992" s="45">
        <v>2.5</v>
      </c>
      <c r="D3992" s="2"/>
      <c r="E3992" s="31"/>
      <c r="G3992" s="43"/>
      <c r="H3992" s="2"/>
    </row>
    <row r="3993" spans="1:8">
      <c r="A3993" s="39">
        <v>3.73237564667899</v>
      </c>
      <c r="B3993" s="45">
        <v>5.4</v>
      </c>
      <c r="D3993" s="2"/>
      <c r="E3993" s="31"/>
      <c r="G3993" s="43"/>
      <c r="H3993" s="2"/>
    </row>
    <row r="3994" spans="1:8">
      <c r="A3994" s="39">
        <v>3.73211020864791</v>
      </c>
      <c r="B3994" s="45">
        <v>18</v>
      </c>
      <c r="D3994" s="2"/>
      <c r="E3994" s="31"/>
      <c r="G3994" s="43"/>
      <c r="H3994" s="2"/>
    </row>
    <row r="3995" spans="1:8">
      <c r="A3995" s="39">
        <v>3.73194201474216</v>
      </c>
      <c r="B3995" s="45">
        <v>10</v>
      </c>
      <c r="D3995" s="2"/>
      <c r="E3995" s="31"/>
      <c r="G3995" s="43"/>
      <c r="H3995" s="2"/>
    </row>
    <row r="3996" spans="1:8">
      <c r="A3996" s="39">
        <v>3.73128599518725</v>
      </c>
      <c r="B3996" s="45">
        <v>12.5</v>
      </c>
      <c r="D3996" s="2"/>
      <c r="E3996" s="31"/>
      <c r="G3996" s="43"/>
      <c r="H3996" s="2"/>
    </row>
    <row r="3997" spans="1:8">
      <c r="A3997" s="39">
        <v>3.73128599518725</v>
      </c>
      <c r="B3997" s="45">
        <v>12.5</v>
      </c>
      <c r="D3997" s="2"/>
      <c r="E3997" s="31"/>
      <c r="G3997" s="43"/>
      <c r="H3997" s="2"/>
    </row>
    <row r="3998" spans="1:8">
      <c r="A3998" s="39">
        <v>3.73128599518725</v>
      </c>
      <c r="B3998" s="45">
        <v>6.5</v>
      </c>
      <c r="D3998" s="2"/>
      <c r="E3998" s="31"/>
      <c r="G3998" s="43"/>
      <c r="H3998" s="2"/>
    </row>
    <row r="3999" spans="1:8">
      <c r="A3999" s="39">
        <v>3.73123052465402</v>
      </c>
      <c r="B3999" s="45">
        <v>7.4</v>
      </c>
      <c r="D3999" s="2"/>
      <c r="E3999" s="31"/>
      <c r="G3999" s="43"/>
      <c r="H3999" s="2"/>
    </row>
    <row r="4000" spans="1:8">
      <c r="A4000" s="39">
        <v>3.73063485466695</v>
      </c>
      <c r="B4000" s="45">
        <v>14</v>
      </c>
      <c r="D4000" s="2"/>
      <c r="E4000" s="31"/>
      <c r="G4000" s="43"/>
      <c r="H4000" s="2"/>
    </row>
    <row r="4001" spans="1:10">
      <c r="A4001" s="39">
        <v>3.73058224452803</v>
      </c>
      <c r="B4001" s="45">
        <v>11.4</v>
      </c>
      <c r="D4001" s="2"/>
      <c r="E4001" s="31"/>
      <c r="G4001" s="43"/>
      <c r="H4001" s="2"/>
      <c r="J4001" s="46"/>
    </row>
    <row r="4002" spans="1:10">
      <c r="A4002" s="39">
        <v>3.72990437908859</v>
      </c>
      <c r="B4002" s="45">
        <v>5</v>
      </c>
      <c r="D4002" s="2"/>
      <c r="E4002" s="31"/>
      <c r="G4002" s="43"/>
      <c r="H4002" s="2"/>
    </row>
    <row r="4003" spans="1:10">
      <c r="A4003" s="39">
        <v>3.72990437908859</v>
      </c>
      <c r="B4003" s="45">
        <v>6.6</v>
      </c>
      <c r="D4003" s="2"/>
      <c r="E4003" s="31"/>
      <c r="G4003" s="43"/>
      <c r="H4003" s="2"/>
    </row>
    <row r="4004" spans="1:10">
      <c r="A4004" s="39">
        <v>3.72987849386881</v>
      </c>
      <c r="B4004" s="45">
        <v>2</v>
      </c>
      <c r="D4004" s="2"/>
      <c r="E4004" s="31"/>
      <c r="G4004" s="43"/>
      <c r="H4004" s="2"/>
    </row>
    <row r="4005" spans="1:10">
      <c r="A4005" s="39">
        <v>3.72958229510307</v>
      </c>
      <c r="B4005" s="45">
        <v>26</v>
      </c>
      <c r="D4005" s="2"/>
      <c r="E4005" s="31"/>
      <c r="G4005" s="43"/>
      <c r="H4005" s="2"/>
    </row>
    <row r="4006" spans="1:10">
      <c r="A4006" s="39">
        <v>3.72895333268057</v>
      </c>
      <c r="B4006" s="45">
        <v>2</v>
      </c>
      <c r="D4006" s="2"/>
      <c r="E4006" s="31"/>
      <c r="G4006" s="43"/>
      <c r="H4006" s="2"/>
    </row>
    <row r="4007" spans="1:10">
      <c r="A4007" s="39">
        <v>3.72885995295662</v>
      </c>
      <c r="B4007" s="45">
        <v>3.2</v>
      </c>
      <c r="D4007" s="2"/>
      <c r="E4007" s="31"/>
      <c r="G4007" s="43"/>
      <c r="H4007" s="2"/>
    </row>
    <row r="4008" spans="1:10">
      <c r="A4008" s="39">
        <v>3.72857660800307</v>
      </c>
      <c r="B4008" s="45">
        <v>8.2</v>
      </c>
      <c r="D4008" s="2"/>
      <c r="E4008" s="31"/>
      <c r="G4008" s="43"/>
      <c r="H4008" s="2"/>
    </row>
    <row r="4009" spans="1:10">
      <c r="A4009" s="39">
        <v>3.72807039965424</v>
      </c>
      <c r="B4009" s="45">
        <v>6.8</v>
      </c>
      <c r="D4009" s="2"/>
      <c r="E4009" s="31"/>
      <c r="G4009" s="43"/>
      <c r="H4009" s="2"/>
    </row>
    <row r="4010" spans="1:10">
      <c r="A4010" s="39">
        <v>3.72747160902774</v>
      </c>
      <c r="B4010" s="45">
        <v>7.9</v>
      </c>
      <c r="D4010" s="2"/>
      <c r="E4010" s="31"/>
      <c r="G4010" s="43"/>
      <c r="H4010" s="2"/>
    </row>
    <row r="4011" spans="1:10">
      <c r="A4011" s="39">
        <v>3.72736695447891</v>
      </c>
      <c r="B4011" s="45">
        <v>12.5</v>
      </c>
      <c r="D4011" s="2"/>
      <c r="E4011" s="31"/>
      <c r="G4011" s="43"/>
      <c r="H4011" s="2"/>
    </row>
    <row r="4012" spans="1:10">
      <c r="A4012" s="39">
        <v>3.72725103173039</v>
      </c>
      <c r="B4012" s="45">
        <v>3.4</v>
      </c>
      <c r="D4012" s="2"/>
      <c r="E4012" s="31"/>
      <c r="G4012" s="43"/>
      <c r="H4012" s="2"/>
    </row>
    <row r="4013" spans="1:10">
      <c r="A4013" s="39">
        <v>3.72706349123193</v>
      </c>
      <c r="B4013" s="45">
        <v>27</v>
      </c>
      <c r="D4013" s="2"/>
      <c r="E4013" s="31"/>
      <c r="G4013" s="43"/>
      <c r="H4013" s="2"/>
    </row>
    <row r="4014" spans="1:10">
      <c r="A4014" s="39">
        <v>3.72686566149397</v>
      </c>
      <c r="B4014" s="45">
        <v>16</v>
      </c>
      <c r="D4014" s="2"/>
      <c r="E4014" s="31"/>
      <c r="G4014" s="43"/>
      <c r="H4014" s="2"/>
    </row>
    <row r="4015" spans="1:10">
      <c r="A4015" s="39">
        <v>3.72569368794534</v>
      </c>
      <c r="B4015" s="45">
        <v>4.5</v>
      </c>
      <c r="D4015" s="2"/>
      <c r="E4015" s="31"/>
      <c r="G4015" s="43"/>
      <c r="H4015" s="2"/>
    </row>
    <row r="4016" spans="1:10">
      <c r="A4016" s="39">
        <v>3.72569368794534</v>
      </c>
      <c r="B4016" s="45">
        <v>2</v>
      </c>
      <c r="D4016" s="2"/>
      <c r="E4016" s="31"/>
      <c r="G4016" s="43"/>
      <c r="H4016" s="2"/>
    </row>
    <row r="4017" spans="1:8">
      <c r="A4017" s="39">
        <v>3.72561555519168</v>
      </c>
      <c r="B4017" s="45">
        <v>6.3</v>
      </c>
      <c r="D4017" s="2"/>
      <c r="E4017" s="31"/>
      <c r="G4017" s="43"/>
      <c r="H4017" s="2"/>
    </row>
    <row r="4018" spans="1:8">
      <c r="A4018" s="39">
        <v>3.72541070710728</v>
      </c>
      <c r="B4018" s="45">
        <v>9</v>
      </c>
      <c r="D4018" s="2"/>
      <c r="E4018" s="31"/>
      <c r="G4018" s="43"/>
      <c r="H4018" s="2"/>
    </row>
    <row r="4019" spans="1:8">
      <c r="A4019" s="39">
        <v>3.72541070710728</v>
      </c>
      <c r="B4019" s="45">
        <v>13.7</v>
      </c>
      <c r="D4019" s="2"/>
      <c r="E4019" s="31"/>
      <c r="G4019" s="43"/>
      <c r="H4019" s="2"/>
    </row>
    <row r="4020" spans="1:8">
      <c r="A4020" s="39">
        <v>3.72507019822235</v>
      </c>
      <c r="B4020" s="45">
        <v>3.6</v>
      </c>
      <c r="D4020" s="2"/>
      <c r="E4020" s="31"/>
      <c r="G4020" s="43"/>
      <c r="H4020" s="2"/>
    </row>
    <row r="4021" spans="1:8">
      <c r="A4021" s="39">
        <v>3.72475263432848</v>
      </c>
      <c r="B4021" s="45">
        <v>6.5</v>
      </c>
      <c r="D4021" s="2"/>
      <c r="E4021" s="31"/>
      <c r="G4021" s="43"/>
      <c r="H4021" s="2"/>
    </row>
    <row r="4022" spans="1:8">
      <c r="A4022" s="39">
        <v>3.72467844473912</v>
      </c>
      <c r="B4022" s="45">
        <v>9.4</v>
      </c>
      <c r="D4022" s="2"/>
      <c r="E4022" s="31"/>
      <c r="G4022" s="43"/>
      <c r="H4022" s="2"/>
    </row>
    <row r="4023" spans="1:8">
      <c r="A4023" s="39">
        <v>3.72360842281813</v>
      </c>
      <c r="B4023" s="45">
        <v>6.3</v>
      </c>
      <c r="D4023" s="2"/>
      <c r="E4023" s="31"/>
      <c r="G4023" s="43"/>
      <c r="H4023" s="2"/>
    </row>
    <row r="4024" spans="1:8">
      <c r="A4024" s="39">
        <v>3.72344547425326</v>
      </c>
      <c r="B4024" s="45">
        <v>16</v>
      </c>
      <c r="D4024" s="2"/>
      <c r="E4024" s="31"/>
      <c r="G4024" s="43"/>
      <c r="H4024" s="2"/>
    </row>
    <row r="4025" spans="1:8">
      <c r="A4025" s="39">
        <v>3.72335728916163</v>
      </c>
      <c r="B4025" s="45">
        <v>12.3</v>
      </c>
      <c r="D4025" s="2"/>
      <c r="E4025" s="31"/>
      <c r="G4025" s="43"/>
      <c r="H4025" s="2"/>
    </row>
    <row r="4026" spans="1:8">
      <c r="A4026" s="39">
        <v>3.72322827552726</v>
      </c>
      <c r="B4026" s="45">
        <v>11.9</v>
      </c>
      <c r="D4026" s="2"/>
      <c r="E4026" s="31"/>
      <c r="G4026" s="43"/>
      <c r="H4026" s="2"/>
    </row>
    <row r="4027" spans="1:8">
      <c r="A4027" s="39">
        <v>3.7228409872766</v>
      </c>
      <c r="B4027" s="45">
        <v>1</v>
      </c>
      <c r="D4027" s="2"/>
      <c r="E4027" s="31"/>
      <c r="G4027" s="43"/>
      <c r="H4027" s="2"/>
    </row>
    <row r="4028" spans="1:8">
      <c r="A4028" s="39">
        <v>3.72270900049377</v>
      </c>
      <c r="B4028" s="45">
        <v>11.2</v>
      </c>
      <c r="D4028" s="2"/>
      <c r="E4028" s="31"/>
      <c r="G4028" s="43"/>
      <c r="H4028" s="2"/>
    </row>
    <row r="4029" spans="1:8">
      <c r="A4029" s="39">
        <v>3.72219489383942</v>
      </c>
      <c r="B4029" s="45">
        <v>5.4</v>
      </c>
      <c r="D4029" s="2"/>
      <c r="E4029" s="31"/>
      <c r="G4029" s="43"/>
      <c r="H4029" s="2"/>
    </row>
    <row r="4030" spans="1:8">
      <c r="A4030" s="39">
        <v>3.72201068616374</v>
      </c>
      <c r="B4030" s="45">
        <v>12</v>
      </c>
      <c r="D4030" s="2"/>
      <c r="E4030" s="31"/>
      <c r="G4030" s="43"/>
      <c r="H4030" s="2"/>
    </row>
    <row r="4031" spans="1:8">
      <c r="A4031" s="39">
        <v>3.72184719958901</v>
      </c>
      <c r="B4031" s="45">
        <v>6.3</v>
      </c>
      <c r="D4031" s="2"/>
      <c r="E4031" s="31"/>
      <c r="G4031" s="43"/>
      <c r="H4031" s="2"/>
    </row>
    <row r="4032" spans="1:8">
      <c r="A4032" s="39">
        <v>3.72184719958901</v>
      </c>
      <c r="B4032" s="45">
        <v>6.7</v>
      </c>
      <c r="D4032" s="2"/>
      <c r="E4032" s="31"/>
      <c r="G4032" s="43"/>
      <c r="H4032" s="2"/>
    </row>
    <row r="4033" spans="1:8">
      <c r="A4033" s="39">
        <v>3.72152686384489</v>
      </c>
      <c r="B4033" s="45">
        <v>3</v>
      </c>
      <c r="D4033" s="2"/>
      <c r="E4033" s="31"/>
      <c r="G4033" s="43"/>
      <c r="H4033" s="2"/>
    </row>
    <row r="4034" spans="1:8">
      <c r="A4034" s="39">
        <v>3.72148473414044</v>
      </c>
      <c r="B4034" s="45">
        <v>13.6</v>
      </c>
      <c r="D4034" s="2"/>
      <c r="E4034" s="31"/>
      <c r="G4034" s="43"/>
      <c r="H4034" s="2"/>
    </row>
    <row r="4035" spans="1:8">
      <c r="A4035" s="39">
        <v>3.72142424188404</v>
      </c>
      <c r="B4035" s="45">
        <v>4</v>
      </c>
      <c r="D4035" s="2"/>
      <c r="E4035" s="31"/>
      <c r="G4035" s="43"/>
      <c r="H4035" s="2"/>
    </row>
    <row r="4036" spans="1:8">
      <c r="A4036" s="39">
        <v>3.72104584394723</v>
      </c>
      <c r="B4036" s="45">
        <v>5.1</v>
      </c>
      <c r="D4036" s="2"/>
      <c r="E4036" s="31"/>
      <c r="G4036" s="43"/>
      <c r="H4036" s="2"/>
    </row>
    <row r="4037" spans="1:8">
      <c r="A4037" s="39">
        <v>3.72070912557553</v>
      </c>
      <c r="B4037" s="45">
        <v>8.2</v>
      </c>
      <c r="D4037" s="2"/>
      <c r="E4037" s="31"/>
      <c r="G4037" s="43"/>
      <c r="H4037" s="2"/>
    </row>
    <row r="4038" spans="1:8">
      <c r="A4038" s="39">
        <v>3.72049951947685</v>
      </c>
      <c r="B4038" s="45">
        <v>0</v>
      </c>
      <c r="D4038" s="2"/>
      <c r="E4038" s="31"/>
      <c r="G4038" s="43"/>
      <c r="H4038" s="2"/>
    </row>
    <row r="4039" spans="1:8">
      <c r="A4039" s="39">
        <v>3.72037050245046</v>
      </c>
      <c r="B4039" s="45">
        <v>7.6</v>
      </c>
      <c r="D4039" s="2"/>
      <c r="E4039" s="31"/>
      <c r="G4039" s="43"/>
      <c r="H4039" s="2"/>
    </row>
    <row r="4040" spans="1:8">
      <c r="A4040" s="39">
        <v>3.71999078166691</v>
      </c>
      <c r="B4040" s="45">
        <v>11.4</v>
      </c>
      <c r="D4040" s="2"/>
      <c r="E4040" s="31"/>
      <c r="G4040" s="43"/>
      <c r="H4040" s="2"/>
    </row>
    <row r="4041" spans="1:8">
      <c r="A4041" s="39">
        <v>3.71977172223126</v>
      </c>
      <c r="B4041" s="45">
        <v>2</v>
      </c>
      <c r="D4041" s="2"/>
      <c r="E4041" s="31"/>
      <c r="G4041" s="43"/>
      <c r="H4041" s="2"/>
    </row>
    <row r="4042" spans="1:8">
      <c r="A4042" s="39">
        <v>3.71904392498567</v>
      </c>
      <c r="B4042" s="45">
        <v>16.2</v>
      </c>
      <c r="D4042" s="2"/>
      <c r="E4042" s="31"/>
      <c r="G4042" s="43"/>
      <c r="H4042" s="2"/>
    </row>
    <row r="4043" spans="1:8">
      <c r="A4043" s="39">
        <v>3.71896687447729</v>
      </c>
      <c r="B4043" s="45">
        <v>5.7</v>
      </c>
      <c r="D4043" s="2"/>
      <c r="E4043" s="31"/>
      <c r="G4043" s="43"/>
      <c r="H4043" s="2"/>
    </row>
    <row r="4044" spans="1:8">
      <c r="A4044" s="39">
        <v>3.71896687447729</v>
      </c>
      <c r="B4044" s="45">
        <v>8.2</v>
      </c>
      <c r="D4044" s="2"/>
      <c r="E4044" s="31"/>
      <c r="G4044" s="43"/>
      <c r="H4044" s="2"/>
    </row>
    <row r="4045" spans="1:8">
      <c r="A4045" s="39">
        <v>3.71868639068531</v>
      </c>
      <c r="B4045" s="45">
        <v>7.2</v>
      </c>
      <c r="D4045" s="2"/>
      <c r="E4045" s="31"/>
      <c r="G4045" s="43"/>
      <c r="H4045" s="2"/>
    </row>
    <row r="4046" spans="1:8">
      <c r="A4046" s="39">
        <v>3.71840618241287</v>
      </c>
      <c r="B4046" s="45">
        <v>4</v>
      </c>
      <c r="D4046" s="2"/>
      <c r="E4046" s="31"/>
      <c r="G4046" s="43"/>
      <c r="H4046" s="2"/>
    </row>
    <row r="4047" spans="1:8">
      <c r="A4047" s="39">
        <v>3.71800192788562</v>
      </c>
      <c r="B4047" s="45">
        <v>8.5</v>
      </c>
      <c r="D4047" s="2"/>
      <c r="E4047" s="31"/>
      <c r="G4047" s="43"/>
      <c r="H4047" s="2"/>
    </row>
    <row r="4048" spans="1:8">
      <c r="A4048" s="39">
        <v>3.71800192788562</v>
      </c>
      <c r="B4048" s="45">
        <v>4</v>
      </c>
      <c r="D4048" s="2"/>
      <c r="E4048" s="31"/>
      <c r="G4048" s="43"/>
      <c r="H4048" s="2"/>
    </row>
    <row r="4049" spans="1:8">
      <c r="A4049" s="39">
        <v>3.71791473266206</v>
      </c>
      <c r="B4049" s="45">
        <v>12</v>
      </c>
      <c r="D4049" s="2"/>
      <c r="E4049" s="31"/>
      <c r="G4049" s="43"/>
      <c r="H4049" s="2"/>
    </row>
    <row r="4050" spans="1:8">
      <c r="A4050" s="39">
        <v>3.71791473266206</v>
      </c>
      <c r="B4050" s="45">
        <v>14</v>
      </c>
      <c r="D4050" s="2"/>
      <c r="E4050" s="31"/>
      <c r="G4050" s="43"/>
      <c r="H4050" s="2"/>
    </row>
    <row r="4051" spans="1:8">
      <c r="A4051" s="39">
        <v>3.7174381724981</v>
      </c>
      <c r="B4051" s="45">
        <v>5</v>
      </c>
      <c r="D4051" s="2"/>
      <c r="E4051" s="31"/>
      <c r="G4051" s="43"/>
      <c r="H4051" s="2"/>
    </row>
    <row r="4052" spans="1:8">
      <c r="A4052" s="39">
        <v>3.71719175711863</v>
      </c>
      <c r="B4052" s="45">
        <v>4.2</v>
      </c>
      <c r="D4052" s="2"/>
      <c r="E4052" s="31"/>
      <c r="G4052" s="43"/>
      <c r="H4052" s="2"/>
    </row>
    <row r="4053" spans="1:8">
      <c r="A4053" s="39">
        <v>3.71668098078717</v>
      </c>
      <c r="B4053" s="45">
        <v>7.6</v>
      </c>
      <c r="D4053" s="2"/>
      <c r="E4053" s="31"/>
      <c r="G4053" s="43"/>
      <c r="H4053" s="2"/>
    </row>
    <row r="4054" spans="1:8">
      <c r="A4054" s="39">
        <v>3.71663300228625</v>
      </c>
      <c r="B4054" s="45">
        <v>12.1</v>
      </c>
      <c r="D4054" s="2"/>
      <c r="E4054" s="31"/>
      <c r="G4054" s="43"/>
      <c r="H4054" s="2"/>
    </row>
    <row r="4055" spans="1:8">
      <c r="A4055" s="39">
        <v>3.71650723134362</v>
      </c>
      <c r="B4055" s="45">
        <v>21</v>
      </c>
      <c r="D4055" s="2"/>
      <c r="E4055" s="31"/>
      <c r="G4055" s="43"/>
      <c r="H4055" s="2"/>
    </row>
    <row r="4056" spans="1:8">
      <c r="A4056" s="39">
        <v>3.71650723134362</v>
      </c>
      <c r="B4056" s="45">
        <v>8.6</v>
      </c>
      <c r="D4056" s="2"/>
      <c r="E4056" s="31"/>
      <c r="G4056" s="43"/>
      <c r="H4056" s="2"/>
    </row>
    <row r="4057" spans="1:8">
      <c r="A4057" s="39">
        <v>3.71647553520011</v>
      </c>
      <c r="B4057" s="45">
        <v>12.9</v>
      </c>
      <c r="D4057" s="2"/>
      <c r="E4057" s="31"/>
      <c r="G4057" s="43"/>
      <c r="H4057" s="2"/>
    </row>
    <row r="4058" spans="1:8">
      <c r="A4058" s="39">
        <v>3.71641304422331</v>
      </c>
      <c r="B4058" s="45">
        <v>2</v>
      </c>
      <c r="D4058" s="2"/>
      <c r="E4058" s="31"/>
      <c r="G4058" s="43"/>
      <c r="H4058" s="2"/>
    </row>
    <row r="4059" spans="1:8">
      <c r="A4059" s="39">
        <v>3.71631542830412</v>
      </c>
      <c r="B4059" s="45">
        <v>2</v>
      </c>
      <c r="D4059" s="2"/>
      <c r="E4059" s="31"/>
      <c r="G4059" s="43"/>
      <c r="H4059" s="2"/>
    </row>
    <row r="4060" spans="1:8">
      <c r="A4060" s="39">
        <v>3.7158034806844</v>
      </c>
      <c r="B4060" s="45">
        <v>12.5</v>
      </c>
      <c r="D4060" s="2"/>
      <c r="E4060" s="31"/>
      <c r="G4060" s="43"/>
      <c r="H4060" s="2"/>
    </row>
    <row r="4061" spans="1:8">
      <c r="A4061" s="39">
        <v>3.71560251380196</v>
      </c>
      <c r="B4061" s="45">
        <v>5.8</v>
      </c>
      <c r="D4061" s="2"/>
      <c r="E4061" s="31"/>
      <c r="G4061" s="43"/>
      <c r="H4061" s="2"/>
    </row>
    <row r="4062" spans="1:8">
      <c r="A4062" s="39">
        <v>3.71560251380196</v>
      </c>
      <c r="B4062" s="45">
        <v>9.3</v>
      </c>
      <c r="D4062" s="2"/>
      <c r="E4062" s="31"/>
      <c r="G4062" s="43"/>
      <c r="H4062" s="2"/>
    </row>
    <row r="4063" spans="1:8">
      <c r="A4063" s="39">
        <v>3.71551362189896</v>
      </c>
      <c r="B4063" s="45">
        <v>2.9</v>
      </c>
      <c r="D4063" s="2"/>
      <c r="E4063" s="31"/>
      <c r="G4063" s="43"/>
      <c r="H4063" s="2"/>
    </row>
    <row r="4064" spans="1:8">
      <c r="A4064" s="39">
        <v>3.71551362189896</v>
      </c>
      <c r="B4064" s="45">
        <v>2.3</v>
      </c>
      <c r="D4064" s="2"/>
      <c r="E4064" s="31"/>
      <c r="G4064" s="43"/>
      <c r="H4064" s="2"/>
    </row>
    <row r="4065" spans="1:8">
      <c r="A4065" s="39">
        <v>3.71551362189896</v>
      </c>
      <c r="B4065" s="45">
        <v>14</v>
      </c>
      <c r="D4065" s="2"/>
      <c r="E4065" s="31"/>
      <c r="G4065" s="43"/>
      <c r="H4065" s="2"/>
    </row>
    <row r="4066" spans="1:8">
      <c r="A4066" s="39">
        <v>3.7152776711743</v>
      </c>
      <c r="B4066" s="45">
        <v>9.2</v>
      </c>
      <c r="D4066" s="2"/>
      <c r="E4066" s="31"/>
      <c r="G4066" s="43"/>
      <c r="H4066" s="2"/>
    </row>
    <row r="4067" spans="1:8">
      <c r="A4067" s="39">
        <v>3.71369222870674</v>
      </c>
      <c r="B4067" s="45">
        <v>9.7</v>
      </c>
      <c r="D4067" s="2"/>
      <c r="E4067" s="31"/>
      <c r="G4067" s="43"/>
      <c r="H4067" s="2"/>
    </row>
    <row r="4068" spans="1:8">
      <c r="A4068" s="39">
        <v>3.71369222870674</v>
      </c>
      <c r="B4068" s="45">
        <v>7</v>
      </c>
      <c r="D4068" s="2"/>
      <c r="E4068" s="31"/>
      <c r="G4068" s="43"/>
      <c r="H4068" s="2"/>
    </row>
    <row r="4069" spans="1:8">
      <c r="A4069" s="39">
        <v>3.71361064752603</v>
      </c>
      <c r="B4069" s="45">
        <v>12.4</v>
      </c>
      <c r="D4069" s="2"/>
      <c r="E4069" s="31"/>
      <c r="G4069" s="43"/>
      <c r="H4069" s="2"/>
    </row>
    <row r="4070" spans="1:8">
      <c r="A4070" s="39">
        <v>3.71325776667747</v>
      </c>
      <c r="B4070" s="45">
        <v>8</v>
      </c>
      <c r="D4070" s="2"/>
      <c r="E4070" s="31"/>
      <c r="G4070" s="43"/>
      <c r="H4070" s="2"/>
    </row>
    <row r="4071" spans="1:8">
      <c r="A4071" s="39">
        <v>3.71258446517853</v>
      </c>
      <c r="B4071" s="45">
        <v>12.8</v>
      </c>
      <c r="D4071" s="2"/>
      <c r="E4071" s="31"/>
      <c r="G4071" s="43"/>
      <c r="H4071" s="2"/>
    </row>
    <row r="4072" spans="1:8">
      <c r="A4072" s="39">
        <v>3.71249374977532</v>
      </c>
      <c r="B4072" s="45">
        <v>12</v>
      </c>
      <c r="D4072" s="2"/>
      <c r="E4072" s="31"/>
      <c r="G4072" s="43"/>
      <c r="H4072" s="2"/>
    </row>
    <row r="4073" spans="1:8">
      <c r="A4073" s="39">
        <v>3.7122847273883</v>
      </c>
      <c r="B4073" s="45">
        <v>12</v>
      </c>
      <c r="D4073" s="2"/>
      <c r="E4073" s="31"/>
      <c r="G4073" s="43"/>
      <c r="H4073" s="2"/>
    </row>
    <row r="4074" spans="1:8">
      <c r="A4074" s="39">
        <v>3.71199324447534</v>
      </c>
      <c r="B4074" s="45">
        <v>5.5</v>
      </c>
      <c r="D4074" s="2"/>
      <c r="E4074" s="31"/>
      <c r="G4074" s="43"/>
      <c r="H4074" s="2"/>
    </row>
    <row r="4075" spans="1:8">
      <c r="A4075" s="39">
        <v>3.71191116367958</v>
      </c>
      <c r="B4075" s="45">
        <v>21.8</v>
      </c>
      <c r="D4075" s="2"/>
      <c r="E4075" s="31"/>
      <c r="G4075" s="43"/>
      <c r="H4075" s="2"/>
    </row>
    <row r="4076" spans="1:8">
      <c r="A4076" s="39">
        <v>3.71184176268846</v>
      </c>
      <c r="B4076" s="45">
        <v>10</v>
      </c>
      <c r="D4076" s="2"/>
      <c r="E4076" s="31"/>
      <c r="G4076" s="43"/>
      <c r="H4076" s="2"/>
    </row>
    <row r="4077" spans="1:8">
      <c r="A4077" s="39">
        <v>3.71123786218064</v>
      </c>
      <c r="B4077" s="45">
        <v>9</v>
      </c>
      <c r="D4077" s="2"/>
      <c r="E4077" s="31"/>
      <c r="G4077" s="43"/>
      <c r="H4077" s="2"/>
    </row>
    <row r="4078" spans="1:8">
      <c r="A4078" s="39">
        <v>3.71123786218064</v>
      </c>
      <c r="B4078" s="45">
        <v>9.9</v>
      </c>
      <c r="D4078" s="2"/>
      <c r="E4078" s="31"/>
      <c r="G4078" s="43"/>
      <c r="H4078" s="2"/>
    </row>
    <row r="4079" spans="1:8">
      <c r="A4079" s="39">
        <v>3.71102745353871</v>
      </c>
      <c r="B4079" s="45">
        <v>13.5</v>
      </c>
      <c r="D4079" s="2"/>
      <c r="E4079" s="31"/>
      <c r="G4079" s="43"/>
      <c r="H4079" s="2"/>
    </row>
    <row r="4080" spans="1:8">
      <c r="A4080" s="39">
        <v>3.71093790143768</v>
      </c>
      <c r="B4080" s="45">
        <v>15</v>
      </c>
      <c r="D4080" s="2"/>
      <c r="E4080" s="31"/>
      <c r="G4080" s="43"/>
      <c r="H4080" s="2"/>
    </row>
    <row r="4081" spans="1:8">
      <c r="A4081" s="39">
        <v>3.71087722606986</v>
      </c>
      <c r="B4081" s="45">
        <v>13</v>
      </c>
      <c r="D4081" s="2"/>
      <c r="E4081" s="31"/>
      <c r="G4081" s="43"/>
      <c r="H4081" s="2"/>
    </row>
    <row r="4082" spans="1:8">
      <c r="A4082" s="39">
        <v>3.71081506848894</v>
      </c>
      <c r="B4082" s="45">
        <v>3</v>
      </c>
      <c r="D4082" s="2"/>
      <c r="E4082" s="31"/>
      <c r="G4082" s="43"/>
      <c r="H4082" s="2"/>
    </row>
    <row r="4083" spans="1:8">
      <c r="A4083" s="39">
        <v>3.71074575985195</v>
      </c>
      <c r="B4083" s="45">
        <v>10</v>
      </c>
      <c r="D4083" s="2"/>
      <c r="E4083" s="31"/>
      <c r="G4083" s="43"/>
      <c r="H4083" s="2"/>
    </row>
    <row r="4084" spans="1:8">
      <c r="A4084" s="39">
        <v>3.71056456068169</v>
      </c>
      <c r="B4084" s="45">
        <v>11.3</v>
      </c>
      <c r="D4084" s="2"/>
      <c r="E4084" s="31"/>
      <c r="G4084" s="43"/>
      <c r="H4084" s="2"/>
    </row>
    <row r="4085" spans="1:8">
      <c r="A4085" s="39">
        <v>3.71047283708909</v>
      </c>
      <c r="B4085" s="45">
        <v>2.3</v>
      </c>
      <c r="D4085" s="2"/>
      <c r="E4085" s="31"/>
      <c r="G4085" s="43"/>
      <c r="H4085" s="2"/>
    </row>
    <row r="4086" spans="1:8">
      <c r="A4086" s="39">
        <v>3.7103738735011</v>
      </c>
      <c r="B4086" s="45">
        <v>0</v>
      </c>
      <c r="D4086" s="2"/>
      <c r="E4086" s="31"/>
      <c r="G4086" s="43"/>
      <c r="H4086" s="2"/>
    </row>
    <row r="4087" spans="1:8">
      <c r="A4087" s="39">
        <v>3.71031035803854</v>
      </c>
      <c r="B4087" s="45">
        <v>9</v>
      </c>
      <c r="D4087" s="2"/>
      <c r="E4087" s="31"/>
      <c r="G4087" s="43"/>
      <c r="H4087" s="2"/>
    </row>
    <row r="4088" spans="1:8">
      <c r="A4088" s="39">
        <v>3.71017347541064</v>
      </c>
      <c r="B4088" s="45">
        <v>2</v>
      </c>
      <c r="D4088" s="2"/>
      <c r="E4088" s="31"/>
      <c r="G4088" s="43"/>
      <c r="H4088" s="2"/>
    </row>
    <row r="4089" spans="1:8">
      <c r="A4089" s="39">
        <v>3.70989125918275</v>
      </c>
      <c r="B4089" s="45">
        <v>5.6</v>
      </c>
      <c r="D4089" s="2"/>
      <c r="E4089" s="31"/>
      <c r="G4089" s="43"/>
      <c r="H4089" s="2"/>
    </row>
    <row r="4090" spans="1:8">
      <c r="A4090" s="39">
        <v>3.70989125918275</v>
      </c>
      <c r="B4090" s="45">
        <v>10</v>
      </c>
      <c r="D4090" s="2"/>
      <c r="E4090" s="31"/>
      <c r="G4090" s="43"/>
      <c r="H4090" s="2"/>
    </row>
    <row r="4091" spans="1:8">
      <c r="A4091" s="39">
        <v>3.70988255840001</v>
      </c>
      <c r="B4091" s="45">
        <v>10</v>
      </c>
      <c r="D4091" s="2"/>
      <c r="E4091" s="31"/>
      <c r="G4091" s="43"/>
      <c r="H4091" s="2"/>
    </row>
    <row r="4092" spans="1:8">
      <c r="A4092" s="39">
        <v>3.70978837428941</v>
      </c>
      <c r="B4092" s="45">
        <v>7.5</v>
      </c>
      <c r="D4092" s="2"/>
      <c r="E4092" s="31"/>
      <c r="G4092" s="43"/>
      <c r="H4092" s="2"/>
    </row>
    <row r="4093" spans="1:8">
      <c r="A4093" s="39">
        <v>3.70958256079294</v>
      </c>
      <c r="B4093" s="45">
        <v>1</v>
      </c>
      <c r="D4093" s="2"/>
      <c r="E4093" s="31"/>
      <c r="G4093" s="43"/>
      <c r="H4093" s="2"/>
    </row>
    <row r="4094" spans="1:8">
      <c r="A4094" s="39">
        <v>3.70946972475142</v>
      </c>
      <c r="B4094" s="45">
        <v>7</v>
      </c>
      <c r="D4094" s="2"/>
      <c r="E4094" s="31"/>
      <c r="G4094" s="43"/>
      <c r="H4094" s="2"/>
    </row>
    <row r="4095" spans="1:8">
      <c r="A4095" s="39">
        <v>3.70935714095151</v>
      </c>
      <c r="B4095" s="45">
        <v>1.4</v>
      </c>
      <c r="D4095" s="2"/>
      <c r="E4095" s="31"/>
      <c r="G4095" s="43"/>
      <c r="H4095" s="2"/>
    </row>
    <row r="4096" spans="1:8">
      <c r="A4096" s="39">
        <v>3.70935714095151</v>
      </c>
      <c r="B4096" s="45">
        <v>11.3</v>
      </c>
      <c r="D4096" s="2"/>
      <c r="E4096" s="31"/>
      <c r="G4096" s="43"/>
      <c r="H4096" s="2"/>
    </row>
    <row r="4097" spans="1:8">
      <c r="A4097" s="39">
        <v>3.7091789963749</v>
      </c>
      <c r="B4097" s="45">
        <v>10.5</v>
      </c>
      <c r="D4097" s="2"/>
      <c r="E4097" s="31"/>
      <c r="G4097" s="43"/>
      <c r="H4097" s="2"/>
    </row>
    <row r="4098" spans="1:8">
      <c r="A4098" s="39">
        <v>3.70906671342588</v>
      </c>
      <c r="B4098" s="45">
        <v>24.5</v>
      </c>
      <c r="D4098" s="2"/>
      <c r="E4098" s="31"/>
      <c r="G4098" s="43"/>
      <c r="H4098" s="2"/>
    </row>
    <row r="4099" spans="1:8">
      <c r="A4099" s="39">
        <v>3.7086787316604</v>
      </c>
      <c r="B4099" s="45">
        <v>11.8</v>
      </c>
      <c r="D4099" s="2"/>
      <c r="E4099" s="31"/>
      <c r="G4099" s="43"/>
      <c r="H4099" s="2"/>
    </row>
    <row r="4100" spans="1:8">
      <c r="A4100" s="39">
        <v>3.70854465618486</v>
      </c>
      <c r="B4100" s="45">
        <v>22.3</v>
      </c>
      <c r="D4100" s="2"/>
      <c r="E4100" s="31"/>
      <c r="G4100" s="43"/>
      <c r="H4100" s="2"/>
    </row>
    <row r="4101" spans="1:8">
      <c r="A4101" s="39">
        <v>3.70854465618486</v>
      </c>
      <c r="B4101" s="45">
        <v>7</v>
      </c>
      <c r="D4101" s="2"/>
      <c r="E4101" s="31"/>
      <c r="G4101" s="43"/>
      <c r="H4101" s="2"/>
    </row>
    <row r="4102" spans="1:8">
      <c r="A4102" s="39">
        <v>3.70775955335067</v>
      </c>
      <c r="B4102" s="45">
        <v>3</v>
      </c>
      <c r="D4102" s="2"/>
      <c r="E4102" s="31"/>
      <c r="G4102" s="43"/>
      <c r="H4102" s="2"/>
    </row>
    <row r="4103" spans="1:8">
      <c r="A4103" s="39">
        <v>3.70775955335067</v>
      </c>
      <c r="B4103" s="45">
        <v>10.8</v>
      </c>
      <c r="D4103" s="2"/>
      <c r="E4103" s="31"/>
      <c r="G4103" s="43"/>
      <c r="H4103" s="2"/>
    </row>
    <row r="4104" spans="1:8">
      <c r="A4104" s="39">
        <v>3.70722377727372</v>
      </c>
      <c r="B4104" s="45">
        <v>10.6</v>
      </c>
      <c r="D4104" s="2"/>
      <c r="E4104" s="31"/>
      <c r="G4104" s="43"/>
      <c r="H4104" s="2"/>
    </row>
    <row r="4105" spans="1:8">
      <c r="A4105" s="39">
        <v>3.70716465025935</v>
      </c>
      <c r="B4105" s="45">
        <v>3.8</v>
      </c>
      <c r="D4105" s="2"/>
      <c r="E4105" s="31"/>
      <c r="G4105" s="43"/>
      <c r="H4105" s="2"/>
    </row>
    <row r="4106" spans="1:8">
      <c r="A4106" s="39">
        <v>3.70652475168803</v>
      </c>
      <c r="B4106" s="45">
        <v>6.4</v>
      </c>
      <c r="D4106" s="2"/>
      <c r="E4106" s="31"/>
      <c r="G4106" s="43"/>
      <c r="H4106" s="2"/>
    </row>
    <row r="4107" spans="1:8">
      <c r="A4107" s="39">
        <v>3.70645239327545</v>
      </c>
      <c r="B4107" s="45">
        <v>12</v>
      </c>
      <c r="D4107" s="2"/>
      <c r="E4107" s="31"/>
      <c r="G4107" s="43"/>
      <c r="H4107" s="2"/>
    </row>
    <row r="4108" spans="1:8">
      <c r="A4108" s="39">
        <v>3.70644842834083</v>
      </c>
      <c r="B4108" s="45">
        <v>8</v>
      </c>
      <c r="D4108" s="2"/>
      <c r="E4108" s="31"/>
      <c r="G4108" s="43"/>
      <c r="H4108" s="2"/>
    </row>
    <row r="4109" spans="1:8">
      <c r="A4109" s="39">
        <v>3.7055990961257</v>
      </c>
      <c r="B4109" s="45">
        <v>11</v>
      </c>
      <c r="D4109" s="2"/>
      <c r="E4109" s="31"/>
      <c r="G4109" s="43"/>
      <c r="H4109" s="2"/>
    </row>
    <row r="4110" spans="1:8">
      <c r="A4110" s="39">
        <v>3.70501598450379</v>
      </c>
      <c r="B4110" s="45">
        <v>9.8</v>
      </c>
      <c r="D4110" s="2"/>
      <c r="E4110" s="31"/>
      <c r="G4110" s="43"/>
      <c r="H4110" s="2"/>
    </row>
    <row r="4111" spans="1:8">
      <c r="A4111" s="39">
        <v>3.70455227418862</v>
      </c>
      <c r="B4111" s="45">
        <v>3.4</v>
      </c>
      <c r="D4111" s="2"/>
      <c r="E4111" s="31"/>
      <c r="G4111" s="43"/>
      <c r="H4111" s="2"/>
    </row>
    <row r="4112" spans="1:8">
      <c r="A4112" s="39">
        <v>3.70454347013687</v>
      </c>
      <c r="B4112" s="45">
        <v>23</v>
      </c>
      <c r="D4112" s="2"/>
      <c r="E4112" s="31"/>
      <c r="G4112" s="43"/>
      <c r="H4112" s="2"/>
    </row>
    <row r="4113" spans="1:8">
      <c r="A4113" s="39">
        <v>3.70450484719119</v>
      </c>
      <c r="B4113" s="45">
        <v>8.1</v>
      </c>
      <c r="D4113" s="2"/>
      <c r="E4113" s="31"/>
      <c r="G4113" s="43"/>
      <c r="H4113" s="2"/>
    </row>
    <row r="4114" spans="1:8">
      <c r="A4114" s="39">
        <v>3.70383807312502</v>
      </c>
      <c r="B4114" s="45">
        <v>14.2</v>
      </c>
      <c r="D4114" s="2"/>
      <c r="E4114" s="31"/>
      <c r="G4114" s="43"/>
      <c r="H4114" s="2"/>
    </row>
    <row r="4115" spans="1:8">
      <c r="A4115" s="39">
        <v>3.70362820909225</v>
      </c>
      <c r="B4115" s="45">
        <v>6.6</v>
      </c>
      <c r="D4115" s="2"/>
      <c r="E4115" s="31"/>
      <c r="G4115" s="43"/>
      <c r="H4115" s="2"/>
    </row>
    <row r="4116" spans="1:8">
      <c r="A4116" s="39">
        <v>3.70358354066675</v>
      </c>
      <c r="B4116" s="45">
        <v>9.5</v>
      </c>
      <c r="D4116" s="2"/>
      <c r="E4116" s="31"/>
      <c r="G4116" s="43"/>
      <c r="H4116" s="2"/>
    </row>
    <row r="4117" spans="1:8">
      <c r="A4117" s="39">
        <v>3.70358354066675</v>
      </c>
      <c r="B4117" s="45">
        <v>13</v>
      </c>
      <c r="D4117" s="2"/>
      <c r="E4117" s="31"/>
      <c r="G4117" s="43"/>
      <c r="H4117" s="2"/>
    </row>
    <row r="4118" spans="1:8">
      <c r="A4118" s="39">
        <v>3.70358354066675</v>
      </c>
      <c r="B4118" s="45">
        <v>8.5</v>
      </c>
      <c r="D4118" s="2"/>
      <c r="E4118" s="31"/>
      <c r="G4118" s="43"/>
      <c r="H4118" s="2"/>
    </row>
    <row r="4119" spans="1:8">
      <c r="A4119" s="39">
        <v>3.70318449308741</v>
      </c>
      <c r="B4119" s="45">
        <v>12</v>
      </c>
      <c r="D4119" s="2"/>
      <c r="E4119" s="31"/>
      <c r="G4119" s="43"/>
      <c r="H4119" s="2"/>
    </row>
    <row r="4120" spans="1:8">
      <c r="A4120" s="39">
        <v>3.70313596881843</v>
      </c>
      <c r="B4120" s="45">
        <v>11.6</v>
      </c>
      <c r="D4120" s="2"/>
      <c r="E4120" s="31"/>
      <c r="G4120" s="43"/>
      <c r="H4120" s="2"/>
    </row>
    <row r="4121" spans="1:8">
      <c r="A4121" s="39">
        <v>3.70313596881843</v>
      </c>
      <c r="B4121" s="45">
        <v>12</v>
      </c>
      <c r="D4121" s="2"/>
      <c r="E4121" s="31"/>
      <c r="G4121" s="43"/>
      <c r="H4121" s="2"/>
    </row>
    <row r="4122" spans="1:8">
      <c r="A4122" s="39">
        <v>3.70294374629257</v>
      </c>
      <c r="B4122" s="45">
        <v>14.7</v>
      </c>
      <c r="D4122" s="2"/>
      <c r="E4122" s="31"/>
      <c r="G4122" s="43"/>
      <c r="H4122" s="2"/>
    </row>
    <row r="4123" spans="1:8">
      <c r="A4123" s="39">
        <v>3.70292170935803</v>
      </c>
      <c r="B4123" s="45">
        <v>8.3</v>
      </c>
      <c r="D4123" s="2"/>
      <c r="E4123" s="31"/>
      <c r="G4123" s="43"/>
      <c r="H4123" s="2"/>
    </row>
    <row r="4124" spans="1:8">
      <c r="A4124" s="39">
        <v>3.70284693814892</v>
      </c>
      <c r="B4124" s="45">
        <v>10</v>
      </c>
      <c r="D4124" s="2"/>
      <c r="E4124" s="31"/>
      <c r="G4124" s="43"/>
      <c r="H4124" s="2"/>
    </row>
    <row r="4125" spans="1:8">
      <c r="A4125" s="39">
        <v>3.70202228703367</v>
      </c>
      <c r="B4125" s="45">
        <v>5.9</v>
      </c>
      <c r="D4125" s="2"/>
      <c r="E4125" s="31"/>
      <c r="G4125" s="43"/>
      <c r="H4125" s="2"/>
    </row>
    <row r="4126" spans="1:8">
      <c r="A4126" s="39">
        <v>3.70181164119542</v>
      </c>
      <c r="B4126" s="45">
        <v>7.2</v>
      </c>
      <c r="D4126" s="2"/>
      <c r="E4126" s="31"/>
      <c r="G4126" s="43"/>
      <c r="H4126" s="2"/>
    </row>
    <row r="4127" spans="1:8">
      <c r="A4127" s="39">
        <v>3.7014398140987</v>
      </c>
      <c r="B4127" s="45">
        <v>9.9</v>
      </c>
      <c r="D4127" s="2"/>
      <c r="E4127" s="31"/>
      <c r="G4127" s="43"/>
      <c r="H4127" s="2"/>
    </row>
    <row r="4128" spans="1:8">
      <c r="A4128" s="39">
        <v>3.70057017293698</v>
      </c>
      <c r="B4128" s="45">
        <v>6</v>
      </c>
      <c r="D4128" s="2"/>
      <c r="E4128" s="31"/>
      <c r="G4128" s="43"/>
      <c r="H4128" s="2"/>
    </row>
    <row r="4129" spans="1:8">
      <c r="A4129" s="39">
        <v>3.70000243107415</v>
      </c>
      <c r="B4129" s="45">
        <v>10.2</v>
      </c>
      <c r="D4129" s="2"/>
      <c r="E4129" s="31"/>
      <c r="G4129" s="43"/>
      <c r="H4129" s="2"/>
    </row>
    <row r="4130" spans="1:8">
      <c r="A4130" s="39">
        <v>3.69994900534029</v>
      </c>
      <c r="B4130" s="45">
        <v>15</v>
      </c>
      <c r="D4130" s="2"/>
      <c r="E4130" s="31"/>
      <c r="G4130" s="43"/>
      <c r="H4130" s="2"/>
    </row>
    <row r="4131" spans="1:8">
      <c r="A4131" s="39">
        <v>3.69991659289937</v>
      </c>
      <c r="B4131" s="45">
        <v>22</v>
      </c>
      <c r="D4131" s="2"/>
      <c r="E4131" s="31"/>
      <c r="G4131" s="43"/>
      <c r="H4131" s="2"/>
    </row>
    <row r="4132" spans="1:8">
      <c r="A4132" s="39">
        <v>3.69979173669859</v>
      </c>
      <c r="B4132" s="45">
        <v>5</v>
      </c>
      <c r="D4132" s="2"/>
      <c r="E4132" s="31"/>
      <c r="G4132" s="43"/>
      <c r="H4132" s="2"/>
    </row>
    <row r="4133" spans="1:8">
      <c r="A4133" s="39">
        <v>3.69974740742573</v>
      </c>
      <c r="B4133" s="45">
        <v>8.8</v>
      </c>
      <c r="D4133" s="2"/>
      <c r="E4133" s="31"/>
      <c r="G4133" s="43"/>
      <c r="H4133" s="2"/>
    </row>
    <row r="4134" spans="1:8">
      <c r="A4134" s="39">
        <v>3.69974740742573</v>
      </c>
      <c r="B4134" s="45">
        <v>8.6</v>
      </c>
      <c r="D4134" s="2"/>
      <c r="E4134" s="31"/>
      <c r="G4134" s="43"/>
      <c r="H4134" s="2"/>
    </row>
    <row r="4135" spans="1:8">
      <c r="A4135" s="39">
        <v>3.69974740742573</v>
      </c>
      <c r="B4135" s="45">
        <v>4.1</v>
      </c>
      <c r="D4135" s="2"/>
      <c r="E4135" s="31"/>
      <c r="G4135" s="43"/>
      <c r="H4135" s="2"/>
    </row>
    <row r="4136" spans="1:8">
      <c r="A4136" s="39">
        <v>3.69974740742573</v>
      </c>
      <c r="B4136" s="45">
        <v>10.7</v>
      </c>
      <c r="D4136" s="2"/>
      <c r="E4136" s="31"/>
      <c r="G4136" s="43"/>
      <c r="H4136" s="2"/>
    </row>
    <row r="4137" spans="1:8">
      <c r="A4137" s="39">
        <v>3.69932912802338</v>
      </c>
      <c r="B4137" s="45">
        <v>6.9</v>
      </c>
      <c r="D4137" s="2"/>
      <c r="E4137" s="31"/>
      <c r="G4137" s="43"/>
      <c r="H4137" s="2"/>
    </row>
    <row r="4138" spans="1:8">
      <c r="A4138" s="39">
        <v>3.69922152814695</v>
      </c>
      <c r="B4138" s="45">
        <v>5.1</v>
      </c>
      <c r="D4138" s="2"/>
      <c r="E4138" s="31"/>
      <c r="G4138" s="43"/>
      <c r="H4138" s="2"/>
    </row>
    <row r="4139" spans="1:8">
      <c r="A4139" s="39">
        <v>3.69922152814695</v>
      </c>
      <c r="B4139" s="45">
        <v>16</v>
      </c>
      <c r="D4139" s="2"/>
      <c r="E4139" s="31"/>
      <c r="G4139" s="43"/>
      <c r="H4139" s="2"/>
    </row>
    <row r="4140" spans="1:8">
      <c r="A4140" s="39">
        <v>3.69866560210903</v>
      </c>
      <c r="B4140" s="45">
        <v>9.4</v>
      </c>
      <c r="D4140" s="2"/>
      <c r="E4140" s="31"/>
      <c r="G4140" s="43"/>
      <c r="H4140" s="2"/>
    </row>
    <row r="4141" spans="1:8">
      <c r="A4141" s="39">
        <v>3.6984451337007</v>
      </c>
      <c r="B4141" s="45">
        <v>9.9</v>
      </c>
      <c r="D4141" s="2"/>
      <c r="E4141" s="31"/>
      <c r="G4141" s="43"/>
      <c r="H4141" s="2"/>
    </row>
    <row r="4142" spans="1:8">
      <c r="A4142" s="39">
        <v>3.6984451337007</v>
      </c>
      <c r="B4142" s="45">
        <v>12.2</v>
      </c>
      <c r="D4142" s="2"/>
      <c r="E4142" s="31"/>
      <c r="G4142" s="43"/>
      <c r="H4142" s="2"/>
    </row>
    <row r="4143" spans="1:8">
      <c r="A4143" s="39">
        <v>3.69795585278654</v>
      </c>
      <c r="B4143" s="45">
        <v>10.3</v>
      </c>
      <c r="D4143" s="2"/>
      <c r="E4143" s="31"/>
      <c r="G4143" s="43"/>
      <c r="H4143" s="2"/>
    </row>
    <row r="4144" spans="1:8">
      <c r="A4144" s="39">
        <v>3.69792200397316</v>
      </c>
      <c r="B4144" s="45">
        <v>6.1</v>
      </c>
      <c r="D4144" s="2"/>
      <c r="E4144" s="31"/>
      <c r="G4144" s="43"/>
      <c r="H4144" s="2"/>
    </row>
    <row r="4145" spans="1:8">
      <c r="A4145" s="39">
        <v>3.69792200397316</v>
      </c>
      <c r="B4145" s="45">
        <v>21</v>
      </c>
      <c r="D4145" s="2"/>
      <c r="E4145" s="31"/>
      <c r="G4145" s="43"/>
      <c r="H4145" s="2"/>
    </row>
    <row r="4146" spans="1:8">
      <c r="A4146" s="39">
        <v>3.69777183220175</v>
      </c>
      <c r="B4146" s="45">
        <v>12.5</v>
      </c>
      <c r="D4146" s="2"/>
      <c r="E4146" s="31"/>
      <c r="G4146" s="43"/>
      <c r="H4146" s="2"/>
    </row>
    <row r="4147" spans="1:8">
      <c r="A4147" s="39">
        <v>3.69752517541191</v>
      </c>
      <c r="B4147" s="45">
        <v>18</v>
      </c>
      <c r="D4147" s="2"/>
      <c r="E4147" s="31"/>
      <c r="G4147" s="43"/>
      <c r="H4147" s="2"/>
    </row>
    <row r="4148" spans="1:8">
      <c r="A4148" s="39">
        <v>3.69730227274894</v>
      </c>
      <c r="B4148" s="45">
        <v>8.5</v>
      </c>
      <c r="D4148" s="2"/>
      <c r="E4148" s="31"/>
      <c r="G4148" s="43"/>
      <c r="H4148" s="2"/>
    </row>
    <row r="4149" spans="1:8">
      <c r="A4149" s="39">
        <v>3.69730227274894</v>
      </c>
      <c r="B4149" s="45">
        <v>7</v>
      </c>
      <c r="D4149" s="2"/>
      <c r="E4149" s="31"/>
      <c r="G4149" s="43"/>
      <c r="H4149" s="2"/>
    </row>
    <row r="4150" spans="1:8">
      <c r="A4150" s="39">
        <v>3.69709853070281</v>
      </c>
      <c r="B4150" s="45">
        <v>2</v>
      </c>
      <c r="D4150" s="2"/>
      <c r="E4150" s="31"/>
      <c r="G4150" s="43"/>
      <c r="H4150" s="2"/>
    </row>
    <row r="4151" spans="1:8">
      <c r="A4151" s="39">
        <v>3.69678358109541</v>
      </c>
      <c r="B4151" s="45">
        <v>11</v>
      </c>
      <c r="D4151" s="2"/>
      <c r="E4151" s="31"/>
      <c r="G4151" s="43"/>
      <c r="H4151" s="2"/>
    </row>
    <row r="4152" spans="1:8">
      <c r="A4152" s="39">
        <v>3.69678358109541</v>
      </c>
      <c r="B4152" s="45">
        <v>8</v>
      </c>
      <c r="D4152" s="2"/>
      <c r="E4152" s="31"/>
      <c r="G4152" s="43"/>
      <c r="H4152" s="2"/>
    </row>
    <row r="4153" spans="1:8">
      <c r="A4153" s="39">
        <v>3.69664869271133</v>
      </c>
      <c r="B4153" s="45">
        <v>3</v>
      </c>
      <c r="D4153" s="2"/>
      <c r="E4153" s="31"/>
      <c r="G4153" s="43"/>
      <c r="H4153" s="2"/>
    </row>
    <row r="4154" spans="1:8">
      <c r="A4154" s="39">
        <v>3.69642522920386</v>
      </c>
      <c r="B4154" s="45">
        <v>9</v>
      </c>
      <c r="D4154" s="2"/>
      <c r="E4154" s="31"/>
      <c r="G4154" s="43"/>
      <c r="H4154" s="2"/>
    </row>
    <row r="4155" spans="1:8">
      <c r="A4155" s="39">
        <v>3.69642522920386</v>
      </c>
      <c r="B4155" s="45">
        <v>17.5</v>
      </c>
      <c r="D4155" s="2"/>
      <c r="E4155" s="31"/>
      <c r="G4155" s="43"/>
      <c r="H4155" s="2"/>
    </row>
    <row r="4156" spans="1:8">
      <c r="A4156" s="39">
        <v>3.69642132148155</v>
      </c>
      <c r="B4156" s="45">
        <v>25</v>
      </c>
      <c r="D4156" s="2"/>
      <c r="E4156" s="31"/>
      <c r="G4156" s="43"/>
      <c r="H4156" s="2"/>
    </row>
    <row r="4157" spans="1:8">
      <c r="A4157" s="39">
        <v>3.69632190269252</v>
      </c>
      <c r="B4157" s="45">
        <v>13.8</v>
      </c>
      <c r="D4157" s="2"/>
      <c r="E4157" s="31"/>
      <c r="G4157" s="43"/>
      <c r="H4157" s="2"/>
    </row>
    <row r="4158" spans="1:8">
      <c r="A4158" s="39">
        <v>3.69609911829572</v>
      </c>
      <c r="B4158" s="45">
        <v>21</v>
      </c>
      <c r="D4158" s="2"/>
      <c r="E4158" s="31"/>
      <c r="G4158" s="43"/>
      <c r="H4158" s="2"/>
    </row>
    <row r="4159" spans="1:8">
      <c r="A4159" s="39">
        <v>3.69609911829572</v>
      </c>
      <c r="B4159" s="45">
        <v>4.8</v>
      </c>
      <c r="D4159" s="2"/>
      <c r="E4159" s="31"/>
      <c r="G4159" s="43"/>
      <c r="H4159" s="2"/>
    </row>
    <row r="4160" spans="1:8">
      <c r="A4160" s="39">
        <v>3.69609846222623</v>
      </c>
      <c r="B4160" s="45">
        <v>11</v>
      </c>
      <c r="D4160" s="2"/>
      <c r="E4160" s="31"/>
      <c r="G4160" s="43"/>
      <c r="H4160" s="2"/>
    </row>
    <row r="4161" spans="1:8">
      <c r="A4161" s="39">
        <v>3.69609846222623</v>
      </c>
      <c r="B4161" s="45">
        <v>12.6</v>
      </c>
      <c r="D4161" s="2"/>
      <c r="E4161" s="31"/>
      <c r="G4161" s="43"/>
      <c r="H4161" s="2"/>
    </row>
    <row r="4162" spans="1:8">
      <c r="A4162" s="39">
        <v>3.69510775587272</v>
      </c>
      <c r="B4162" s="45">
        <v>9.1</v>
      </c>
      <c r="D4162" s="2"/>
      <c r="E4162" s="31"/>
      <c r="G4162" s="43"/>
      <c r="H4162" s="2"/>
    </row>
    <row r="4163" spans="1:8">
      <c r="A4163" s="39">
        <v>3.69502661588106</v>
      </c>
      <c r="B4163" s="45">
        <v>13</v>
      </c>
      <c r="D4163" s="2"/>
      <c r="E4163" s="31"/>
      <c r="G4163" s="43"/>
      <c r="H4163" s="2"/>
    </row>
    <row r="4164" spans="1:8">
      <c r="A4164" s="39">
        <v>3.69473019269635</v>
      </c>
      <c r="B4164" s="45">
        <v>5</v>
      </c>
      <c r="D4164" s="2"/>
      <c r="E4164" s="31"/>
      <c r="G4164" s="43"/>
      <c r="H4164" s="2"/>
    </row>
    <row r="4165" spans="1:8">
      <c r="A4165" s="39">
        <v>3.6945581513218</v>
      </c>
      <c r="B4165" s="45">
        <v>6.4</v>
      </c>
      <c r="D4165" s="2"/>
      <c r="E4165" s="31"/>
      <c r="G4165" s="43"/>
      <c r="H4165" s="2"/>
    </row>
    <row r="4166" spans="1:8">
      <c r="A4166" s="39">
        <v>3.69440419384761</v>
      </c>
      <c r="B4166" s="45">
        <v>10.5</v>
      </c>
      <c r="D4166" s="2"/>
      <c r="E4166" s="31"/>
      <c r="G4166" s="43"/>
      <c r="H4166" s="2"/>
    </row>
    <row r="4167" spans="1:8">
      <c r="A4167" s="39">
        <v>3.69429881863547</v>
      </c>
      <c r="B4167" s="45">
        <v>12</v>
      </c>
      <c r="D4167" s="2"/>
      <c r="E4167" s="31"/>
      <c r="G4167" s="43"/>
      <c r="H4167" s="2"/>
    </row>
    <row r="4168" spans="1:8">
      <c r="A4168" s="39">
        <v>3.6939274861145</v>
      </c>
      <c r="B4168" s="45">
        <v>5.8</v>
      </c>
      <c r="D4168" s="2"/>
      <c r="E4168" s="31"/>
      <c r="G4168" s="43"/>
      <c r="H4168" s="2"/>
    </row>
    <row r="4169" spans="1:8">
      <c r="A4169" s="39">
        <v>3.69355643380747</v>
      </c>
      <c r="B4169" s="45">
        <v>9</v>
      </c>
      <c r="D4169" s="2"/>
      <c r="E4169" s="31"/>
      <c r="G4169" s="43"/>
      <c r="H4169" s="2"/>
    </row>
    <row r="4170" spans="1:8">
      <c r="A4170" s="39">
        <v>3.69227175605349</v>
      </c>
      <c r="B4170" s="45">
        <v>2.4</v>
      </c>
      <c r="D4170" s="2"/>
      <c r="E4170" s="31"/>
      <c r="G4170" s="43"/>
      <c r="H4170" s="2"/>
    </row>
    <row r="4171" spans="1:8">
      <c r="A4171" s="39">
        <v>3.69212398997043</v>
      </c>
      <c r="B4171" s="45">
        <v>10.8</v>
      </c>
      <c r="D4171" s="2"/>
      <c r="E4171" s="31"/>
      <c r="G4171" s="43"/>
      <c r="H4171" s="2"/>
    </row>
    <row r="4172" spans="1:8">
      <c r="A4172" s="39">
        <v>3.69171211871125</v>
      </c>
      <c r="B4172" s="45">
        <v>12.1</v>
      </c>
      <c r="D4172" s="2"/>
      <c r="E4172" s="31"/>
      <c r="G4172" s="43"/>
      <c r="H4172" s="2"/>
    </row>
    <row r="4173" spans="1:8">
      <c r="A4173" s="39">
        <v>3.69121927902018</v>
      </c>
      <c r="B4173" s="45">
        <v>6</v>
      </c>
      <c r="D4173" s="2"/>
      <c r="E4173" s="31"/>
      <c r="G4173" s="43"/>
      <c r="H4173" s="2"/>
    </row>
    <row r="4174" spans="1:8">
      <c r="A4174" s="39">
        <v>3.69117220761168</v>
      </c>
      <c r="B4174" s="45">
        <v>8</v>
      </c>
      <c r="D4174" s="2"/>
      <c r="E4174" s="31"/>
      <c r="G4174" s="43"/>
      <c r="H4174" s="2"/>
    </row>
    <row r="4175" spans="1:8">
      <c r="A4175" s="39">
        <v>3.69076647237286</v>
      </c>
      <c r="B4175" s="45">
        <v>8.5</v>
      </c>
      <c r="D4175" s="2"/>
      <c r="E4175" s="31"/>
      <c r="G4175" s="43"/>
      <c r="H4175" s="2"/>
    </row>
    <row r="4176" spans="1:8">
      <c r="A4176" s="39">
        <v>3.6906598324075</v>
      </c>
      <c r="B4176" s="45">
        <v>7.5</v>
      </c>
      <c r="D4176" s="2"/>
      <c r="E4176" s="31"/>
      <c r="G4176" s="43"/>
      <c r="H4176" s="2"/>
    </row>
    <row r="4177" spans="1:8">
      <c r="A4177" s="39">
        <v>3.69036551571337</v>
      </c>
      <c r="B4177" s="45">
        <v>8.9</v>
      </c>
      <c r="D4177" s="2"/>
      <c r="E4177" s="31"/>
      <c r="G4177" s="43"/>
      <c r="H4177" s="2"/>
    </row>
    <row r="4178" spans="1:8">
      <c r="A4178" s="39">
        <v>3.68945931229764</v>
      </c>
      <c r="B4178" s="45">
        <v>10.25</v>
      </c>
      <c r="D4178" s="2"/>
      <c r="E4178" s="31"/>
      <c r="G4178" s="43"/>
      <c r="H4178" s="2"/>
    </row>
    <row r="4179" spans="1:8">
      <c r="A4179" s="39">
        <v>3.68925910229635</v>
      </c>
      <c r="B4179" s="45">
        <v>10.5</v>
      </c>
      <c r="D4179" s="2"/>
      <c r="E4179" s="31"/>
      <c r="G4179" s="43"/>
      <c r="H4179" s="2"/>
    </row>
    <row r="4180" spans="1:8">
      <c r="A4180" s="39">
        <v>3.68925910229635</v>
      </c>
      <c r="B4180" s="45">
        <v>24.6</v>
      </c>
      <c r="D4180" s="2"/>
      <c r="E4180" s="31"/>
      <c r="G4180" s="43"/>
      <c r="H4180" s="2"/>
    </row>
    <row r="4181" spans="1:8">
      <c r="A4181" s="39">
        <v>3.68925910229635</v>
      </c>
      <c r="B4181" s="45">
        <v>7.9</v>
      </c>
      <c r="D4181" s="2"/>
      <c r="E4181" s="31"/>
      <c r="G4181" s="43"/>
      <c r="H4181" s="2"/>
    </row>
    <row r="4182" spans="1:8">
      <c r="A4182" s="39">
        <v>3.68925449029888</v>
      </c>
      <c r="B4182" s="45">
        <v>13.1</v>
      </c>
      <c r="D4182" s="2"/>
      <c r="E4182" s="31"/>
      <c r="G4182" s="43"/>
      <c r="H4182" s="2"/>
    </row>
    <row r="4183" spans="1:8">
      <c r="A4183" s="39">
        <v>3.68877569764674</v>
      </c>
      <c r="B4183" s="45">
        <v>8.2</v>
      </c>
      <c r="D4183" s="2"/>
      <c r="E4183" s="31"/>
      <c r="G4183" s="43"/>
      <c r="H4183" s="2"/>
    </row>
    <row r="4184" spans="1:8">
      <c r="A4184" s="39">
        <v>3.68853095216839</v>
      </c>
      <c r="B4184" s="45">
        <v>2.8</v>
      </c>
      <c r="D4184" s="2"/>
      <c r="E4184" s="31"/>
      <c r="G4184" s="43"/>
      <c r="H4184" s="2"/>
    </row>
    <row r="4185" spans="1:8">
      <c r="A4185" s="39">
        <v>3.68767230971759</v>
      </c>
      <c r="B4185" s="45">
        <v>3.9</v>
      </c>
      <c r="D4185" s="2"/>
      <c r="E4185" s="31"/>
      <c r="G4185" s="43"/>
      <c r="H4185" s="2"/>
    </row>
    <row r="4186" spans="1:8">
      <c r="A4186" s="39">
        <v>3.68749857218481</v>
      </c>
      <c r="B4186" s="45">
        <v>5</v>
      </c>
      <c r="D4186" s="2"/>
      <c r="E4186" s="31"/>
      <c r="G4186" s="43"/>
      <c r="H4186" s="2"/>
    </row>
    <row r="4187" spans="1:8">
      <c r="A4187" s="39">
        <v>3.68718185653189</v>
      </c>
      <c r="B4187" s="45">
        <v>1.85</v>
      </c>
      <c r="D4187" s="2"/>
      <c r="E4187" s="31"/>
      <c r="G4187" s="43"/>
      <c r="H4187" s="2"/>
    </row>
    <row r="4188" spans="1:8">
      <c r="A4188" s="39">
        <v>3.68666501157141</v>
      </c>
      <c r="B4188" s="45">
        <v>13.5</v>
      </c>
      <c r="D4188" s="2"/>
      <c r="E4188" s="31"/>
      <c r="G4188" s="43"/>
      <c r="H4188" s="2"/>
    </row>
    <row r="4189" spans="1:8">
      <c r="A4189" s="39">
        <v>3.6863257067197</v>
      </c>
      <c r="B4189" s="45">
        <v>22</v>
      </c>
      <c r="D4189" s="2"/>
      <c r="E4189" s="31"/>
      <c r="G4189" s="43"/>
      <c r="H4189" s="2"/>
    </row>
    <row r="4190" spans="1:8">
      <c r="A4190" s="39">
        <v>3.68629378048963</v>
      </c>
      <c r="B4190" s="45">
        <v>2</v>
      </c>
      <c r="D4190" s="2"/>
      <c r="E4190" s="31"/>
      <c r="G4190" s="43"/>
      <c r="H4190" s="2"/>
    </row>
    <row r="4191" spans="1:8">
      <c r="A4191" s="39">
        <v>3.6861914121096</v>
      </c>
      <c r="B4191" s="45">
        <v>9.6</v>
      </c>
      <c r="D4191" s="2"/>
      <c r="E4191" s="31"/>
      <c r="G4191" s="43"/>
      <c r="H4191" s="2"/>
    </row>
    <row r="4192" spans="1:8">
      <c r="A4192" s="39">
        <v>3.6859614495463</v>
      </c>
      <c r="B4192" s="45">
        <v>19.9</v>
      </c>
      <c r="D4192" s="2"/>
      <c r="E4192" s="31"/>
      <c r="G4192" s="43"/>
      <c r="H4192" s="2"/>
    </row>
    <row r="4193" spans="1:8">
      <c r="A4193" s="39">
        <v>3.68583217630046</v>
      </c>
      <c r="B4193" s="45">
        <v>3.8</v>
      </c>
      <c r="D4193" s="2"/>
      <c r="E4193" s="31"/>
      <c r="G4193" s="43"/>
      <c r="H4193" s="2"/>
    </row>
    <row r="4194" spans="1:8">
      <c r="A4194" s="39">
        <v>3.68567799270375</v>
      </c>
      <c r="B4194" s="45">
        <v>9</v>
      </c>
      <c r="D4194" s="2"/>
      <c r="E4194" s="31"/>
      <c r="G4194" s="43"/>
      <c r="H4194" s="2"/>
    </row>
    <row r="4195" spans="1:8">
      <c r="A4195" s="39">
        <v>3.68553783207199</v>
      </c>
      <c r="B4195" s="45">
        <v>10</v>
      </c>
      <c r="D4195" s="2"/>
      <c r="E4195" s="31"/>
      <c r="G4195" s="43"/>
      <c r="H4195" s="2"/>
    </row>
    <row r="4196" spans="1:8">
      <c r="A4196" s="39">
        <v>3.68493326287098</v>
      </c>
      <c r="B4196" s="45">
        <v>14</v>
      </c>
      <c r="D4196" s="2"/>
      <c r="E4196" s="31"/>
      <c r="G4196" s="43"/>
      <c r="H4196" s="2"/>
    </row>
    <row r="4197" spans="1:8">
      <c r="A4197" s="39">
        <v>3.68488425203438</v>
      </c>
      <c r="B4197" s="45">
        <v>3</v>
      </c>
      <c r="D4197" s="2"/>
      <c r="E4197" s="31"/>
      <c r="G4197" s="43"/>
      <c r="H4197" s="2"/>
    </row>
    <row r="4198" spans="1:8">
      <c r="A4198" s="39">
        <v>3.68488425203438</v>
      </c>
      <c r="B4198" s="45">
        <v>15.5</v>
      </c>
      <c r="D4198" s="2"/>
      <c r="E4198" s="31"/>
      <c r="G4198" s="43"/>
      <c r="H4198" s="2"/>
    </row>
    <row r="4199" spans="1:8">
      <c r="A4199" s="39">
        <v>3.68413470101948</v>
      </c>
      <c r="B4199" s="45">
        <v>7.5</v>
      </c>
      <c r="D4199" s="2"/>
      <c r="E4199" s="31"/>
      <c r="G4199" s="43"/>
      <c r="H4199" s="2"/>
    </row>
    <row r="4200" spans="1:8">
      <c r="A4200" s="39">
        <v>3.68410965719715</v>
      </c>
      <c r="B4200" s="45">
        <v>2</v>
      </c>
      <c r="D4200" s="2"/>
      <c r="E4200" s="31"/>
      <c r="G4200" s="43"/>
      <c r="H4200" s="2"/>
    </row>
    <row r="4201" spans="1:8">
      <c r="A4201" s="39">
        <v>3.68363250072392</v>
      </c>
      <c r="B4201" s="45">
        <v>18.5</v>
      </c>
      <c r="D4201" s="2"/>
      <c r="E4201" s="31"/>
      <c r="G4201" s="43"/>
      <c r="H4201" s="2"/>
    </row>
    <row r="4202" spans="1:8">
      <c r="A4202" s="39">
        <v>3.68240986230203</v>
      </c>
      <c r="B4202" s="45">
        <v>13.7</v>
      </c>
      <c r="D4202" s="2"/>
      <c r="E4202" s="31"/>
      <c r="G4202" s="43"/>
      <c r="H4202" s="2"/>
    </row>
    <row r="4203" spans="1:8">
      <c r="A4203" s="39">
        <v>3.68202344904181</v>
      </c>
      <c r="B4203" s="45">
        <v>11.6</v>
      </c>
      <c r="D4203" s="2"/>
      <c r="E4203" s="31"/>
      <c r="G4203" s="43"/>
      <c r="H4203" s="2"/>
    </row>
    <row r="4204" spans="1:8">
      <c r="A4204" s="39">
        <v>3.68148891372674</v>
      </c>
      <c r="B4204" s="45">
        <v>1.8</v>
      </c>
      <c r="D4204" s="2"/>
      <c r="E4204" s="31"/>
      <c r="G4204" s="43"/>
      <c r="H4204" s="2"/>
    </row>
    <row r="4205" spans="1:8">
      <c r="A4205" s="39">
        <v>3.68145768864639</v>
      </c>
      <c r="B4205" s="45">
        <v>5.3</v>
      </c>
      <c r="D4205" s="2"/>
      <c r="E4205" s="31"/>
      <c r="G4205" s="43"/>
      <c r="H4205" s="2"/>
    </row>
    <row r="4206" spans="1:8">
      <c r="A4206" s="39">
        <v>3.68104093670267</v>
      </c>
      <c r="B4206" s="45">
        <v>6.2</v>
      </c>
      <c r="D4206" s="2"/>
      <c r="E4206" s="31"/>
      <c r="G4206" s="43"/>
      <c r="H4206" s="2"/>
    </row>
    <row r="4207" spans="1:8">
      <c r="A4207" s="39">
        <v>3.68104093670267</v>
      </c>
      <c r="B4207" s="45">
        <v>6.3</v>
      </c>
      <c r="D4207" s="2"/>
      <c r="E4207" s="31"/>
      <c r="G4207" s="43"/>
      <c r="H4207" s="2"/>
    </row>
    <row r="4208" spans="1:8">
      <c r="A4208" s="39">
        <v>3.68103651537054</v>
      </c>
      <c r="B4208" s="45">
        <v>11</v>
      </c>
      <c r="D4208" s="2"/>
      <c r="E4208" s="31"/>
      <c r="G4208" s="43"/>
      <c r="H4208" s="2"/>
    </row>
    <row r="4209" spans="1:8">
      <c r="A4209" s="39">
        <v>3.68103651537054</v>
      </c>
      <c r="B4209" s="45">
        <v>8.1</v>
      </c>
      <c r="D4209" s="2"/>
      <c r="E4209" s="31"/>
      <c r="G4209" s="43"/>
      <c r="H4209" s="2"/>
    </row>
    <row r="4210" spans="1:8">
      <c r="A4210" s="39">
        <v>3.68096277180873</v>
      </c>
      <c r="B4210" s="45">
        <v>24</v>
      </c>
      <c r="D4210" s="2"/>
      <c r="E4210" s="31"/>
      <c r="G4210" s="43"/>
      <c r="H4210" s="2"/>
    </row>
    <row r="4211" spans="1:8">
      <c r="A4211" s="39">
        <v>3.68093929472815</v>
      </c>
      <c r="B4211" s="45">
        <v>3.9</v>
      </c>
      <c r="D4211" s="2"/>
      <c r="E4211" s="31"/>
      <c r="G4211" s="43"/>
      <c r="H4211" s="2"/>
    </row>
    <row r="4212" spans="1:8">
      <c r="A4212" s="39">
        <v>3.68063995037703</v>
      </c>
      <c r="B4212" s="45">
        <v>8</v>
      </c>
      <c r="D4212" s="2"/>
      <c r="E4212" s="31"/>
      <c r="G4212" s="43"/>
      <c r="H4212" s="2"/>
    </row>
    <row r="4213" spans="1:8">
      <c r="A4213" s="39">
        <v>3.68063995037703</v>
      </c>
      <c r="B4213" s="45">
        <v>4.8</v>
      </c>
      <c r="D4213" s="2"/>
      <c r="E4213" s="31"/>
      <c r="G4213" s="43"/>
      <c r="H4213" s="2"/>
    </row>
    <row r="4214" spans="1:8">
      <c r="A4214" s="39">
        <v>3.68061594772337</v>
      </c>
      <c r="B4214" s="45">
        <v>10</v>
      </c>
      <c r="D4214" s="2"/>
      <c r="E4214" s="31"/>
      <c r="G4214" s="43"/>
      <c r="H4214" s="2"/>
    </row>
    <row r="4215" spans="1:8">
      <c r="A4215" s="39">
        <v>3.68061594772337</v>
      </c>
      <c r="B4215" s="45">
        <v>3.5</v>
      </c>
      <c r="D4215" s="2"/>
      <c r="E4215" s="31"/>
      <c r="G4215" s="43"/>
      <c r="H4215" s="2"/>
    </row>
    <row r="4216" spans="1:8">
      <c r="A4216" s="39">
        <v>3.68061594772337</v>
      </c>
      <c r="B4216" s="45">
        <v>23</v>
      </c>
      <c r="D4216" s="2"/>
      <c r="E4216" s="31"/>
      <c r="G4216" s="43"/>
      <c r="H4216" s="2"/>
    </row>
    <row r="4217" spans="1:8">
      <c r="A4217" s="39">
        <v>3.68061594772337</v>
      </c>
      <c r="B4217" s="45">
        <v>22</v>
      </c>
      <c r="D4217" s="2"/>
      <c r="E4217" s="31"/>
      <c r="G4217" s="43"/>
      <c r="H4217" s="2"/>
    </row>
    <row r="4218" spans="1:8">
      <c r="A4218" s="39">
        <v>3.68052794037416</v>
      </c>
      <c r="B4218" s="45">
        <v>9.9</v>
      </c>
      <c r="D4218" s="2"/>
      <c r="E4218" s="31"/>
      <c r="G4218" s="43"/>
      <c r="H4218" s="2"/>
    </row>
    <row r="4219" spans="1:8">
      <c r="A4219" s="39">
        <v>3.68052794037416</v>
      </c>
      <c r="B4219" s="45">
        <v>7.3</v>
      </c>
      <c r="D4219" s="2"/>
      <c r="E4219" s="31"/>
      <c r="G4219" s="43"/>
      <c r="H4219" s="2"/>
    </row>
    <row r="4220" spans="1:8">
      <c r="A4220" s="39">
        <v>3.68035647390298</v>
      </c>
      <c r="B4220" s="45">
        <v>9</v>
      </c>
      <c r="D4220" s="2"/>
      <c r="E4220" s="31"/>
      <c r="G4220" s="43"/>
      <c r="H4220" s="2"/>
    </row>
    <row r="4221" spans="1:8">
      <c r="A4221" s="39">
        <v>3.68035647390298</v>
      </c>
      <c r="B4221" s="45">
        <v>6.5</v>
      </c>
      <c r="D4221" s="2"/>
      <c r="E4221" s="31"/>
      <c r="G4221" s="43"/>
      <c r="H4221" s="2"/>
    </row>
    <row r="4222" spans="1:8">
      <c r="A4222" s="39">
        <v>3.67965561173352</v>
      </c>
      <c r="B4222" s="45">
        <v>24</v>
      </c>
      <c r="D4222" s="2"/>
      <c r="E4222" s="31"/>
      <c r="G4222" s="43"/>
      <c r="H4222" s="2"/>
    </row>
    <row r="4223" spans="1:8">
      <c r="A4223" s="39">
        <v>3.67927761030777</v>
      </c>
      <c r="B4223" s="45">
        <v>12.2</v>
      </c>
      <c r="D4223" s="2"/>
      <c r="E4223" s="31"/>
      <c r="G4223" s="43"/>
      <c r="H4223" s="2"/>
    </row>
    <row r="4224" spans="1:8">
      <c r="A4224" s="39">
        <v>3.67885216673336</v>
      </c>
      <c r="B4224" s="45">
        <v>17</v>
      </c>
      <c r="D4224" s="2"/>
      <c r="E4224" s="31"/>
      <c r="G4224" s="43"/>
      <c r="H4224" s="2"/>
    </row>
    <row r="4225" spans="1:8">
      <c r="A4225" s="39">
        <v>3.67824608873237</v>
      </c>
      <c r="B4225" s="45">
        <v>9.5</v>
      </c>
      <c r="D4225" s="2"/>
      <c r="E4225" s="31"/>
      <c r="G4225" s="43"/>
      <c r="H4225" s="2"/>
    </row>
    <row r="4226" spans="1:8">
      <c r="A4226" s="39">
        <v>3.67769487162069</v>
      </c>
      <c r="B4226" s="45">
        <v>11.7</v>
      </c>
      <c r="D4226" s="2"/>
      <c r="E4226" s="31"/>
      <c r="G4226" s="43"/>
      <c r="H4226" s="2"/>
    </row>
    <row r="4227" spans="1:8">
      <c r="A4227" s="39">
        <v>3.67764502031643</v>
      </c>
      <c r="B4227" s="45">
        <v>3</v>
      </c>
      <c r="D4227" s="2"/>
      <c r="E4227" s="31"/>
      <c r="G4227" s="43"/>
      <c r="H4227" s="2"/>
    </row>
    <row r="4228" spans="1:8">
      <c r="A4228" s="39">
        <v>3.67764502031643</v>
      </c>
      <c r="B4228" s="45">
        <v>2.7</v>
      </c>
      <c r="D4228" s="2"/>
      <c r="E4228" s="31"/>
      <c r="G4228" s="43"/>
      <c r="H4228" s="2"/>
    </row>
    <row r="4229" spans="1:8">
      <c r="A4229" s="39">
        <v>3.67761862270424</v>
      </c>
      <c r="B4229" s="45">
        <v>5.4</v>
      </c>
      <c r="D4229" s="2"/>
      <c r="E4229" s="31"/>
      <c r="G4229" s="43"/>
      <c r="H4229" s="2"/>
    </row>
    <row r="4230" spans="1:8">
      <c r="A4230" s="39">
        <v>3.67761862270424</v>
      </c>
      <c r="B4230" s="45">
        <v>7.8</v>
      </c>
      <c r="D4230" s="2"/>
      <c r="E4230" s="31"/>
      <c r="G4230" s="43"/>
      <c r="H4230" s="2"/>
    </row>
    <row r="4231" spans="1:8">
      <c r="A4231" s="39">
        <v>3.67761862270424</v>
      </c>
      <c r="B4231" s="45">
        <v>4</v>
      </c>
      <c r="D4231" s="2"/>
      <c r="E4231" s="31"/>
      <c r="G4231" s="43"/>
      <c r="H4231" s="2"/>
    </row>
    <row r="4232" spans="1:8">
      <c r="A4232" s="39">
        <v>3.6775594819868</v>
      </c>
      <c r="B4232" s="45">
        <v>8.8</v>
      </c>
      <c r="D4232" s="2"/>
      <c r="E4232" s="31"/>
      <c r="G4232" s="43"/>
      <c r="H4232" s="2"/>
    </row>
    <row r="4233" spans="1:8">
      <c r="A4233" s="39">
        <v>3.67709719442727</v>
      </c>
      <c r="B4233" s="45">
        <v>11</v>
      </c>
      <c r="D4233" s="2"/>
      <c r="E4233" s="31"/>
      <c r="G4233" s="43"/>
      <c r="H4233" s="2"/>
    </row>
    <row r="4234" spans="1:8">
      <c r="A4234" s="39">
        <v>3.67681514321989</v>
      </c>
      <c r="B4234" s="45">
        <v>8.7</v>
      </c>
      <c r="D4234" s="2"/>
      <c r="E4234" s="31"/>
      <c r="G4234" s="43"/>
      <c r="H4234" s="2"/>
    </row>
    <row r="4235" spans="1:8">
      <c r="A4235" s="39">
        <v>3.67672521872225</v>
      </c>
      <c r="B4235" s="45">
        <v>8.8</v>
      </c>
      <c r="D4235" s="2"/>
      <c r="E4235" s="31"/>
      <c r="G4235" s="43"/>
      <c r="H4235" s="2"/>
    </row>
    <row r="4236" spans="1:8">
      <c r="A4236" s="39">
        <v>3.67655125903024</v>
      </c>
      <c r="B4236" s="45">
        <v>5.3</v>
      </c>
      <c r="D4236" s="2"/>
      <c r="E4236" s="31"/>
      <c r="G4236" s="43"/>
      <c r="H4236" s="2"/>
    </row>
    <row r="4237" spans="1:8">
      <c r="A4237" s="39">
        <v>3.67610388749562</v>
      </c>
      <c r="B4237" s="45">
        <v>13.2</v>
      </c>
      <c r="D4237" s="2"/>
      <c r="E4237" s="31"/>
      <c r="G4237" s="43"/>
      <c r="H4237" s="2"/>
    </row>
    <row r="4238" spans="1:8">
      <c r="A4238" s="39">
        <v>3.67498594244961</v>
      </c>
      <c r="B4238" s="45">
        <v>9.5</v>
      </c>
      <c r="D4238" s="2"/>
      <c r="E4238" s="31"/>
      <c r="G4238" s="43"/>
      <c r="H4238" s="2"/>
    </row>
    <row r="4239" spans="1:8">
      <c r="A4239" s="39">
        <v>3.67498594244961</v>
      </c>
      <c r="B4239" s="45">
        <v>20.5</v>
      </c>
      <c r="D4239" s="2"/>
      <c r="E4239" s="31"/>
      <c r="G4239" s="43"/>
      <c r="H4239" s="2"/>
    </row>
    <row r="4240" spans="1:8">
      <c r="A4240" s="39">
        <v>3.67498594244961</v>
      </c>
      <c r="B4240" s="45">
        <v>22</v>
      </c>
      <c r="D4240" s="2"/>
      <c r="E4240" s="31"/>
      <c r="G4240" s="43"/>
      <c r="H4240" s="2"/>
    </row>
    <row r="4241" spans="1:8">
      <c r="A4241" s="39">
        <v>3.67498594244961</v>
      </c>
      <c r="B4241" s="45">
        <v>22</v>
      </c>
      <c r="D4241" s="2"/>
      <c r="E4241" s="31"/>
      <c r="G4241" s="43"/>
      <c r="H4241" s="2"/>
    </row>
    <row r="4242" spans="1:8">
      <c r="A4242" s="39">
        <v>3.67487958123765</v>
      </c>
      <c r="B4242" s="45">
        <v>9.2</v>
      </c>
      <c r="D4242" s="2"/>
      <c r="E4242" s="31"/>
      <c r="G4242" s="43"/>
      <c r="H4242" s="2"/>
    </row>
    <row r="4243" spans="1:8">
      <c r="A4243" s="39">
        <v>3.6742062797387</v>
      </c>
      <c r="B4243" s="45">
        <v>3</v>
      </c>
      <c r="D4243" s="2"/>
      <c r="E4243" s="31"/>
      <c r="G4243" s="43"/>
      <c r="H4243" s="2"/>
    </row>
    <row r="4244" spans="1:8">
      <c r="A4244" s="39">
        <v>3.67351184590614</v>
      </c>
      <c r="B4244" s="45">
        <v>4</v>
      </c>
      <c r="D4244" s="2"/>
      <c r="E4244" s="31"/>
      <c r="G4244" s="43"/>
      <c r="H4244" s="2"/>
    </row>
    <row r="4245" spans="1:8">
      <c r="A4245" s="39">
        <v>3.67328030595281</v>
      </c>
      <c r="B4245" s="45">
        <v>3.3</v>
      </c>
      <c r="D4245" s="2"/>
      <c r="E4245" s="31"/>
      <c r="G4245" s="43"/>
      <c r="H4245" s="2"/>
    </row>
    <row r="4246" spans="1:8">
      <c r="A4246" s="39">
        <v>3.6732407726544</v>
      </c>
      <c r="B4246" s="45">
        <v>19.2</v>
      </c>
      <c r="D4246" s="2"/>
      <c r="E4246" s="31"/>
      <c r="G4246" s="43"/>
      <c r="H4246" s="2"/>
    </row>
    <row r="4247" spans="1:8">
      <c r="A4247" s="39">
        <v>3.67246490126764</v>
      </c>
      <c r="B4247" s="45">
        <v>12.3</v>
      </c>
      <c r="D4247" s="2"/>
      <c r="E4247" s="31"/>
      <c r="G4247" s="43"/>
      <c r="H4247" s="2"/>
    </row>
    <row r="4248" spans="1:8">
      <c r="A4248" s="39">
        <v>3.67246256768345</v>
      </c>
      <c r="B4248" s="45">
        <v>3</v>
      </c>
      <c r="D4248" s="2"/>
      <c r="E4248" s="31"/>
      <c r="G4248" s="43"/>
      <c r="H4248" s="2"/>
    </row>
    <row r="4249" spans="1:8">
      <c r="A4249" s="39">
        <v>3.67246256768345</v>
      </c>
      <c r="B4249" s="45">
        <v>9</v>
      </c>
      <c r="D4249" s="2"/>
      <c r="E4249" s="31"/>
      <c r="G4249" s="43"/>
      <c r="H4249" s="2"/>
    </row>
    <row r="4250" spans="1:8">
      <c r="A4250" s="39">
        <v>3.67157739479993</v>
      </c>
      <c r="B4250" s="45">
        <v>16.8</v>
      </c>
      <c r="D4250" s="2"/>
      <c r="E4250" s="31"/>
      <c r="G4250" s="43"/>
      <c r="H4250" s="2"/>
    </row>
    <row r="4251" spans="1:8">
      <c r="A4251" s="39">
        <v>3.67151307374293</v>
      </c>
      <c r="B4251" s="45">
        <v>7.6</v>
      </c>
      <c r="D4251" s="2"/>
      <c r="E4251" s="31"/>
      <c r="G4251" s="43"/>
      <c r="H4251" s="2"/>
    </row>
    <row r="4252" spans="1:8">
      <c r="A4252" s="39">
        <v>3.67146718915351</v>
      </c>
      <c r="B4252" s="45">
        <v>11.4</v>
      </c>
      <c r="D4252" s="2"/>
      <c r="E4252" s="31"/>
      <c r="G4252" s="43"/>
      <c r="H4252" s="2"/>
    </row>
    <row r="4253" spans="1:8">
      <c r="A4253" s="39">
        <v>3.67115907124461</v>
      </c>
      <c r="B4253" s="45">
        <v>14</v>
      </c>
      <c r="D4253" s="2"/>
      <c r="E4253" s="31"/>
      <c r="G4253" s="43"/>
      <c r="H4253" s="2"/>
    </row>
    <row r="4254" spans="1:8">
      <c r="A4254" s="39">
        <v>3.6707739947074</v>
      </c>
      <c r="B4254" s="45">
        <v>10.5</v>
      </c>
      <c r="D4254" s="2"/>
      <c r="E4254" s="31"/>
      <c r="G4254" s="43"/>
      <c r="H4254" s="2"/>
    </row>
    <row r="4255" spans="1:8">
      <c r="A4255" s="39">
        <v>3.67076343849429</v>
      </c>
      <c r="B4255" s="45">
        <v>10</v>
      </c>
      <c r="D4255" s="2"/>
      <c r="E4255" s="31"/>
      <c r="G4255" s="43"/>
      <c r="H4255" s="2"/>
    </row>
    <row r="4256" spans="1:8">
      <c r="A4256" s="39">
        <v>3.67076343849429</v>
      </c>
      <c r="B4256" s="45">
        <v>21</v>
      </c>
      <c r="D4256" s="2"/>
      <c r="E4256" s="31"/>
      <c r="G4256" s="43"/>
      <c r="H4256" s="2"/>
    </row>
    <row r="4257" spans="1:8">
      <c r="A4257" s="39">
        <v>3.67076343849429</v>
      </c>
      <c r="B4257" s="45">
        <v>7.5</v>
      </c>
      <c r="D4257" s="2"/>
      <c r="E4257" s="31"/>
      <c r="G4257" s="43"/>
      <c r="H4257" s="2"/>
    </row>
    <row r="4258" spans="1:8">
      <c r="A4258" s="39">
        <v>3.670505491207</v>
      </c>
      <c r="B4258" s="45">
        <v>23</v>
      </c>
      <c r="D4258" s="2"/>
      <c r="E4258" s="31"/>
      <c r="G4258" s="43"/>
      <c r="H4258" s="2"/>
    </row>
    <row r="4259" spans="1:8">
      <c r="A4259" s="39">
        <v>3.67005968783507</v>
      </c>
      <c r="B4259" s="45">
        <v>5.5</v>
      </c>
      <c r="D4259" s="2"/>
      <c r="E4259" s="31"/>
      <c r="G4259" s="43"/>
      <c r="H4259" s="2"/>
    </row>
    <row r="4260" spans="1:8">
      <c r="A4260" s="39">
        <v>3.6698519111694</v>
      </c>
      <c r="B4260" s="45">
        <v>6.5</v>
      </c>
      <c r="D4260" s="2"/>
      <c r="E4260" s="31"/>
      <c r="G4260" s="43"/>
      <c r="H4260" s="2"/>
    </row>
    <row r="4261" spans="1:8">
      <c r="A4261" s="39">
        <v>3.6697795229688</v>
      </c>
      <c r="B4261" s="45">
        <v>9.9</v>
      </c>
      <c r="D4261" s="2"/>
      <c r="E4261" s="31"/>
      <c r="G4261" s="43"/>
      <c r="H4261" s="2"/>
    </row>
    <row r="4262" spans="1:8">
      <c r="A4262" s="39">
        <v>3.66949316924609</v>
      </c>
      <c r="B4262" s="45">
        <v>16.8</v>
      </c>
      <c r="D4262" s="2"/>
      <c r="E4262" s="31"/>
      <c r="G4262" s="43"/>
      <c r="H4262" s="2"/>
    </row>
    <row r="4263" spans="1:8">
      <c r="A4263" s="39">
        <v>3.66866748602656</v>
      </c>
      <c r="B4263" s="45">
        <v>11.9</v>
      </c>
      <c r="D4263" s="2"/>
      <c r="E4263" s="31"/>
      <c r="G4263" s="43"/>
      <c r="H4263" s="2"/>
    </row>
    <row r="4264" spans="1:8">
      <c r="A4264" s="39">
        <v>3.66865218651662</v>
      </c>
      <c r="B4264" s="45">
        <v>12</v>
      </c>
      <c r="D4264" s="2"/>
      <c r="E4264" s="31"/>
      <c r="G4264" s="43"/>
      <c r="H4264" s="2"/>
    </row>
    <row r="4265" spans="1:8">
      <c r="A4265" s="39">
        <v>3.66854475109418</v>
      </c>
      <c r="B4265" s="45">
        <v>16.5</v>
      </c>
      <c r="D4265" s="2"/>
      <c r="E4265" s="31"/>
      <c r="G4265" s="43"/>
      <c r="H4265" s="2"/>
    </row>
    <row r="4266" spans="1:8">
      <c r="A4266" s="39">
        <v>3.66854475109418</v>
      </c>
      <c r="B4266" s="45">
        <v>12.5</v>
      </c>
      <c r="D4266" s="2"/>
      <c r="E4266" s="31"/>
      <c r="G4266" s="43"/>
      <c r="H4266" s="2"/>
    </row>
    <row r="4267" spans="1:8">
      <c r="A4267" s="39">
        <v>3.66837387633667</v>
      </c>
      <c r="B4267" s="45">
        <v>3.3</v>
      </c>
      <c r="D4267" s="2"/>
      <c r="E4267" s="31"/>
      <c r="G4267" s="43"/>
      <c r="H4267" s="2"/>
    </row>
    <row r="4268" spans="1:8">
      <c r="A4268" s="39">
        <v>3.66814656624821</v>
      </c>
      <c r="B4268" s="45">
        <v>11.9</v>
      </c>
      <c r="D4268" s="2"/>
      <c r="E4268" s="31"/>
      <c r="G4268" s="43"/>
      <c r="H4268" s="2"/>
    </row>
    <row r="4269" spans="1:8">
      <c r="A4269" s="39">
        <v>3.66803528679065</v>
      </c>
      <c r="B4269" s="45">
        <v>2.2</v>
      </c>
      <c r="D4269" s="2"/>
      <c r="E4269" s="31"/>
      <c r="G4269" s="43"/>
      <c r="H4269" s="2"/>
    </row>
    <row r="4270" spans="1:8">
      <c r="A4270" s="39">
        <v>3.66803528679065</v>
      </c>
      <c r="B4270" s="45">
        <v>3</v>
      </c>
      <c r="D4270" s="44"/>
      <c r="E4270" s="31"/>
      <c r="G4270" s="43"/>
      <c r="H4270" s="2"/>
    </row>
    <row r="4271" spans="1:8">
      <c r="A4271" s="39">
        <v>3.6679484358574</v>
      </c>
      <c r="B4271" s="45">
        <v>11.3</v>
      </c>
      <c r="D4271" s="2"/>
      <c r="E4271" s="31"/>
      <c r="G4271" s="43"/>
      <c r="H4271" s="2"/>
    </row>
    <row r="4272" spans="1:8">
      <c r="A4272" s="39">
        <v>3.66777244474075</v>
      </c>
      <c r="B4272" s="45">
        <v>7.6</v>
      </c>
      <c r="D4272" s="2"/>
      <c r="E4272" s="31"/>
      <c r="G4272" s="43"/>
      <c r="H4272" s="2"/>
    </row>
    <row r="4273" spans="1:8">
      <c r="A4273" s="39">
        <v>3.66724468519818</v>
      </c>
      <c r="B4273" s="45">
        <v>9</v>
      </c>
      <c r="D4273" s="2"/>
      <c r="E4273" s="31"/>
      <c r="G4273" s="43"/>
      <c r="H4273" s="2"/>
    </row>
    <row r="4274" spans="1:8">
      <c r="A4274" s="39">
        <v>3.66721253163988</v>
      </c>
      <c r="B4274" s="45">
        <v>20.5</v>
      </c>
      <c r="D4274" s="2"/>
      <c r="E4274" s="31"/>
      <c r="G4274" s="43"/>
      <c r="H4274" s="2"/>
    </row>
    <row r="4275" spans="1:8">
      <c r="A4275" s="39">
        <v>3.66717041077333</v>
      </c>
      <c r="B4275" s="45">
        <v>3.1</v>
      </c>
      <c r="D4275" s="2"/>
      <c r="E4275" s="31"/>
      <c r="G4275" s="43"/>
      <c r="H4275" s="2"/>
    </row>
    <row r="4276" spans="1:8">
      <c r="A4276" s="39">
        <v>3.66696527486836</v>
      </c>
      <c r="B4276" s="45">
        <v>8.5</v>
      </c>
      <c r="D4276" s="2"/>
      <c r="E4276" s="31"/>
      <c r="G4276" s="43"/>
      <c r="H4276" s="2"/>
    </row>
    <row r="4277" spans="1:8">
      <c r="A4277" s="39">
        <v>3.66626171284325</v>
      </c>
      <c r="B4277" s="45">
        <v>18</v>
      </c>
      <c r="D4277" s="2"/>
      <c r="E4277" s="31"/>
      <c r="G4277" s="43"/>
      <c r="H4277" s="2"/>
    </row>
    <row r="4278" spans="1:8">
      <c r="A4278" s="39">
        <v>3.66626171284325</v>
      </c>
      <c r="B4278" s="45">
        <v>10.5</v>
      </c>
      <c r="D4278" s="2"/>
      <c r="E4278" s="31"/>
      <c r="G4278" s="43"/>
      <c r="H4278" s="2"/>
    </row>
    <row r="4279" spans="1:8">
      <c r="A4279" s="39">
        <v>3.6661373296941</v>
      </c>
      <c r="B4279" s="45">
        <v>4.3</v>
      </c>
      <c r="D4279" s="2"/>
      <c r="E4279" s="31"/>
      <c r="G4279" s="43"/>
      <c r="H4279" s="2"/>
    </row>
    <row r="4280" spans="1:8">
      <c r="A4280" s="39">
        <v>3.66604539405958</v>
      </c>
      <c r="B4280" s="45">
        <v>6.1</v>
      </c>
      <c r="D4280" s="2"/>
      <c r="E4280" s="31"/>
      <c r="G4280" s="43"/>
      <c r="H4280" s="2"/>
    </row>
    <row r="4281" spans="1:8">
      <c r="A4281" s="39">
        <v>3.66593043094375</v>
      </c>
      <c r="B4281" s="45">
        <v>12.3</v>
      </c>
      <c r="D4281" s="2"/>
      <c r="E4281" s="31"/>
      <c r="G4281" s="43"/>
      <c r="H4281" s="2"/>
    </row>
    <row r="4282" spans="1:8">
      <c r="A4282" s="39">
        <v>3.6659206615286</v>
      </c>
      <c r="B4282" s="45">
        <v>9.4</v>
      </c>
      <c r="D4282" s="2"/>
      <c r="E4282" s="31"/>
      <c r="G4282" s="43"/>
      <c r="H4282" s="2"/>
    </row>
    <row r="4283" spans="1:8">
      <c r="A4283" s="39">
        <v>3.6659147260573</v>
      </c>
      <c r="B4283" s="45">
        <v>0</v>
      </c>
      <c r="D4283" s="2"/>
      <c r="E4283" s="31"/>
      <c r="G4283" s="43"/>
      <c r="H4283" s="2"/>
    </row>
    <row r="4284" spans="1:8">
      <c r="A4284" s="39">
        <v>3.66510292325924</v>
      </c>
      <c r="B4284" s="45">
        <v>10.7</v>
      </c>
      <c r="D4284" s="2"/>
      <c r="E4284" s="31"/>
      <c r="G4284" s="43"/>
      <c r="H4284" s="2"/>
    </row>
    <row r="4285" spans="1:8">
      <c r="A4285" s="39">
        <v>3.66510292325924</v>
      </c>
      <c r="B4285" s="45">
        <v>4.3</v>
      </c>
      <c r="D4285" s="2"/>
      <c r="E4285" s="31"/>
      <c r="G4285" s="43"/>
      <c r="H4285" s="2"/>
    </row>
    <row r="4286" spans="1:8">
      <c r="A4286" s="39">
        <v>3.66503010005985</v>
      </c>
      <c r="B4286" s="45">
        <v>11.8</v>
      </c>
      <c r="D4286" s="2"/>
      <c r="E4286" s="31"/>
      <c r="G4286" s="43"/>
      <c r="H4286" s="2"/>
    </row>
    <row r="4287" spans="1:8">
      <c r="A4287" s="39">
        <v>3.66503010005985</v>
      </c>
      <c r="B4287" s="45">
        <v>15.7</v>
      </c>
      <c r="D4287" s="2"/>
      <c r="E4287" s="31"/>
      <c r="G4287" s="43"/>
      <c r="H4287" s="2"/>
    </row>
    <row r="4288" spans="1:8">
      <c r="A4288" s="39">
        <v>3.66462327086853</v>
      </c>
      <c r="B4288" s="45">
        <v>12.8</v>
      </c>
      <c r="D4288" s="2"/>
      <c r="E4288" s="31"/>
      <c r="G4288" s="43"/>
      <c r="H4288" s="2"/>
    </row>
    <row r="4289" spans="1:8">
      <c r="A4289" s="39">
        <v>3.66428518498988</v>
      </c>
      <c r="B4289" s="45">
        <v>3.4</v>
      </c>
      <c r="D4289" s="2"/>
      <c r="E4289" s="31"/>
      <c r="G4289" s="43"/>
      <c r="H4289" s="2"/>
    </row>
    <row r="4290" spans="1:8">
      <c r="A4290" s="39">
        <v>3.66424654941088</v>
      </c>
      <c r="B4290" s="45">
        <v>1</v>
      </c>
      <c r="D4290" s="2"/>
      <c r="E4290" s="31"/>
      <c r="G4290" s="43"/>
      <c r="H4290" s="2"/>
    </row>
    <row r="4291" spans="1:8">
      <c r="A4291" s="39">
        <v>3.66392936671056</v>
      </c>
      <c r="B4291" s="45">
        <v>6.9</v>
      </c>
      <c r="D4291" s="2"/>
      <c r="E4291" s="31"/>
      <c r="G4291" s="43"/>
      <c r="H4291" s="2"/>
    </row>
    <row r="4292" spans="1:8">
      <c r="A4292" s="39">
        <v>3.66372593190208</v>
      </c>
      <c r="B4292" s="45">
        <v>4.3</v>
      </c>
      <c r="D4292" s="2"/>
      <c r="E4292" s="31"/>
      <c r="G4292" s="43"/>
      <c r="H4292" s="2"/>
    </row>
    <row r="4293" spans="1:8">
      <c r="A4293" s="39">
        <v>3.66298932077451</v>
      </c>
      <c r="B4293" s="45">
        <v>10</v>
      </c>
      <c r="D4293" s="2"/>
      <c r="E4293" s="31"/>
      <c r="G4293" s="43"/>
      <c r="H4293" s="2"/>
    </row>
    <row r="4294" spans="1:8">
      <c r="A4294" s="39">
        <v>3.6620089507181</v>
      </c>
      <c r="B4294" s="45">
        <v>10.5</v>
      </c>
      <c r="D4294" s="2"/>
      <c r="E4294" s="31"/>
      <c r="G4294" s="43"/>
      <c r="H4294" s="2"/>
    </row>
    <row r="4295" spans="1:8">
      <c r="A4295" s="39">
        <v>3.6618759783115</v>
      </c>
      <c r="B4295" s="45">
        <v>15.1</v>
      </c>
      <c r="D4295" s="2"/>
      <c r="E4295" s="31"/>
      <c r="G4295" s="43"/>
      <c r="H4295" s="2"/>
    </row>
    <row r="4296" spans="1:8">
      <c r="A4296" s="39">
        <v>3.66141355125876</v>
      </c>
      <c r="B4296" s="45">
        <v>17</v>
      </c>
      <c r="D4296" s="2"/>
      <c r="E4296" s="31"/>
      <c r="G4296" s="43"/>
      <c r="H4296" s="2"/>
    </row>
    <row r="4297" spans="1:8">
      <c r="A4297" s="39">
        <v>3.66141355125876</v>
      </c>
      <c r="B4297" s="45">
        <v>22.1</v>
      </c>
      <c r="D4297" s="2"/>
      <c r="E4297" s="31"/>
      <c r="G4297" s="43"/>
      <c r="H4297" s="2"/>
    </row>
    <row r="4298" spans="1:8">
      <c r="A4298" s="39">
        <v>3.66141355125876</v>
      </c>
      <c r="B4298" s="45">
        <v>11.4</v>
      </c>
      <c r="D4298" s="2"/>
      <c r="E4298" s="31"/>
      <c r="G4298" s="43"/>
      <c r="H4298" s="2"/>
    </row>
    <row r="4299" spans="1:8">
      <c r="A4299" s="39">
        <v>3.66141355125876</v>
      </c>
      <c r="B4299" s="45">
        <v>10.4</v>
      </c>
      <c r="D4299" s="2"/>
      <c r="E4299" s="31"/>
      <c r="G4299" s="43"/>
      <c r="H4299" s="2"/>
    </row>
    <row r="4300" spans="1:8">
      <c r="A4300" s="39">
        <v>3.66141355125876</v>
      </c>
      <c r="B4300" s="45">
        <v>1</v>
      </c>
      <c r="D4300" s="2"/>
      <c r="E4300" s="31"/>
      <c r="G4300" s="43"/>
      <c r="H4300" s="2"/>
    </row>
    <row r="4301" spans="1:8">
      <c r="A4301" s="39">
        <v>3.6613084733226</v>
      </c>
      <c r="B4301" s="45">
        <v>1</v>
      </c>
      <c r="D4301" s="2"/>
      <c r="E4301" s="31"/>
      <c r="G4301" s="43"/>
      <c r="H4301" s="2"/>
    </row>
    <row r="4302" spans="1:8">
      <c r="A4302" s="39">
        <v>3.66101423191245</v>
      </c>
      <c r="B4302" s="45">
        <v>9</v>
      </c>
      <c r="D4302" s="2"/>
      <c r="E4302" s="31"/>
      <c r="G4302" s="43"/>
      <c r="H4302" s="2"/>
    </row>
    <row r="4303" spans="1:8">
      <c r="A4303" s="39">
        <v>3.6609109292652</v>
      </c>
      <c r="B4303" s="45">
        <v>22.5</v>
      </c>
      <c r="D4303" s="2"/>
      <c r="E4303" s="31"/>
      <c r="G4303" s="43"/>
      <c r="H4303" s="2"/>
    </row>
    <row r="4304" spans="1:8">
      <c r="A4304" s="39">
        <v>3.66064886011347</v>
      </c>
      <c r="B4304" s="45">
        <v>8.7</v>
      </c>
      <c r="D4304" s="2"/>
      <c r="E4304" s="31"/>
      <c r="G4304" s="43"/>
      <c r="H4304" s="2"/>
    </row>
    <row r="4305" spans="1:8">
      <c r="A4305" s="39">
        <v>3.66063321664238</v>
      </c>
      <c r="B4305" s="45">
        <v>10.4</v>
      </c>
      <c r="D4305" s="2"/>
      <c r="E4305" s="31"/>
      <c r="G4305" s="43"/>
      <c r="H4305" s="2"/>
    </row>
    <row r="4306" spans="1:8">
      <c r="A4306" s="39">
        <v>3.66061022555556</v>
      </c>
      <c r="B4306" s="45">
        <v>13</v>
      </c>
      <c r="D4306" s="2"/>
      <c r="E4306" s="31"/>
      <c r="G4306" s="43"/>
      <c r="H4306" s="2"/>
    </row>
    <row r="4307" spans="1:8">
      <c r="A4307" s="39">
        <v>3.66020717860598</v>
      </c>
      <c r="B4307" s="45">
        <v>11.4</v>
      </c>
      <c r="D4307" s="2"/>
      <c r="E4307" s="31"/>
      <c r="G4307" s="43"/>
      <c r="H4307" s="2"/>
    </row>
    <row r="4308" spans="1:8">
      <c r="A4308" s="39">
        <v>3.66004821060527</v>
      </c>
      <c r="B4308" s="45">
        <v>9.2</v>
      </c>
      <c r="D4308" s="2"/>
      <c r="E4308" s="31"/>
      <c r="G4308" s="43"/>
      <c r="H4308" s="2"/>
    </row>
    <row r="4309" spans="1:8">
      <c r="A4309" s="39">
        <v>3.66004821060527</v>
      </c>
      <c r="B4309" s="45">
        <v>9</v>
      </c>
      <c r="D4309" s="2"/>
      <c r="E4309" s="31"/>
      <c r="G4309" s="43"/>
      <c r="H4309" s="2"/>
    </row>
    <row r="4310" spans="1:8">
      <c r="A4310" s="39">
        <v>3.65993775970645</v>
      </c>
      <c r="B4310" s="45">
        <v>27</v>
      </c>
      <c r="D4310" s="2"/>
      <c r="E4310" s="31"/>
      <c r="G4310" s="43"/>
      <c r="H4310" s="2"/>
    </row>
    <row r="4311" spans="1:8">
      <c r="A4311" s="39">
        <v>3.65992965461727</v>
      </c>
      <c r="B4311" s="45">
        <v>8.7</v>
      </c>
      <c r="D4311" s="2"/>
      <c r="E4311" s="31"/>
      <c r="G4311" s="43"/>
      <c r="H4311" s="2"/>
    </row>
    <row r="4312" spans="1:8">
      <c r="A4312" s="39">
        <v>3.65939364676193</v>
      </c>
      <c r="B4312" s="45">
        <v>9</v>
      </c>
      <c r="D4312" s="2"/>
      <c r="E4312" s="31"/>
      <c r="G4312" s="43"/>
      <c r="H4312" s="2"/>
    </row>
    <row r="4313" spans="1:8">
      <c r="A4313" s="39">
        <v>3.65938652661745</v>
      </c>
      <c r="B4313" s="45">
        <v>7</v>
      </c>
      <c r="D4313" s="2"/>
      <c r="E4313" s="31"/>
      <c r="G4313" s="43"/>
      <c r="H4313" s="2"/>
    </row>
    <row r="4314" spans="1:8">
      <c r="A4314" s="39">
        <v>3.65938652661745</v>
      </c>
      <c r="B4314" s="45">
        <v>3</v>
      </c>
      <c r="D4314" s="2"/>
      <c r="E4314" s="31"/>
      <c r="G4314" s="43"/>
      <c r="H4314" s="2"/>
    </row>
    <row r="4315" spans="1:8">
      <c r="A4315" s="39">
        <v>3.65863675360136</v>
      </c>
      <c r="B4315" s="45">
        <v>9.4</v>
      </c>
      <c r="D4315" s="2"/>
      <c r="E4315" s="31"/>
      <c r="G4315" s="43"/>
      <c r="H4315" s="2"/>
    </row>
    <row r="4316" spans="1:8">
      <c r="A4316" s="39">
        <v>3.65848280531977</v>
      </c>
      <c r="B4316" s="45">
        <v>7.2</v>
      </c>
      <c r="D4316" s="2"/>
      <c r="E4316" s="31"/>
      <c r="G4316" s="43"/>
      <c r="H4316" s="2"/>
    </row>
    <row r="4317" spans="1:8">
      <c r="A4317" s="39">
        <v>3.65848280531977</v>
      </c>
      <c r="B4317" s="45">
        <v>7.9</v>
      </c>
      <c r="D4317" s="2"/>
      <c r="E4317" s="31"/>
      <c r="G4317" s="43"/>
      <c r="H4317" s="2"/>
    </row>
    <row r="4318" spans="1:8">
      <c r="A4318" s="39">
        <v>3.6584615598</v>
      </c>
      <c r="B4318" s="45">
        <v>12.4</v>
      </c>
      <c r="D4318" s="2"/>
      <c r="E4318" s="31"/>
      <c r="G4318" s="43"/>
      <c r="H4318" s="2"/>
    </row>
    <row r="4319" spans="1:8">
      <c r="A4319" s="39">
        <v>3.65790895635576</v>
      </c>
      <c r="B4319" s="45">
        <v>16.2</v>
      </c>
      <c r="D4319" s="2"/>
      <c r="E4319" s="31"/>
      <c r="G4319" s="43"/>
      <c r="H4319" s="2"/>
    </row>
    <row r="4320" spans="1:8">
      <c r="A4320" s="39">
        <v>3.65790895635576</v>
      </c>
      <c r="B4320" s="45">
        <v>12.4</v>
      </c>
      <c r="D4320" s="2"/>
      <c r="E4320" s="31"/>
      <c r="G4320" s="43"/>
      <c r="H4320" s="2"/>
    </row>
    <row r="4321" spans="1:8">
      <c r="A4321" s="39">
        <v>3.65774327883502</v>
      </c>
      <c r="B4321" s="45">
        <v>7.6</v>
      </c>
      <c r="D4321" s="2"/>
      <c r="E4321" s="31"/>
      <c r="G4321" s="43"/>
      <c r="H4321" s="2"/>
    </row>
    <row r="4322" spans="1:8">
      <c r="A4322" s="39">
        <v>3.6573737422651</v>
      </c>
      <c r="B4322" s="45">
        <v>14.5</v>
      </c>
      <c r="D4322" s="2"/>
      <c r="E4322" s="31"/>
      <c r="G4322" s="43"/>
      <c r="H4322" s="2"/>
    </row>
    <row r="4323" spans="1:8">
      <c r="A4323" s="39">
        <v>3.65702911596296</v>
      </c>
      <c r="B4323" s="45">
        <v>6</v>
      </c>
      <c r="D4323" s="2"/>
      <c r="E4323" s="31"/>
      <c r="G4323" s="43"/>
      <c r="H4323" s="2"/>
    </row>
    <row r="4324" spans="1:8">
      <c r="A4324" s="39">
        <v>3.65678031041724</v>
      </c>
      <c r="B4324" s="45">
        <v>4.2</v>
      </c>
      <c r="D4324" s="2"/>
      <c r="E4324" s="31"/>
      <c r="G4324" s="43"/>
      <c r="H4324" s="2"/>
    </row>
    <row r="4325" spans="1:8">
      <c r="A4325" s="39">
        <v>3.65670044076615</v>
      </c>
      <c r="B4325" s="45">
        <v>3</v>
      </c>
      <c r="D4325" s="2"/>
      <c r="E4325" s="31"/>
      <c r="G4325" s="43"/>
      <c r="H4325" s="2"/>
    </row>
    <row r="4326" spans="1:8">
      <c r="A4326" s="39">
        <v>3.65668842530988</v>
      </c>
      <c r="B4326" s="45">
        <v>11.3</v>
      </c>
      <c r="D4326" s="2"/>
      <c r="E4326" s="31"/>
      <c r="G4326" s="43"/>
      <c r="H4326" s="2"/>
    </row>
    <row r="4327" spans="1:8">
      <c r="A4327" s="39">
        <v>3.65650360655971</v>
      </c>
      <c r="B4327" s="45">
        <v>4.8</v>
      </c>
      <c r="D4327" s="2"/>
      <c r="E4327" s="31"/>
      <c r="G4327" s="43"/>
      <c r="H4327" s="2"/>
    </row>
    <row r="4328" spans="1:8">
      <c r="A4328" s="39">
        <v>3.65640027591403</v>
      </c>
      <c r="B4328" s="45">
        <v>4</v>
      </c>
      <c r="D4328" s="2"/>
      <c r="E4328" s="31"/>
      <c r="G4328" s="43"/>
      <c r="H4328" s="2"/>
    </row>
    <row r="4329" spans="1:8">
      <c r="A4329" s="39">
        <v>3.65631289404443</v>
      </c>
      <c r="B4329" s="45">
        <v>10.3</v>
      </c>
      <c r="D4329" s="2"/>
      <c r="E4329" s="31"/>
      <c r="G4329" s="43"/>
      <c r="H4329" s="2"/>
    </row>
    <row r="4330" spans="1:8">
      <c r="A4330" s="39">
        <v>3.65610780229631</v>
      </c>
      <c r="B4330" s="45">
        <v>11</v>
      </c>
      <c r="D4330" s="2"/>
      <c r="E4330" s="31"/>
      <c r="G4330" s="43"/>
      <c r="H4330" s="2"/>
    </row>
    <row r="4331" spans="1:8">
      <c r="A4331" s="39">
        <v>3.65570828246661</v>
      </c>
      <c r="B4331" s="45">
        <v>6</v>
      </c>
      <c r="D4331" s="2"/>
      <c r="E4331" s="31"/>
      <c r="G4331" s="43"/>
      <c r="H4331" s="2"/>
    </row>
    <row r="4332" spans="1:8">
      <c r="A4332" s="39">
        <v>3.6555728965464</v>
      </c>
      <c r="B4332" s="45">
        <v>5.7</v>
      </c>
      <c r="D4332" s="2"/>
      <c r="E4332" s="31"/>
      <c r="G4332" s="43"/>
      <c r="H4332" s="2"/>
    </row>
    <row r="4333" spans="1:8">
      <c r="A4333" s="39">
        <v>3.65481957030441</v>
      </c>
      <c r="B4333" s="45">
        <v>24</v>
      </c>
      <c r="D4333" s="2"/>
      <c r="E4333" s="31"/>
      <c r="G4333" s="43"/>
      <c r="H4333" s="2"/>
    </row>
    <row r="4334" spans="1:8">
      <c r="A4334" s="39">
        <v>3.65468053626932</v>
      </c>
      <c r="B4334" s="45">
        <v>12</v>
      </c>
      <c r="D4334" s="2"/>
      <c r="E4334" s="31"/>
      <c r="G4334" s="43"/>
      <c r="H4334" s="2"/>
    </row>
    <row r="4335" spans="1:8">
      <c r="A4335" s="39">
        <v>3.65468053626932</v>
      </c>
      <c r="B4335" s="45">
        <v>9.7</v>
      </c>
      <c r="D4335" s="2"/>
      <c r="E4335" s="31"/>
      <c r="G4335" s="43"/>
      <c r="H4335" s="2"/>
    </row>
    <row r="4336" spans="1:8">
      <c r="A4336" s="39">
        <v>3.65465293942895</v>
      </c>
      <c r="B4336" s="45">
        <v>15</v>
      </c>
      <c r="D4336" s="2"/>
      <c r="E4336" s="31"/>
      <c r="G4336" s="43"/>
      <c r="H4336" s="2"/>
    </row>
    <row r="4337" spans="1:8">
      <c r="A4337" s="39">
        <v>3.65448168075638</v>
      </c>
      <c r="B4337" s="45">
        <v>10.2</v>
      </c>
      <c r="D4337" s="2"/>
      <c r="E4337" s="31"/>
      <c r="G4337" s="43"/>
      <c r="H4337" s="2"/>
    </row>
    <row r="4338" spans="1:8">
      <c r="A4338" s="39">
        <v>3.65434688751497</v>
      </c>
      <c r="B4338" s="45">
        <v>5.4</v>
      </c>
      <c r="D4338" s="2"/>
      <c r="E4338" s="31"/>
      <c r="G4338" s="43"/>
      <c r="H4338" s="2"/>
    </row>
    <row r="4339" spans="1:8">
      <c r="A4339" s="39">
        <v>3.65434688751497</v>
      </c>
      <c r="B4339" s="45">
        <v>5.2</v>
      </c>
      <c r="D4339" s="2"/>
      <c r="E4339" s="31"/>
      <c r="G4339" s="43"/>
      <c r="H4339" s="2"/>
    </row>
    <row r="4340" spans="1:8">
      <c r="A4340" s="39">
        <v>3.65426997012779</v>
      </c>
      <c r="B4340" s="45">
        <v>2</v>
      </c>
      <c r="D4340" s="2"/>
      <c r="E4340" s="31"/>
      <c r="G4340" s="43"/>
      <c r="H4340" s="2"/>
    </row>
    <row r="4341" spans="1:8">
      <c r="A4341" s="39">
        <v>3.65426997012779</v>
      </c>
      <c r="B4341" s="45">
        <v>2</v>
      </c>
      <c r="D4341" s="2"/>
      <c r="E4341" s="31"/>
      <c r="G4341" s="43"/>
      <c r="H4341" s="2"/>
    </row>
    <row r="4342" spans="1:8">
      <c r="A4342" s="39">
        <v>3.65416422828888</v>
      </c>
      <c r="B4342" s="45">
        <v>7</v>
      </c>
      <c r="D4342" s="2"/>
      <c r="E4342" s="31"/>
      <c r="G4342" s="43"/>
      <c r="H4342" s="2"/>
    </row>
    <row r="4343" spans="1:8">
      <c r="A4343" s="39">
        <v>3.65366242471529</v>
      </c>
      <c r="B4343" s="45">
        <v>2.3</v>
      </c>
      <c r="D4343" s="2"/>
      <c r="E4343" s="31"/>
      <c r="G4343" s="43"/>
      <c r="H4343" s="2"/>
    </row>
    <row r="4344" spans="1:8">
      <c r="A4344" s="39">
        <v>3.65344800637036</v>
      </c>
      <c r="B4344" s="45">
        <v>8</v>
      </c>
      <c r="D4344" s="2"/>
      <c r="E4344" s="31"/>
      <c r="G4344" s="43"/>
      <c r="H4344" s="2"/>
    </row>
    <row r="4345" spans="1:8">
      <c r="A4345" s="39">
        <v>3.65344800637036</v>
      </c>
      <c r="B4345" s="45">
        <v>20</v>
      </c>
      <c r="D4345" s="2"/>
      <c r="E4345" s="31"/>
      <c r="G4345" s="43"/>
      <c r="H4345" s="2"/>
    </row>
    <row r="4346" spans="1:8">
      <c r="A4346" s="39">
        <v>3.65333393327143</v>
      </c>
      <c r="B4346" s="45">
        <v>5.9</v>
      </c>
      <c r="D4346" s="2"/>
      <c r="E4346" s="31"/>
      <c r="G4346" s="43"/>
      <c r="H4346" s="2"/>
    </row>
    <row r="4347" spans="1:8">
      <c r="A4347" s="39">
        <v>3.65316967201377</v>
      </c>
      <c r="B4347" s="45">
        <v>8.9</v>
      </c>
      <c r="D4347" s="2"/>
      <c r="E4347" s="31"/>
      <c r="G4347" s="43"/>
      <c r="H4347" s="2"/>
    </row>
    <row r="4348" spans="1:8">
      <c r="A4348" s="39">
        <v>3.65316967201377</v>
      </c>
      <c r="B4348" s="45">
        <v>8</v>
      </c>
      <c r="D4348" s="2"/>
      <c r="E4348" s="31"/>
      <c r="G4348" s="43"/>
      <c r="H4348" s="2"/>
    </row>
    <row r="4349" spans="1:8">
      <c r="A4349" s="39">
        <v>3.65289403436618</v>
      </c>
      <c r="B4349" s="45">
        <v>10</v>
      </c>
      <c r="D4349" s="2"/>
      <c r="E4349" s="31"/>
      <c r="G4349" s="43"/>
      <c r="H4349" s="2"/>
    </row>
    <row r="4350" spans="1:8">
      <c r="A4350" s="39">
        <v>3.65266063177249</v>
      </c>
      <c r="B4350" s="45">
        <v>5.1</v>
      </c>
      <c r="D4350" s="2"/>
      <c r="E4350" s="31"/>
      <c r="G4350" s="43"/>
      <c r="H4350" s="2"/>
    </row>
    <row r="4351" spans="1:8">
      <c r="A4351" s="39">
        <v>3.65219047234107</v>
      </c>
      <c r="B4351" s="45">
        <v>5</v>
      </c>
      <c r="D4351" s="2"/>
      <c r="E4351" s="31"/>
      <c r="G4351" s="43"/>
      <c r="H4351" s="2"/>
    </row>
    <row r="4352" spans="1:8">
      <c r="A4352" s="39">
        <v>3.65201911094952</v>
      </c>
      <c r="B4352" s="45">
        <v>4</v>
      </c>
      <c r="D4352" s="2"/>
      <c r="E4352" s="31"/>
      <c r="G4352" s="43"/>
      <c r="H4352" s="2"/>
    </row>
    <row r="4353" spans="1:8">
      <c r="A4353" s="39">
        <v>3.65169873979682</v>
      </c>
      <c r="B4353" s="45">
        <v>8.6</v>
      </c>
      <c r="D4353" s="2"/>
      <c r="E4353" s="31"/>
      <c r="G4353" s="43"/>
      <c r="H4353" s="2"/>
    </row>
    <row r="4354" spans="1:8">
      <c r="A4354" s="39">
        <v>3.65089809007876</v>
      </c>
      <c r="B4354" s="45">
        <v>11.8</v>
      </c>
      <c r="D4354" s="2"/>
      <c r="E4354" s="31"/>
      <c r="G4354" s="43"/>
      <c r="H4354" s="2"/>
    </row>
    <row r="4355" spans="1:8">
      <c r="A4355" s="39">
        <v>3.65078334829085</v>
      </c>
      <c r="B4355" s="45">
        <v>20</v>
      </c>
      <c r="D4355" s="2"/>
      <c r="E4355" s="31"/>
      <c r="G4355" s="43"/>
      <c r="H4355" s="2"/>
    </row>
    <row r="4356" spans="1:8">
      <c r="A4356" s="39">
        <v>3.6507552145456</v>
      </c>
      <c r="B4356" s="45">
        <v>8</v>
      </c>
      <c r="D4356" s="2"/>
      <c r="E4356" s="31"/>
      <c r="G4356" s="43"/>
      <c r="H4356" s="2"/>
    </row>
    <row r="4357" spans="1:8">
      <c r="A4357" s="39">
        <v>3.65064072727566</v>
      </c>
      <c r="B4357" s="45">
        <v>19</v>
      </c>
      <c r="D4357" s="2"/>
      <c r="E4357" s="31"/>
      <c r="G4357" s="43"/>
      <c r="H4357" s="2"/>
    </row>
    <row r="4358" spans="1:8">
      <c r="A4358" s="39">
        <v>3.65024011071687</v>
      </c>
      <c r="B4358" s="45">
        <v>4.5</v>
      </c>
      <c r="D4358" s="2"/>
      <c r="E4358" s="31"/>
      <c r="G4358" s="43"/>
      <c r="H4358" s="2"/>
    </row>
    <row r="4359" spans="1:8">
      <c r="A4359" s="39">
        <v>3.64965091871767</v>
      </c>
      <c r="B4359" s="45">
        <v>14.1</v>
      </c>
      <c r="D4359" s="2"/>
      <c r="E4359" s="31"/>
      <c r="G4359" s="43"/>
      <c r="H4359" s="2"/>
    </row>
    <row r="4360" spans="1:8">
      <c r="A4360" s="39">
        <v>3.64955564791718</v>
      </c>
      <c r="B4360" s="45">
        <v>3</v>
      </c>
      <c r="D4360" s="2"/>
      <c r="E4360" s="31"/>
      <c r="G4360" s="43"/>
      <c r="H4360" s="2"/>
    </row>
    <row r="4361" spans="1:8">
      <c r="A4361" s="39">
        <v>3.64929412427777</v>
      </c>
      <c r="B4361" s="45">
        <v>16.1</v>
      </c>
      <c r="D4361" s="2"/>
      <c r="E4361" s="31"/>
      <c r="G4361" s="43"/>
      <c r="H4361" s="2"/>
    </row>
    <row r="4362" spans="1:8">
      <c r="A4362" s="39">
        <v>3.64874815787209</v>
      </c>
      <c r="B4362" s="45">
        <v>3.6</v>
      </c>
      <c r="D4362" s="2"/>
      <c r="E4362" s="31"/>
      <c r="G4362" s="43"/>
      <c r="H4362" s="2"/>
    </row>
    <row r="4363" spans="1:8">
      <c r="A4363" s="39">
        <v>3.64862082277882</v>
      </c>
      <c r="B4363" s="45">
        <v>16</v>
      </c>
      <c r="D4363" s="2"/>
      <c r="E4363" s="31"/>
      <c r="G4363" s="43"/>
      <c r="H4363" s="2"/>
    </row>
    <row r="4364" spans="1:8">
      <c r="A4364" s="39">
        <v>3.64844759216304</v>
      </c>
      <c r="B4364" s="45">
        <v>9.2</v>
      </c>
      <c r="D4364" s="2"/>
      <c r="E4364" s="31"/>
      <c r="G4364" s="43"/>
      <c r="H4364" s="2"/>
    </row>
    <row r="4365" spans="1:8">
      <c r="A4365" s="39">
        <v>3.64836591976972</v>
      </c>
      <c r="B4365" s="45">
        <v>1.6</v>
      </c>
      <c r="D4365" s="2"/>
      <c r="E4365" s="31"/>
      <c r="G4365" s="43"/>
      <c r="H4365" s="2"/>
    </row>
    <row r="4366" spans="1:8">
      <c r="A4366" s="39">
        <v>3.64794752127988</v>
      </c>
      <c r="B4366" s="45">
        <v>2</v>
      </c>
      <c r="D4366" s="2"/>
      <c r="E4366" s="31"/>
      <c r="G4366" s="43"/>
      <c r="H4366" s="2"/>
    </row>
    <row r="4367" spans="1:8">
      <c r="A4367" s="39">
        <v>3.64794752127988</v>
      </c>
      <c r="B4367" s="45">
        <v>19</v>
      </c>
      <c r="D4367" s="2"/>
      <c r="E4367" s="31"/>
      <c r="G4367" s="43"/>
      <c r="H4367" s="2"/>
    </row>
    <row r="4368" spans="1:8">
      <c r="A4368" s="39">
        <v>3.64794752127988</v>
      </c>
      <c r="B4368" s="45">
        <v>10.1</v>
      </c>
      <c r="D4368" s="2"/>
      <c r="E4368" s="31"/>
      <c r="G4368" s="43"/>
      <c r="H4368" s="2"/>
    </row>
    <row r="4369" spans="1:8">
      <c r="A4369" s="39">
        <v>3.64793041960274</v>
      </c>
      <c r="B4369" s="45">
        <v>3.9</v>
      </c>
      <c r="D4369" s="2"/>
      <c r="E4369" s="31"/>
      <c r="G4369" s="43"/>
      <c r="H4369" s="2"/>
    </row>
    <row r="4370" spans="1:8">
      <c r="A4370" s="39">
        <v>3.64763018989072</v>
      </c>
      <c r="B4370" s="45">
        <v>4</v>
      </c>
      <c r="D4370" s="2"/>
      <c r="E4370" s="31"/>
      <c r="G4370" s="43"/>
      <c r="H4370" s="2"/>
    </row>
    <row r="4371" spans="1:8">
      <c r="A4371" s="39">
        <v>3.64681779671845</v>
      </c>
      <c r="B4371" s="45">
        <v>8.5</v>
      </c>
      <c r="D4371" s="2"/>
      <c r="E4371" s="31"/>
      <c r="G4371" s="43"/>
      <c r="H4371" s="2"/>
    </row>
    <row r="4372" spans="1:8">
      <c r="A4372" s="39">
        <v>3.64660091828199</v>
      </c>
      <c r="B4372" s="45">
        <v>5.9</v>
      </c>
      <c r="D4372" s="2"/>
      <c r="E4372" s="31"/>
      <c r="G4372" s="43"/>
      <c r="H4372" s="2"/>
    </row>
    <row r="4373" spans="1:8">
      <c r="A4373" s="39">
        <v>3.6465619761402</v>
      </c>
      <c r="B4373" s="45">
        <v>5.1</v>
      </c>
      <c r="D4373" s="2"/>
      <c r="E4373" s="31"/>
      <c r="G4373" s="43"/>
      <c r="H4373" s="2"/>
    </row>
    <row r="4374" spans="1:8">
      <c r="A4374" s="39">
        <v>3.64628578718516</v>
      </c>
      <c r="B4374" s="45">
        <v>7.6</v>
      </c>
      <c r="D4374" s="2"/>
      <c r="E4374" s="31"/>
      <c r="G4374" s="43"/>
      <c r="H4374" s="2"/>
    </row>
    <row r="4375" spans="1:8">
      <c r="A4375" s="39">
        <v>3.64613333391876</v>
      </c>
      <c r="B4375" s="45">
        <v>2.8</v>
      </c>
      <c r="D4375" s="2"/>
      <c r="E4375" s="31"/>
      <c r="G4375" s="43"/>
      <c r="H4375" s="2"/>
    </row>
    <row r="4376" spans="1:8">
      <c r="A4376" s="39">
        <v>3.64613216542157</v>
      </c>
      <c r="B4376" s="45">
        <v>5</v>
      </c>
      <c r="D4376" s="2"/>
      <c r="E4376" s="31"/>
      <c r="G4376" s="43"/>
      <c r="H4376" s="2"/>
    </row>
    <row r="4377" spans="1:8">
      <c r="A4377" s="39">
        <v>3.64547720479467</v>
      </c>
      <c r="B4377" s="45">
        <v>9.7</v>
      </c>
      <c r="D4377" s="2"/>
      <c r="E4377" s="31"/>
      <c r="G4377" s="43"/>
      <c r="H4377" s="2"/>
    </row>
    <row r="4378" spans="1:8">
      <c r="A4378" s="39">
        <v>3.64476440831939</v>
      </c>
      <c r="B4378" s="45">
        <v>12.1</v>
      </c>
      <c r="D4378" s="2"/>
      <c r="E4378" s="31"/>
      <c r="G4378" s="43"/>
      <c r="H4378" s="2"/>
    </row>
    <row r="4379" spans="1:8">
      <c r="A4379" s="39">
        <v>3.64445129006487</v>
      </c>
      <c r="B4379" s="45">
        <v>9</v>
      </c>
      <c r="D4379" s="2"/>
      <c r="E4379" s="31"/>
      <c r="G4379" s="43"/>
      <c r="H4379" s="2"/>
    </row>
    <row r="4380" spans="1:8">
      <c r="A4380" s="39">
        <v>3.64374772803976</v>
      </c>
      <c r="B4380" s="45">
        <v>10.9</v>
      </c>
      <c r="D4380" s="2"/>
      <c r="E4380" s="31"/>
      <c r="G4380" s="43"/>
      <c r="H4380" s="2"/>
    </row>
    <row r="4381" spans="1:8">
      <c r="A4381" s="39">
        <v>3.64370870966507</v>
      </c>
      <c r="B4381" s="45">
        <v>24</v>
      </c>
      <c r="D4381" s="2"/>
      <c r="E4381" s="31"/>
      <c r="G4381" s="43"/>
      <c r="H4381" s="2"/>
    </row>
    <row r="4382" spans="1:8">
      <c r="A4382" s="39">
        <v>3.64370870966507</v>
      </c>
      <c r="B4382" s="45">
        <v>4.2</v>
      </c>
      <c r="D4382" s="2"/>
      <c r="E4382" s="31"/>
      <c r="G4382" s="43"/>
      <c r="H4382" s="2"/>
    </row>
    <row r="4383" spans="1:8">
      <c r="A4383" s="39">
        <v>3.64339548272002</v>
      </c>
      <c r="B4383" s="45">
        <v>6.6</v>
      </c>
      <c r="D4383" s="2"/>
      <c r="E4383" s="31"/>
      <c r="G4383" s="43"/>
      <c r="H4383" s="2"/>
    </row>
    <row r="4384" spans="1:8">
      <c r="A4384" s="39">
        <v>3.64331716278469</v>
      </c>
      <c r="B4384" s="45">
        <v>12.2</v>
      </c>
      <c r="D4384" s="2"/>
      <c r="E4384" s="31"/>
      <c r="G4384" s="43"/>
      <c r="H4384" s="2"/>
    </row>
    <row r="4385" spans="1:8">
      <c r="A4385" s="39">
        <v>3.64302398998659</v>
      </c>
      <c r="B4385" s="45">
        <v>6.3</v>
      </c>
      <c r="D4385" s="2"/>
      <c r="E4385" s="31"/>
      <c r="G4385" s="43"/>
      <c r="H4385" s="2"/>
    </row>
    <row r="4386" spans="1:8">
      <c r="A4386" s="39">
        <v>3.64271101992034</v>
      </c>
      <c r="B4386" s="45">
        <v>5.5</v>
      </c>
      <c r="D4386" s="2"/>
      <c r="E4386" s="31"/>
      <c r="G4386" s="43"/>
      <c r="H4386" s="2"/>
    </row>
    <row r="4387" spans="1:8">
      <c r="A4387" s="39">
        <v>3.64270467759256</v>
      </c>
      <c r="B4387" s="45">
        <v>8.9</v>
      </c>
      <c r="D4387" s="2"/>
      <c r="E4387" s="31"/>
      <c r="G4387" s="43"/>
      <c r="H4387" s="2"/>
    </row>
    <row r="4388" spans="1:8">
      <c r="A4388" s="39">
        <v>3.64208900627104</v>
      </c>
      <c r="B4388" s="45">
        <v>6.4</v>
      </c>
      <c r="D4388" s="2"/>
      <c r="E4388" s="31"/>
      <c r="G4388" s="43"/>
      <c r="H4388" s="2"/>
    </row>
    <row r="4389" spans="1:8">
      <c r="A4389" s="39">
        <v>3.64202655712065</v>
      </c>
      <c r="B4389" s="45">
        <v>10.7</v>
      </c>
      <c r="D4389" s="2"/>
      <c r="E4389" s="31"/>
      <c r="G4389" s="43"/>
      <c r="H4389" s="2"/>
    </row>
    <row r="4390" spans="1:8">
      <c r="A4390" s="39">
        <v>3.64174796955225</v>
      </c>
      <c r="B4390" s="45">
        <v>3</v>
      </c>
      <c r="D4390" s="2"/>
      <c r="E4390" s="31"/>
      <c r="G4390" s="43"/>
      <c r="H4390" s="2"/>
    </row>
    <row r="4391" spans="1:8">
      <c r="A4391" s="39">
        <v>3.64174796955225</v>
      </c>
      <c r="B4391" s="45">
        <v>17</v>
      </c>
      <c r="D4391" s="2"/>
      <c r="E4391" s="31"/>
      <c r="G4391" s="43"/>
      <c r="H4391" s="2"/>
    </row>
    <row r="4392" spans="1:8">
      <c r="A4392" s="39">
        <v>3.6411696197071</v>
      </c>
      <c r="B4392" s="45">
        <v>8.8</v>
      </c>
      <c r="D4392" s="2"/>
      <c r="E4392" s="31"/>
      <c r="G4392" s="43"/>
      <c r="H4392" s="2"/>
    </row>
    <row r="4393" spans="1:8">
      <c r="A4393" s="39">
        <v>3.64112803291846</v>
      </c>
      <c r="B4393" s="45">
        <v>8</v>
      </c>
      <c r="D4393" s="2"/>
      <c r="E4393" s="31"/>
      <c r="G4393" s="43"/>
      <c r="H4393" s="2"/>
    </row>
    <row r="4394" spans="1:8">
      <c r="A4394" s="39">
        <v>3.64109438951464</v>
      </c>
      <c r="B4394" s="45">
        <v>4.1</v>
      </c>
      <c r="D4394" s="2"/>
      <c r="E4394" s="31"/>
      <c r="G4394" s="43"/>
      <c r="H4394" s="2"/>
    </row>
    <row r="4395" spans="1:8">
      <c r="A4395" s="39">
        <v>3.64065763152129</v>
      </c>
      <c r="B4395" s="45">
        <v>5</v>
      </c>
      <c r="D4395" s="2"/>
      <c r="E4395" s="31"/>
      <c r="G4395" s="43"/>
      <c r="H4395" s="2"/>
    </row>
    <row r="4396" spans="1:8">
      <c r="A4396" s="39">
        <v>3.64058169892677</v>
      </c>
      <c r="B4396" s="45">
        <v>12.7</v>
      </c>
      <c r="D4396" s="2"/>
      <c r="E4396" s="31"/>
      <c r="G4396" s="43"/>
      <c r="H4396" s="2"/>
    </row>
    <row r="4397" spans="1:8">
      <c r="A4397" s="39">
        <v>3.64022991791422</v>
      </c>
      <c r="B4397" s="45">
        <v>10.6</v>
      </c>
      <c r="D4397" s="2"/>
      <c r="E4397" s="31"/>
      <c r="G4397" s="43"/>
      <c r="H4397" s="2"/>
    </row>
    <row r="4398" spans="1:8">
      <c r="A4398" s="39">
        <v>3.63979840948858</v>
      </c>
      <c r="B4398" s="45">
        <v>17.6</v>
      </c>
      <c r="D4398" s="2"/>
      <c r="E4398" s="31"/>
      <c r="G4398" s="43"/>
      <c r="H4398" s="2"/>
    </row>
    <row r="4399" spans="1:8">
      <c r="A4399" s="39">
        <v>3.63971402521591</v>
      </c>
      <c r="B4399" s="45">
        <v>11.6</v>
      </c>
      <c r="D4399" s="2"/>
      <c r="E4399" s="31"/>
      <c r="G4399" s="43"/>
      <c r="H4399" s="2"/>
    </row>
    <row r="4400" spans="1:8">
      <c r="A4400" s="39">
        <v>3.63952635588911</v>
      </c>
      <c r="B4400" s="45">
        <v>5.6</v>
      </c>
      <c r="D4400" s="2"/>
      <c r="E4400" s="31"/>
      <c r="G4400" s="43"/>
      <c r="H4400" s="2"/>
    </row>
    <row r="4401" spans="1:8">
      <c r="A4401" s="39">
        <v>3.63909465882936</v>
      </c>
      <c r="B4401" s="45">
        <v>13.4</v>
      </c>
      <c r="D4401" s="2"/>
      <c r="E4401" s="31"/>
      <c r="G4401" s="43"/>
      <c r="H4401" s="2"/>
    </row>
    <row r="4402" spans="1:8">
      <c r="A4402" s="39">
        <v>3.63811923183889</v>
      </c>
      <c r="B4402" s="45">
        <v>14</v>
      </c>
      <c r="D4402" s="2"/>
      <c r="E4402" s="31"/>
      <c r="G4402" s="43"/>
      <c r="H4402" s="2"/>
    </row>
    <row r="4403" spans="1:8">
      <c r="A4403" s="39">
        <v>3.63811923183889</v>
      </c>
      <c r="B4403" s="45">
        <v>11</v>
      </c>
      <c r="D4403" s="2"/>
      <c r="E4403" s="31"/>
      <c r="G4403" s="43"/>
      <c r="H4403" s="2"/>
    </row>
    <row r="4404" spans="1:8">
      <c r="A4404" s="39">
        <v>3.63791978032255</v>
      </c>
      <c r="B4404" s="45">
        <v>5.6</v>
      </c>
      <c r="D4404" s="2"/>
      <c r="E4404" s="31"/>
      <c r="G4404" s="43"/>
      <c r="H4404" s="2"/>
    </row>
    <row r="4405" spans="1:8">
      <c r="A4405" s="39">
        <v>3.63770869123577</v>
      </c>
      <c r="B4405" s="45">
        <v>4.5</v>
      </c>
      <c r="D4405" s="2"/>
      <c r="E4405" s="31"/>
      <c r="G4405" s="43"/>
      <c r="H4405" s="2"/>
    </row>
    <row r="4406" spans="1:8">
      <c r="A4406" s="39">
        <v>3.63753063347913</v>
      </c>
      <c r="B4406" s="45">
        <v>5.7</v>
      </c>
      <c r="D4406" s="2"/>
      <c r="E4406" s="31"/>
      <c r="G4406" s="43"/>
      <c r="H4406" s="2"/>
    </row>
    <row r="4407" spans="1:8">
      <c r="A4407" s="39">
        <v>3.63728413950815</v>
      </c>
      <c r="B4407" s="45">
        <v>2</v>
      </c>
      <c r="D4407" s="2"/>
      <c r="E4407" s="31"/>
      <c r="G4407" s="43"/>
      <c r="H4407" s="2"/>
    </row>
    <row r="4408" spans="1:8">
      <c r="A4408" s="39">
        <v>3.63728413950815</v>
      </c>
      <c r="B4408" s="45">
        <v>10.4</v>
      </c>
      <c r="D4408" s="2"/>
      <c r="E4408" s="31"/>
      <c r="G4408" s="43"/>
      <c r="H4408" s="2"/>
    </row>
    <row r="4409" spans="1:8">
      <c r="A4409" s="39">
        <v>3.63665848951949</v>
      </c>
      <c r="B4409" s="45">
        <v>10.3</v>
      </c>
      <c r="D4409" s="2"/>
      <c r="E4409" s="31"/>
      <c r="G4409" s="43"/>
      <c r="H4409" s="2"/>
    </row>
    <row r="4410" spans="1:8">
      <c r="A4410" s="39">
        <v>3.63655085472318</v>
      </c>
      <c r="B4410" s="45">
        <v>4.2</v>
      </c>
      <c r="D4410" s="2"/>
      <c r="E4410" s="31"/>
      <c r="G4410" s="43"/>
      <c r="H4410" s="2"/>
    </row>
    <row r="4411" spans="1:8">
      <c r="A4411" s="39">
        <v>3.63651932925138</v>
      </c>
      <c r="B4411" s="45">
        <v>9.5</v>
      </c>
      <c r="D4411" s="2"/>
      <c r="E4411" s="31"/>
      <c r="G4411" s="43"/>
      <c r="H4411" s="2"/>
    </row>
    <row r="4412" spans="1:8">
      <c r="A4412" s="39">
        <v>3.63607503898794</v>
      </c>
      <c r="B4412" s="45">
        <v>8.4</v>
      </c>
      <c r="D4412" s="2"/>
      <c r="E4412" s="31"/>
      <c r="G4412" s="43"/>
      <c r="H4412" s="2"/>
    </row>
    <row r="4413" spans="1:8">
      <c r="A4413" s="39">
        <v>3.63600854576356</v>
      </c>
      <c r="B4413" s="45">
        <v>5.2</v>
      </c>
      <c r="D4413" s="2"/>
      <c r="E4413" s="31"/>
      <c r="G4413" s="43"/>
      <c r="H4413" s="2"/>
    </row>
    <row r="4414" spans="1:8">
      <c r="A4414" s="39">
        <v>3.63582809429888</v>
      </c>
      <c r="B4414" s="45">
        <v>10.8</v>
      </c>
      <c r="D4414" s="2"/>
      <c r="E4414" s="31"/>
      <c r="G4414" s="43"/>
      <c r="H4414" s="2"/>
    </row>
    <row r="4415" spans="1:8">
      <c r="A4415" s="39">
        <v>3.63566434556238</v>
      </c>
      <c r="B4415" s="45">
        <v>8.1</v>
      </c>
      <c r="D4415" s="2"/>
      <c r="E4415" s="31"/>
      <c r="G4415" s="43"/>
      <c r="H4415" s="2"/>
    </row>
    <row r="4416" spans="1:8">
      <c r="A4416" s="39">
        <v>3.63557590553326</v>
      </c>
      <c r="B4416" s="45">
        <v>15</v>
      </c>
      <c r="D4416" s="2"/>
      <c r="E4416" s="31"/>
      <c r="G4416" s="43"/>
      <c r="H4416" s="2"/>
    </row>
    <row r="4417" spans="1:8">
      <c r="A4417" s="39">
        <v>3.63460142171334</v>
      </c>
      <c r="B4417" s="45">
        <v>3.5</v>
      </c>
      <c r="D4417" s="2"/>
      <c r="E4417" s="31"/>
      <c r="G4417" s="43"/>
      <c r="H4417" s="2"/>
    </row>
    <row r="4418" spans="1:8">
      <c r="A4418" s="39">
        <v>3.63440121945042</v>
      </c>
      <c r="B4418" s="45">
        <v>5.1</v>
      </c>
      <c r="D4418" s="2"/>
      <c r="E4418" s="31"/>
      <c r="G4418" s="43"/>
      <c r="H4418" s="2"/>
    </row>
    <row r="4419" spans="1:8">
      <c r="A4419" s="39">
        <v>3.63380818980205</v>
      </c>
      <c r="B4419" s="45">
        <v>7</v>
      </c>
      <c r="D4419" s="2"/>
      <c r="E4419" s="31"/>
      <c r="G4419" s="43"/>
      <c r="H4419" s="2"/>
    </row>
    <row r="4420" spans="1:8">
      <c r="A4420" s="39">
        <v>3.63312854072476</v>
      </c>
      <c r="B4420" s="45">
        <v>5.1</v>
      </c>
      <c r="D4420" s="2"/>
      <c r="E4420" s="31"/>
      <c r="G4420" s="43"/>
      <c r="H4420" s="2"/>
    </row>
    <row r="4421" spans="1:8">
      <c r="A4421" s="39">
        <v>3.63276676805855</v>
      </c>
      <c r="B4421" s="45">
        <v>3.8</v>
      </c>
      <c r="D4421" s="2"/>
      <c r="E4421" s="31"/>
      <c r="G4421" s="43"/>
      <c r="H4421" s="2"/>
    </row>
    <row r="4422" spans="1:8">
      <c r="A4422" s="39">
        <v>3.63276676805855</v>
      </c>
      <c r="B4422" s="45">
        <v>14</v>
      </c>
      <c r="D4422" s="2"/>
      <c r="E4422" s="31"/>
      <c r="G4422" s="43"/>
      <c r="H4422" s="2"/>
    </row>
    <row r="4423" spans="1:8">
      <c r="A4423" s="39">
        <v>3.63276090289638</v>
      </c>
      <c r="B4423" s="45">
        <v>10</v>
      </c>
      <c r="D4423" s="2"/>
      <c r="E4423" s="31"/>
      <c r="G4423" s="43"/>
      <c r="H4423" s="2"/>
    </row>
    <row r="4424" spans="1:8">
      <c r="A4424" s="39">
        <v>3.63249073563802</v>
      </c>
      <c r="B4424" s="45">
        <v>6.3</v>
      </c>
      <c r="D4424" s="2"/>
      <c r="E4424" s="31"/>
      <c r="G4424" s="43"/>
      <c r="H4424" s="2"/>
    </row>
    <row r="4425" spans="1:8">
      <c r="A4425" s="39">
        <v>3.63249073563802</v>
      </c>
      <c r="B4425" s="45">
        <v>10</v>
      </c>
      <c r="D4425" s="2"/>
      <c r="E4425" s="31"/>
      <c r="G4425" s="43"/>
      <c r="H4425" s="2"/>
    </row>
    <row r="4426" spans="1:8">
      <c r="A4426" s="39">
        <v>3.63247927274526</v>
      </c>
      <c r="B4426" s="45">
        <v>10.2</v>
      </c>
      <c r="D4426" s="2"/>
      <c r="E4426" s="31"/>
      <c r="G4426" s="43"/>
      <c r="H4426" s="2"/>
    </row>
    <row r="4427" spans="1:8">
      <c r="A4427" s="39">
        <v>3.63246158680416</v>
      </c>
      <c r="B4427" s="45">
        <v>12.8</v>
      </c>
      <c r="D4427" s="2"/>
      <c r="E4427" s="31"/>
      <c r="G4427" s="43"/>
      <c r="H4427" s="2"/>
    </row>
    <row r="4428" spans="1:8">
      <c r="A4428" s="39">
        <v>3.63243605275997</v>
      </c>
      <c r="B4428" s="45">
        <v>2</v>
      </c>
      <c r="D4428" s="2"/>
      <c r="E4428" s="31"/>
      <c r="G4428" s="43"/>
      <c r="H4428" s="2"/>
    </row>
    <row r="4429" spans="1:8">
      <c r="A4429" s="39">
        <v>3.63243605275997</v>
      </c>
      <c r="B4429" s="45">
        <v>2</v>
      </c>
      <c r="D4429" s="2"/>
      <c r="E4429" s="31"/>
      <c r="G4429" s="43"/>
      <c r="H4429" s="2"/>
    </row>
    <row r="4430" spans="1:8">
      <c r="A4430" s="39">
        <v>3.63239339248495</v>
      </c>
      <c r="B4430" s="45">
        <v>6.5</v>
      </c>
      <c r="D4430" s="2"/>
      <c r="E4430" s="31"/>
      <c r="G4430" s="43"/>
      <c r="H4430" s="2"/>
    </row>
    <row r="4431" spans="1:8">
      <c r="A4431" s="39">
        <v>3.63205715223716</v>
      </c>
      <c r="B4431" s="45">
        <v>7.7</v>
      </c>
      <c r="D4431" s="2"/>
      <c r="E4431" s="31"/>
      <c r="G4431" s="43"/>
      <c r="H4431" s="2"/>
    </row>
    <row r="4432" spans="1:8">
      <c r="A4432" s="39">
        <v>3.63205715223716</v>
      </c>
      <c r="B4432" s="45">
        <v>11</v>
      </c>
      <c r="D4432" s="2"/>
      <c r="E4432" s="31"/>
      <c r="G4432" s="43"/>
      <c r="H4432" s="2"/>
    </row>
    <row r="4433" spans="1:8">
      <c r="A4433" s="39">
        <v>3.63196134881476</v>
      </c>
      <c r="B4433" s="45">
        <v>9.8</v>
      </c>
      <c r="D4433" s="2"/>
      <c r="E4433" s="31"/>
      <c r="G4433" s="43"/>
      <c r="H4433" s="2"/>
    </row>
    <row r="4434" spans="1:8">
      <c r="A4434" s="39">
        <v>3.63178717361291</v>
      </c>
      <c r="B4434" s="45">
        <v>8</v>
      </c>
      <c r="D4434" s="2"/>
      <c r="E4434" s="31"/>
      <c r="G4434" s="43"/>
      <c r="H4434" s="2"/>
    </row>
    <row r="4435" spans="1:8">
      <c r="A4435" s="39">
        <v>3.63157565421559</v>
      </c>
      <c r="B4435" s="45">
        <v>4.3</v>
      </c>
      <c r="D4435" s="2"/>
      <c r="E4435" s="31"/>
      <c r="G4435" s="43"/>
      <c r="H4435" s="2"/>
    </row>
    <row r="4436" spans="1:8">
      <c r="A4436" s="39">
        <v>3.63129068895052</v>
      </c>
      <c r="B4436" s="45">
        <v>8</v>
      </c>
      <c r="D4436" s="2"/>
      <c r="E4436" s="31"/>
      <c r="G4436" s="43"/>
      <c r="H4436" s="2"/>
    </row>
    <row r="4437" spans="1:8">
      <c r="A4437" s="39">
        <v>3.6310836115878</v>
      </c>
      <c r="B4437" s="45">
        <v>11.5</v>
      </c>
      <c r="D4437" s="2"/>
      <c r="E4437" s="31"/>
      <c r="G4437" s="43"/>
      <c r="H4437" s="2"/>
    </row>
    <row r="4438" spans="1:8">
      <c r="A4438" s="39">
        <v>3.63096792340985</v>
      </c>
      <c r="B4438" s="45">
        <v>5.8</v>
      </c>
      <c r="D4438" s="2"/>
      <c r="E4438" s="31"/>
      <c r="G4438" s="43"/>
      <c r="H4438" s="2"/>
    </row>
    <row r="4439" spans="1:8">
      <c r="A4439" s="39">
        <v>3.63083867197275</v>
      </c>
      <c r="B4439" s="45">
        <v>0</v>
      </c>
      <c r="D4439" s="2"/>
      <c r="E4439" s="31"/>
      <c r="G4439" s="43"/>
      <c r="H4439" s="2"/>
    </row>
    <row r="4440" spans="1:8">
      <c r="A4440" s="39">
        <v>3.63063710891291</v>
      </c>
      <c r="B4440" s="45">
        <v>24</v>
      </c>
      <c r="D4440" s="2"/>
      <c r="E4440" s="31"/>
      <c r="G4440" s="43"/>
      <c r="H4440" s="2"/>
    </row>
    <row r="4441" spans="1:8">
      <c r="A4441" s="39">
        <v>3.62970622672634</v>
      </c>
      <c r="B4441" s="45">
        <v>3.9</v>
      </c>
      <c r="D4441" s="2"/>
      <c r="E4441" s="31"/>
      <c r="G4441" s="43"/>
      <c r="H4441" s="2"/>
    </row>
    <row r="4442" spans="1:8">
      <c r="A4442" s="39">
        <v>3.62959635268753</v>
      </c>
      <c r="B4442" s="45">
        <v>2.1</v>
      </c>
      <c r="D4442" s="2"/>
      <c r="E4442" s="31"/>
      <c r="G4442" s="43"/>
      <c r="H4442" s="2"/>
    </row>
    <row r="4443" spans="1:8">
      <c r="A4443" s="39">
        <v>3.62959635268753</v>
      </c>
      <c r="B4443" s="45">
        <v>2.1</v>
      </c>
      <c r="D4443" s="2"/>
      <c r="E4443" s="31"/>
      <c r="G4443" s="43"/>
      <c r="H4443" s="2"/>
    </row>
    <row r="4444" spans="1:8">
      <c r="A4444" s="39">
        <v>3.62938371758606</v>
      </c>
      <c r="B4444" s="45">
        <v>8.5</v>
      </c>
      <c r="D4444" s="2"/>
      <c r="E4444" s="31"/>
      <c r="G4444" s="43"/>
      <c r="H4444" s="2"/>
    </row>
    <row r="4445" spans="1:8">
      <c r="A4445" s="39">
        <v>3.6293299488377</v>
      </c>
      <c r="B4445" s="45">
        <v>17.5</v>
      </c>
      <c r="D4445" s="2"/>
      <c r="E4445" s="31"/>
      <c r="G4445" s="43"/>
      <c r="H4445" s="2"/>
    </row>
    <row r="4446" spans="1:8">
      <c r="A4446" s="39">
        <v>3.62924214960027</v>
      </c>
      <c r="B4446" s="45">
        <v>11</v>
      </c>
      <c r="D4446" s="2"/>
      <c r="E4446" s="31"/>
      <c r="G4446" s="43"/>
      <c r="H4446" s="2"/>
    </row>
    <row r="4447" spans="1:8">
      <c r="A4447" s="39">
        <v>3.62912243940752</v>
      </c>
      <c r="B4447" s="45">
        <v>3.7</v>
      </c>
      <c r="D4447" s="2"/>
      <c r="E4447" s="31"/>
      <c r="G4447" s="43"/>
      <c r="H4447" s="2"/>
    </row>
    <row r="4448" spans="1:8">
      <c r="A4448" s="39">
        <v>3.62897292551247</v>
      </c>
      <c r="B4448" s="45">
        <v>7.2</v>
      </c>
      <c r="D4448" s="2"/>
      <c r="E4448" s="31"/>
      <c r="G4448" s="43"/>
      <c r="H4448" s="2"/>
    </row>
    <row r="4449" spans="1:8">
      <c r="A4449" s="39">
        <v>3.62897292551247</v>
      </c>
      <c r="B4449" s="45">
        <v>5.6</v>
      </c>
      <c r="D4449" s="2"/>
      <c r="E4449" s="31"/>
      <c r="G4449" s="43"/>
      <c r="H4449" s="2"/>
    </row>
    <row r="4450" spans="1:8">
      <c r="A4450" s="39">
        <v>3.62897292551247</v>
      </c>
      <c r="B4450" s="45">
        <v>6.3</v>
      </c>
      <c r="D4450" s="2"/>
      <c r="E4450" s="31"/>
      <c r="G4450" s="43"/>
      <c r="H4450" s="2"/>
    </row>
    <row r="4451" spans="1:8">
      <c r="A4451" s="39">
        <v>3.62838023922216</v>
      </c>
      <c r="B4451" s="45">
        <v>9.5</v>
      </c>
      <c r="D4451" s="2"/>
      <c r="E4451" s="31"/>
      <c r="G4451" s="43"/>
      <c r="H4451" s="2"/>
    </row>
    <row r="4452" spans="1:8">
      <c r="A4452" s="39">
        <v>3.62802278876248</v>
      </c>
      <c r="B4452" s="45">
        <v>5</v>
      </c>
      <c r="D4452" s="2"/>
      <c r="E4452" s="31"/>
      <c r="G4452" s="43"/>
      <c r="H4452" s="2"/>
    </row>
    <row r="4453" spans="1:8">
      <c r="A4453" s="39">
        <v>3.62767440598237</v>
      </c>
      <c r="B4453" s="45">
        <v>7.7</v>
      </c>
      <c r="D4453" s="2"/>
      <c r="E4453" s="31"/>
      <c r="G4453" s="43"/>
      <c r="H4453" s="2"/>
    </row>
    <row r="4454" spans="1:8">
      <c r="A4454" s="39">
        <v>3.62765283832728</v>
      </c>
      <c r="B4454" s="45">
        <v>9.8</v>
      </c>
      <c r="D4454" s="2"/>
      <c r="E4454" s="31"/>
      <c r="G4454" s="43"/>
      <c r="H4454" s="2"/>
    </row>
    <row r="4455" spans="1:8">
      <c r="A4455" s="39">
        <v>3.62756580146225</v>
      </c>
      <c r="B4455" s="45">
        <v>9.9</v>
      </c>
      <c r="D4455" s="2"/>
      <c r="E4455" s="31"/>
      <c r="G4455" s="43"/>
      <c r="H4455" s="2"/>
    </row>
    <row r="4456" spans="1:8">
      <c r="A4456" s="39">
        <v>3.62661367479522</v>
      </c>
      <c r="B4456" s="45">
        <v>9.8</v>
      </c>
      <c r="D4456" s="2"/>
      <c r="E4456" s="31"/>
      <c r="G4456" s="43"/>
      <c r="H4456" s="2"/>
    </row>
    <row r="4457" spans="1:8">
      <c r="A4457" s="39">
        <v>3.62642714696339</v>
      </c>
      <c r="B4457" s="45">
        <v>13</v>
      </c>
      <c r="D4457" s="2"/>
      <c r="E4457" s="31"/>
      <c r="G4457" s="43"/>
      <c r="H4457" s="2"/>
    </row>
    <row r="4458" spans="1:8">
      <c r="A4458" s="39">
        <v>3.62606204864965</v>
      </c>
      <c r="B4458" s="45">
        <v>10</v>
      </c>
      <c r="D4458" s="2"/>
      <c r="E4458" s="31"/>
      <c r="G4458" s="43"/>
      <c r="H4458" s="2"/>
    </row>
    <row r="4459" spans="1:8">
      <c r="A4459" s="39">
        <v>3.62572857181472</v>
      </c>
      <c r="B4459" s="45">
        <v>13.4</v>
      </c>
      <c r="D4459" s="2"/>
      <c r="E4459" s="31"/>
      <c r="G4459" s="43"/>
      <c r="H4459" s="2"/>
    </row>
    <row r="4460" spans="1:8">
      <c r="A4460" s="39">
        <v>3.62479912962956</v>
      </c>
      <c r="B4460" s="45">
        <v>2</v>
      </c>
      <c r="D4460" s="2"/>
      <c r="E4460" s="31"/>
      <c r="G4460" s="43"/>
      <c r="H4460" s="2"/>
    </row>
    <row r="4461" spans="1:8">
      <c r="A4461" s="39">
        <v>3.62439977234926</v>
      </c>
      <c r="B4461" s="45">
        <v>9.1</v>
      </c>
      <c r="D4461" s="2"/>
      <c r="E4461" s="31"/>
      <c r="G4461" s="43"/>
      <c r="H4461" s="2"/>
    </row>
    <row r="4462" spans="1:8">
      <c r="A4462" s="39">
        <v>3.62438196881683</v>
      </c>
      <c r="B4462" s="45">
        <v>12</v>
      </c>
      <c r="D4462" s="2"/>
      <c r="E4462" s="31"/>
      <c r="G4462" s="43"/>
      <c r="H4462" s="2"/>
    </row>
    <row r="4463" spans="1:8">
      <c r="A4463" s="39">
        <v>3.62438196881683</v>
      </c>
      <c r="B4463" s="45">
        <v>12</v>
      </c>
      <c r="D4463" s="2"/>
      <c r="E4463" s="31"/>
      <c r="G4463" s="43"/>
      <c r="H4463" s="2"/>
    </row>
    <row r="4464" spans="1:8">
      <c r="A4464" s="39">
        <v>3.62429137723267</v>
      </c>
      <c r="B4464" s="45">
        <v>22.3</v>
      </c>
      <c r="D4464" s="2"/>
      <c r="E4464" s="31"/>
      <c r="G4464" s="43"/>
      <c r="H4464" s="2"/>
    </row>
    <row r="4465" spans="1:8">
      <c r="A4465" s="39">
        <v>3.62410130853683</v>
      </c>
      <c r="B4465" s="45">
        <v>9.5</v>
      </c>
      <c r="D4465" s="2"/>
      <c r="E4465" s="31"/>
      <c r="G4465" s="43"/>
      <c r="H4465" s="2"/>
    </row>
    <row r="4466" spans="1:8">
      <c r="A4466" s="39">
        <v>3.62404799133671</v>
      </c>
      <c r="B4466" s="45">
        <v>11.2</v>
      </c>
      <c r="D4466" s="2"/>
      <c r="E4466" s="31"/>
      <c r="G4466" s="43"/>
      <c r="H4466" s="2"/>
    </row>
    <row r="4467" spans="1:8">
      <c r="A4467" s="39">
        <v>3.62359266035016</v>
      </c>
      <c r="B4467" s="45">
        <v>8.5</v>
      </c>
      <c r="D4467" s="2"/>
      <c r="E4467" s="31"/>
      <c r="G4467" s="43"/>
      <c r="H4467" s="2"/>
    </row>
    <row r="4468" spans="1:8">
      <c r="A4468" s="39">
        <v>3.62303536581894</v>
      </c>
      <c r="B4468" s="45">
        <v>6</v>
      </c>
      <c r="D4468" s="2"/>
      <c r="E4468" s="31"/>
      <c r="G4468" s="43"/>
      <c r="H4468" s="2"/>
    </row>
    <row r="4469" spans="1:8">
      <c r="A4469" s="39">
        <v>3.62300857483326</v>
      </c>
      <c r="B4469" s="45">
        <v>7.3</v>
      </c>
      <c r="D4469" s="2"/>
      <c r="E4469" s="31"/>
      <c r="G4469" s="43"/>
      <c r="H4469" s="2"/>
    </row>
    <row r="4470" spans="1:8">
      <c r="A4470" s="39">
        <v>3.62299264829904</v>
      </c>
      <c r="B4470" s="45">
        <v>9</v>
      </c>
      <c r="D4470" s="2"/>
      <c r="E4470" s="31"/>
      <c r="G4470" s="43"/>
      <c r="H4470" s="2"/>
    </row>
    <row r="4471" spans="1:8">
      <c r="A4471" s="39">
        <v>3.62236206432</v>
      </c>
      <c r="B4471" s="45">
        <v>10.1</v>
      </c>
      <c r="D4471" s="2"/>
      <c r="E4471" s="31"/>
      <c r="G4471" s="43"/>
      <c r="H4471" s="2"/>
    </row>
    <row r="4472" spans="1:8">
      <c r="A4472" s="39">
        <v>3.62224689132166</v>
      </c>
      <c r="B4472" s="45">
        <v>8.1</v>
      </c>
      <c r="D4472" s="2"/>
      <c r="E4472" s="31"/>
      <c r="G4472" s="43"/>
      <c r="H4472" s="2"/>
    </row>
    <row r="4473" spans="1:8">
      <c r="A4473" s="39">
        <v>3.62220464300807</v>
      </c>
      <c r="B4473" s="45">
        <v>11.5</v>
      </c>
      <c r="D4473" s="2"/>
      <c r="E4473" s="31"/>
      <c r="G4473" s="43"/>
      <c r="H4473" s="2"/>
    </row>
    <row r="4474" spans="1:8">
      <c r="A4474" s="39">
        <v>3.62210894565264</v>
      </c>
      <c r="B4474" s="45">
        <v>6.7</v>
      </c>
      <c r="D4474" s="2"/>
      <c r="E4474" s="31"/>
      <c r="G4474" s="43"/>
      <c r="H4474" s="2"/>
    </row>
    <row r="4475" spans="1:8">
      <c r="A4475" s="39">
        <v>3.62197370016633</v>
      </c>
      <c r="B4475" s="45">
        <v>9.7</v>
      </c>
      <c r="D4475" s="2"/>
      <c r="E4475" s="31"/>
      <c r="G4475" s="43"/>
      <c r="H4475" s="2"/>
    </row>
    <row r="4476" spans="1:8">
      <c r="A4476" s="39">
        <v>3.62197370016633</v>
      </c>
      <c r="B4476" s="45">
        <v>19.2</v>
      </c>
      <c r="D4476" s="2"/>
      <c r="E4476" s="31"/>
      <c r="G4476" s="43"/>
      <c r="H4476" s="2"/>
    </row>
    <row r="4477" spans="1:8">
      <c r="A4477" s="39">
        <v>3.62151909407606</v>
      </c>
      <c r="B4477" s="45">
        <v>5.8</v>
      </c>
      <c r="D4477" s="2"/>
      <c r="E4477" s="31"/>
      <c r="G4477" s="43"/>
      <c r="H4477" s="2"/>
    </row>
    <row r="4478" spans="1:8">
      <c r="A4478" s="39">
        <v>3.62151909407606</v>
      </c>
      <c r="B4478" s="45">
        <v>13</v>
      </c>
      <c r="D4478" s="2"/>
      <c r="E4478" s="31"/>
      <c r="G4478" s="43"/>
      <c r="H4478" s="2"/>
    </row>
    <row r="4479" spans="1:8">
      <c r="A4479" s="39">
        <v>3.62123374323627</v>
      </c>
      <c r="B4479" s="45">
        <v>8.8</v>
      </c>
      <c r="D4479" s="2"/>
      <c r="E4479" s="31"/>
      <c r="G4479" s="43"/>
      <c r="H4479" s="2"/>
    </row>
    <row r="4480" spans="1:8">
      <c r="A4480" s="39">
        <v>3.62101546132211</v>
      </c>
      <c r="B4480" s="45">
        <v>18</v>
      </c>
      <c r="D4480" s="2"/>
      <c r="E4480" s="31"/>
      <c r="G4480" s="43"/>
      <c r="H4480" s="2"/>
    </row>
    <row r="4481" spans="1:8">
      <c r="A4481" s="39">
        <v>3.62083340834879</v>
      </c>
      <c r="B4481" s="45">
        <v>9.8</v>
      </c>
      <c r="D4481" s="2"/>
      <c r="E4481" s="31"/>
      <c r="G4481" s="43"/>
      <c r="H4481" s="2"/>
    </row>
    <row r="4482" spans="1:8">
      <c r="A4482" s="39">
        <v>3.62080821033044</v>
      </c>
      <c r="B4482" s="45">
        <v>7.8</v>
      </c>
      <c r="D4482" s="2"/>
      <c r="E4482" s="31"/>
      <c r="G4482" s="43"/>
      <c r="H4482" s="2"/>
    </row>
    <row r="4483" spans="1:8">
      <c r="A4483" s="39">
        <v>3.62012374753075</v>
      </c>
      <c r="B4483" s="45">
        <v>6.2</v>
      </c>
      <c r="D4483" s="2"/>
      <c r="E4483" s="31"/>
      <c r="G4483" s="43"/>
      <c r="H4483" s="2"/>
    </row>
    <row r="4484" spans="1:8">
      <c r="A4484" s="39">
        <v>3.62012374753075</v>
      </c>
      <c r="B4484" s="45">
        <v>5.6</v>
      </c>
      <c r="D4484" s="2"/>
      <c r="E4484" s="31"/>
      <c r="G4484" s="43"/>
      <c r="H4484" s="2"/>
    </row>
    <row r="4485" spans="1:8">
      <c r="A4485" s="39">
        <v>3.61998661916174</v>
      </c>
      <c r="B4485" s="45">
        <v>2.7</v>
      </c>
      <c r="D4485" s="2"/>
      <c r="E4485" s="31"/>
      <c r="G4485" s="43"/>
      <c r="H4485" s="2"/>
    </row>
    <row r="4486" spans="1:8">
      <c r="A4486" s="39">
        <v>3.61966885832422</v>
      </c>
      <c r="B4486" s="45">
        <v>5.8</v>
      </c>
      <c r="D4486" s="2"/>
      <c r="E4486" s="31"/>
      <c r="G4486" s="43"/>
      <c r="H4486" s="2"/>
    </row>
    <row r="4487" spans="1:8">
      <c r="A4487" s="39">
        <v>3.61771593311073</v>
      </c>
      <c r="B4487" s="45">
        <v>13.2</v>
      </c>
      <c r="D4487" s="2"/>
      <c r="E4487" s="31"/>
      <c r="G4487" s="43"/>
      <c r="H4487" s="2"/>
    </row>
    <row r="4488" spans="1:8">
      <c r="A4488" s="39">
        <v>3.61747658854457</v>
      </c>
      <c r="B4488" s="45">
        <v>2</v>
      </c>
      <c r="D4488" s="2"/>
      <c r="E4488" s="31"/>
      <c r="G4488" s="43"/>
      <c r="H4488" s="2"/>
    </row>
    <row r="4489" spans="1:8">
      <c r="A4489" s="39">
        <v>3.61697565232844</v>
      </c>
      <c r="B4489" s="45">
        <v>6.3</v>
      </c>
      <c r="D4489" s="2"/>
      <c r="E4489" s="31"/>
      <c r="G4489" s="43"/>
      <c r="H4489" s="2"/>
    </row>
    <row r="4490" spans="1:8">
      <c r="A4490" s="39">
        <v>3.61587088707508</v>
      </c>
      <c r="B4490" s="45">
        <v>8.7</v>
      </c>
      <c r="D4490" s="2"/>
      <c r="E4490" s="31"/>
      <c r="G4490" s="43"/>
      <c r="H4490" s="2"/>
    </row>
    <row r="4491" spans="1:8">
      <c r="A4491" s="39">
        <v>3.61562904933056</v>
      </c>
      <c r="B4491" s="45">
        <v>10.9</v>
      </c>
      <c r="D4491" s="2"/>
      <c r="E4491" s="31"/>
      <c r="G4491" s="43"/>
      <c r="H4491" s="2"/>
    </row>
    <row r="4492" spans="1:8">
      <c r="A4492" s="39">
        <v>3.61560476804793</v>
      </c>
      <c r="B4492" s="45">
        <v>9</v>
      </c>
      <c r="D4492" s="2"/>
      <c r="E4492" s="31"/>
      <c r="G4492" s="43"/>
      <c r="H4492" s="2"/>
    </row>
    <row r="4493" spans="1:8">
      <c r="A4493" s="39">
        <v>3.61533250793296</v>
      </c>
      <c r="B4493" s="45">
        <v>3</v>
      </c>
      <c r="D4493" s="2"/>
      <c r="E4493" s="31"/>
      <c r="G4493" s="43"/>
      <c r="H4493" s="2"/>
    </row>
    <row r="4494" spans="1:8">
      <c r="A4494" s="39">
        <v>3.61516713641586</v>
      </c>
      <c r="B4494" s="45">
        <v>2.9</v>
      </c>
      <c r="D4494" s="2"/>
      <c r="E4494" s="31"/>
      <c r="G4494" s="43"/>
      <c r="H4494" s="2"/>
    </row>
    <row r="4495" spans="1:8">
      <c r="A4495" s="39">
        <v>3.61490168501029</v>
      </c>
      <c r="B4495" s="45">
        <v>7.2</v>
      </c>
      <c r="D4495" s="2"/>
      <c r="E4495" s="31"/>
      <c r="G4495" s="43"/>
      <c r="H4495" s="2"/>
    </row>
    <row r="4496" spans="1:8">
      <c r="A4496" s="39">
        <v>3.61477832157151</v>
      </c>
      <c r="B4496" s="45">
        <v>7.8</v>
      </c>
      <c r="D4496" s="2"/>
      <c r="E4496" s="31"/>
      <c r="G4496" s="43"/>
      <c r="H4496" s="2"/>
    </row>
    <row r="4497" spans="1:8">
      <c r="A4497" s="39">
        <v>3.61464804513328</v>
      </c>
      <c r="B4497" s="45">
        <v>6.5</v>
      </c>
      <c r="D4497" s="2"/>
      <c r="E4497" s="31"/>
      <c r="G4497" s="43"/>
      <c r="H4497" s="2"/>
    </row>
    <row r="4498" spans="1:8">
      <c r="A4498" s="39">
        <v>3.61428244633267</v>
      </c>
      <c r="B4498" s="45">
        <v>1</v>
      </c>
      <c r="D4498" s="2"/>
      <c r="E4498" s="31"/>
      <c r="G4498" s="43"/>
      <c r="H4498" s="2"/>
    </row>
    <row r="4499" spans="1:8">
      <c r="A4499" s="39">
        <v>3.61396358233359</v>
      </c>
      <c r="B4499" s="45">
        <v>12.2</v>
      </c>
      <c r="D4499" s="2"/>
      <c r="E4499" s="31"/>
      <c r="G4499" s="43"/>
      <c r="H4499" s="2"/>
    </row>
    <row r="4500" spans="1:8">
      <c r="A4500" s="39">
        <v>3.61387889924716</v>
      </c>
      <c r="B4500" s="45">
        <v>0</v>
      </c>
      <c r="D4500" s="2"/>
      <c r="E4500" s="31"/>
      <c r="G4500" s="43"/>
      <c r="H4500" s="2"/>
    </row>
    <row r="4501" spans="1:8">
      <c r="A4501" s="39">
        <v>3.61375963509742</v>
      </c>
      <c r="B4501" s="45">
        <v>6.2</v>
      </c>
      <c r="D4501" s="2"/>
      <c r="E4501" s="31"/>
      <c r="G4501" s="43"/>
      <c r="H4501" s="2"/>
    </row>
    <row r="4502" spans="1:8">
      <c r="A4502" s="39">
        <v>3.61360914483372</v>
      </c>
      <c r="B4502" s="45">
        <v>10.5</v>
      </c>
      <c r="D4502" s="2"/>
      <c r="E4502" s="31"/>
      <c r="G4502" s="43"/>
      <c r="H4502" s="2"/>
    </row>
    <row r="4503" spans="1:8">
      <c r="A4503" s="39">
        <v>3.61360914483372</v>
      </c>
      <c r="B4503" s="45">
        <v>8</v>
      </c>
      <c r="D4503" s="2"/>
      <c r="E4503" s="31"/>
      <c r="G4503" s="43"/>
      <c r="H4503" s="2"/>
    </row>
    <row r="4504" spans="1:8">
      <c r="A4504" s="39">
        <v>3.61337921933253</v>
      </c>
      <c r="B4504" s="45">
        <v>11</v>
      </c>
      <c r="D4504" s="2"/>
      <c r="E4504" s="31"/>
      <c r="G4504" s="43"/>
      <c r="H4504" s="2"/>
    </row>
    <row r="4505" spans="1:8">
      <c r="A4505" s="39">
        <v>3.6132598056937</v>
      </c>
      <c r="B4505" s="45">
        <v>5</v>
      </c>
      <c r="D4505" s="2"/>
      <c r="E4505" s="31"/>
      <c r="G4505" s="43"/>
      <c r="H4505" s="2"/>
    </row>
    <row r="4506" spans="1:8">
      <c r="A4506" s="39">
        <v>3.61259465673423</v>
      </c>
      <c r="B4506" s="45">
        <v>8.4</v>
      </c>
      <c r="D4506" s="2"/>
      <c r="E4506" s="31"/>
      <c r="G4506" s="43"/>
      <c r="H4506" s="2"/>
    </row>
    <row r="4507" spans="1:8">
      <c r="A4507" s="39">
        <v>3.61259465673423</v>
      </c>
      <c r="B4507" s="45">
        <v>4.2</v>
      </c>
      <c r="D4507" s="2"/>
      <c r="E4507" s="31"/>
      <c r="G4507" s="43"/>
      <c r="H4507" s="2"/>
    </row>
    <row r="4508" spans="1:8">
      <c r="A4508" s="39">
        <v>3.61235213377898</v>
      </c>
      <c r="B4508" s="45">
        <v>14.2</v>
      </c>
      <c r="D4508" s="2"/>
      <c r="E4508" s="31"/>
      <c r="G4508" s="43"/>
      <c r="H4508" s="2"/>
    </row>
    <row r="4509" spans="1:8">
      <c r="A4509" s="39">
        <v>3.61192426494584</v>
      </c>
      <c r="B4509" s="45">
        <v>5.4</v>
      </c>
      <c r="D4509" s="2"/>
      <c r="E4509" s="31"/>
      <c r="G4509" s="43"/>
      <c r="H4509" s="2"/>
    </row>
    <row r="4510" spans="1:8">
      <c r="A4510" s="39">
        <v>3.61164838311976</v>
      </c>
      <c r="B4510" s="45">
        <v>22</v>
      </c>
      <c r="D4510" s="2"/>
      <c r="E4510" s="31"/>
      <c r="G4510" s="43"/>
      <c r="H4510" s="2"/>
    </row>
    <row r="4511" spans="1:8">
      <c r="A4511" s="39">
        <v>3.61138387488474</v>
      </c>
      <c r="B4511" s="45">
        <v>5.8</v>
      </c>
      <c r="D4511" s="2"/>
      <c r="E4511" s="31"/>
      <c r="G4511" s="43"/>
      <c r="H4511" s="2"/>
    </row>
    <row r="4512" spans="1:8">
      <c r="A4512" s="39">
        <v>3.61102970778467</v>
      </c>
      <c r="B4512" s="45">
        <v>11</v>
      </c>
      <c r="D4512" s="2"/>
      <c r="E4512" s="31"/>
      <c r="G4512" s="43"/>
      <c r="H4512" s="2"/>
    </row>
    <row r="4513" spans="1:8">
      <c r="A4513" s="39">
        <v>3.61047469125916</v>
      </c>
      <c r="B4513" s="45">
        <v>6</v>
      </c>
      <c r="D4513" s="2"/>
      <c r="E4513" s="31"/>
      <c r="G4513" s="43"/>
      <c r="H4513" s="2"/>
    </row>
    <row r="4514" spans="1:8">
      <c r="A4514" s="39">
        <v>3.61046931055916</v>
      </c>
      <c r="B4514" s="45">
        <v>13.6</v>
      </c>
      <c r="D4514" s="2"/>
      <c r="E4514" s="31"/>
      <c r="G4514" s="43"/>
      <c r="H4514" s="2"/>
    </row>
    <row r="4515" spans="1:8">
      <c r="A4515" s="39">
        <v>3.61046931055916</v>
      </c>
      <c r="B4515" s="45">
        <v>19</v>
      </c>
      <c r="D4515" s="2"/>
      <c r="E4515" s="31"/>
      <c r="G4515" s="43"/>
      <c r="H4515" s="2"/>
    </row>
    <row r="4516" spans="1:8">
      <c r="A4516" s="39">
        <v>3.610242637339</v>
      </c>
      <c r="B4516" s="45">
        <v>4</v>
      </c>
      <c r="D4516" s="2"/>
      <c r="E4516" s="31"/>
      <c r="G4516" s="43"/>
      <c r="H4516" s="2"/>
    </row>
    <row r="4517" spans="1:8">
      <c r="A4517" s="39">
        <v>3.61024088180132</v>
      </c>
      <c r="B4517" s="45">
        <v>2</v>
      </c>
      <c r="D4517" s="2"/>
      <c r="E4517" s="31"/>
      <c r="G4517" s="43"/>
      <c r="H4517" s="2"/>
    </row>
    <row r="4518" spans="1:8">
      <c r="A4518" s="39">
        <v>3.60997675083453</v>
      </c>
      <c r="B4518" s="45">
        <v>12</v>
      </c>
      <c r="D4518" s="2"/>
      <c r="E4518" s="31"/>
      <c r="G4518" s="43"/>
      <c r="H4518" s="2"/>
    </row>
    <row r="4519" spans="1:8">
      <c r="A4519" s="39">
        <v>3.60972254770945</v>
      </c>
      <c r="B4519" s="45">
        <v>10.3</v>
      </c>
      <c r="D4519" s="2"/>
      <c r="E4519" s="31"/>
      <c r="G4519" s="43"/>
      <c r="H4519" s="2"/>
    </row>
    <row r="4520" spans="1:8">
      <c r="A4520" s="39">
        <v>3.6091723427358</v>
      </c>
      <c r="B4520" s="45">
        <v>7.9</v>
      </c>
      <c r="D4520" s="2"/>
      <c r="E4520" s="31"/>
      <c r="G4520" s="43"/>
      <c r="H4520" s="2"/>
    </row>
    <row r="4521" spans="1:8">
      <c r="A4521" s="39">
        <v>3.6091723427358</v>
      </c>
      <c r="B4521" s="45">
        <v>4.4</v>
      </c>
      <c r="D4521" s="2"/>
      <c r="E4521" s="31"/>
      <c r="G4521" s="43"/>
      <c r="H4521" s="2"/>
    </row>
    <row r="4522" spans="1:8">
      <c r="A4522" s="39">
        <v>3.6091723427358</v>
      </c>
      <c r="B4522" s="45">
        <v>3.9</v>
      </c>
      <c r="D4522" s="2"/>
      <c r="E4522" s="31"/>
      <c r="G4522" s="43"/>
      <c r="H4522" s="2"/>
    </row>
    <row r="4523" spans="1:8">
      <c r="A4523" s="39">
        <v>3.60901435617247</v>
      </c>
      <c r="B4523" s="45">
        <v>11</v>
      </c>
      <c r="D4523" s="2"/>
      <c r="E4523" s="31"/>
      <c r="G4523" s="43"/>
      <c r="H4523" s="2"/>
    </row>
    <row r="4524" spans="1:8">
      <c r="A4524" s="39">
        <v>3.60889603434111</v>
      </c>
      <c r="B4524" s="45">
        <v>12.2</v>
      </c>
      <c r="D4524" s="2"/>
      <c r="E4524" s="31"/>
      <c r="G4524" s="43"/>
      <c r="H4524" s="2"/>
    </row>
    <row r="4525" spans="1:8">
      <c r="A4525" s="39">
        <v>3.60711895433675</v>
      </c>
      <c r="B4525" s="45">
        <v>14.4</v>
      </c>
      <c r="D4525" s="2"/>
      <c r="E4525" s="31"/>
      <c r="G4525" s="43"/>
      <c r="H4525" s="2"/>
    </row>
    <row r="4526" spans="1:8">
      <c r="A4526" s="39">
        <v>3.60687612984428</v>
      </c>
      <c r="B4526" s="45">
        <v>2</v>
      </c>
      <c r="D4526" s="2"/>
      <c r="E4526" s="31"/>
      <c r="G4526" s="43"/>
      <c r="H4526" s="2"/>
    </row>
    <row r="4527" spans="1:8">
      <c r="A4527" s="39">
        <v>3.60687612984428</v>
      </c>
      <c r="B4527" s="45">
        <v>2</v>
      </c>
      <c r="D4527" s="2"/>
      <c r="E4527" s="31"/>
      <c r="G4527" s="43"/>
      <c r="H4527" s="2"/>
    </row>
    <row r="4528" spans="1:8">
      <c r="A4528" s="39">
        <v>3.60645894070898</v>
      </c>
      <c r="B4528" s="45">
        <v>5.7</v>
      </c>
      <c r="D4528" s="2"/>
      <c r="E4528" s="31"/>
      <c r="G4528" s="43"/>
      <c r="H4528" s="2"/>
    </row>
    <row r="4529" spans="1:8">
      <c r="A4529" s="39">
        <v>3.6061044473991</v>
      </c>
      <c r="B4529" s="45">
        <v>3.8</v>
      </c>
      <c r="D4529" s="2"/>
      <c r="E4529" s="31"/>
      <c r="G4529" s="43"/>
      <c r="H4529" s="2"/>
    </row>
    <row r="4530" spans="1:8">
      <c r="A4530" s="39">
        <v>3.60575002873738</v>
      </c>
      <c r="B4530" s="45">
        <v>9.4</v>
      </c>
      <c r="D4530" s="2"/>
      <c r="E4530" s="31"/>
      <c r="G4530" s="43"/>
      <c r="H4530" s="2"/>
    </row>
    <row r="4531" spans="1:8">
      <c r="A4531" s="39">
        <v>3.60537697020576</v>
      </c>
      <c r="B4531" s="45">
        <v>10.6</v>
      </c>
      <c r="D4531" s="2"/>
      <c r="E4531" s="31"/>
      <c r="G4531" s="43"/>
      <c r="H4531" s="2"/>
    </row>
    <row r="4532" spans="1:8">
      <c r="A4532" s="39">
        <v>3.60461104552049</v>
      </c>
      <c r="B4532" s="45">
        <v>2</v>
      </c>
      <c r="D4532" s="2"/>
      <c r="E4532" s="31"/>
      <c r="G4532" s="43"/>
      <c r="H4532" s="2"/>
    </row>
    <row r="4533" spans="1:8">
      <c r="A4533" s="39">
        <v>3.60461087652756</v>
      </c>
      <c r="B4533" s="45">
        <v>11</v>
      </c>
      <c r="D4533" s="2"/>
      <c r="E4533" s="31"/>
      <c r="G4533" s="43"/>
      <c r="H4533" s="2"/>
    </row>
    <row r="4534" spans="1:8">
      <c r="A4534" s="39">
        <v>3.60449390740859</v>
      </c>
      <c r="B4534" s="45">
        <v>17</v>
      </c>
      <c r="D4534" s="2"/>
      <c r="E4534" s="31"/>
      <c r="G4534" s="43"/>
      <c r="H4534" s="2"/>
    </row>
    <row r="4535" spans="1:8">
      <c r="A4535" s="39">
        <v>3.60449390740859</v>
      </c>
      <c r="B4535" s="45">
        <v>17</v>
      </c>
      <c r="D4535" s="2"/>
      <c r="E4535" s="31"/>
      <c r="G4535" s="43"/>
      <c r="H4535" s="2"/>
    </row>
    <row r="4536" spans="1:8">
      <c r="A4536" s="39">
        <v>3.60434825463365</v>
      </c>
      <c r="B4536" s="45">
        <v>6.6</v>
      </c>
      <c r="D4536" s="2"/>
      <c r="E4536" s="31"/>
      <c r="G4536" s="43"/>
      <c r="H4536" s="2"/>
    </row>
    <row r="4537" spans="1:8">
      <c r="A4537" s="39">
        <v>3.60398525367928</v>
      </c>
      <c r="B4537" s="45">
        <v>4.2</v>
      </c>
      <c r="D4537" s="2"/>
      <c r="E4537" s="31"/>
      <c r="G4537" s="43"/>
      <c r="H4537" s="2"/>
    </row>
    <row r="4538" spans="1:8">
      <c r="A4538" s="39">
        <v>3.60398525367928</v>
      </c>
      <c r="B4538" s="45">
        <v>0</v>
      </c>
      <c r="D4538" s="2"/>
      <c r="E4538" s="31"/>
      <c r="G4538" s="43"/>
      <c r="H4538" s="2"/>
    </row>
    <row r="4539" spans="1:8">
      <c r="A4539" s="39">
        <v>3.60384032737098</v>
      </c>
      <c r="B4539" s="45">
        <v>16.5</v>
      </c>
      <c r="D4539" s="2"/>
      <c r="E4539" s="31"/>
      <c r="G4539" s="43"/>
      <c r="H4539" s="2"/>
    </row>
    <row r="4540" spans="1:8">
      <c r="A4540" s="39">
        <v>3.60331247207396</v>
      </c>
      <c r="B4540" s="45">
        <v>16.4</v>
      </c>
      <c r="D4540" s="2"/>
      <c r="E4540" s="31"/>
      <c r="G4540" s="43"/>
      <c r="H4540" s="2"/>
    </row>
    <row r="4541" spans="1:8">
      <c r="A4541" s="39">
        <v>3.60331247207396</v>
      </c>
      <c r="B4541" s="45">
        <v>7.5</v>
      </c>
      <c r="D4541" s="2"/>
      <c r="E4541" s="31"/>
      <c r="G4541" s="43"/>
      <c r="H4541" s="2"/>
    </row>
    <row r="4542" spans="1:8">
      <c r="A4542" s="39">
        <v>3.60318674733337</v>
      </c>
      <c r="B4542" s="45">
        <v>3.1</v>
      </c>
      <c r="D4542" s="2"/>
      <c r="E4542" s="31"/>
      <c r="G4542" s="43"/>
      <c r="H4542" s="2"/>
    </row>
    <row r="4543" spans="1:8">
      <c r="A4543" s="39">
        <v>3.60308583135493</v>
      </c>
      <c r="B4543" s="45">
        <v>7</v>
      </c>
      <c r="D4543" s="2"/>
      <c r="E4543" s="31"/>
      <c r="G4543" s="43"/>
      <c r="H4543" s="2"/>
    </row>
    <row r="4544" spans="1:8">
      <c r="A4544" s="39">
        <v>3.60301217753864</v>
      </c>
      <c r="B4544" s="45">
        <v>9.7</v>
      </c>
      <c r="D4544" s="2"/>
      <c r="E4544" s="31"/>
      <c r="G4544" s="43"/>
      <c r="H4544" s="2"/>
    </row>
    <row r="4545" spans="1:8">
      <c r="A4545" s="39">
        <v>3.60232771473896</v>
      </c>
      <c r="B4545" s="45">
        <v>8.2</v>
      </c>
      <c r="D4545" s="2"/>
      <c r="E4545" s="31"/>
      <c r="G4545" s="43"/>
      <c r="H4545" s="2"/>
    </row>
    <row r="4546" spans="1:8">
      <c r="A4546" s="39">
        <v>3.60173958423905</v>
      </c>
      <c r="B4546" s="45">
        <v>8.7</v>
      </c>
      <c r="D4546" s="2"/>
      <c r="E4546" s="31"/>
      <c r="G4546" s="43"/>
      <c r="H4546" s="2"/>
    </row>
    <row r="4547" spans="1:8">
      <c r="A4547" s="39">
        <v>3.60172812546276</v>
      </c>
      <c r="B4547" s="45">
        <v>7.6</v>
      </c>
      <c r="D4547" s="2"/>
      <c r="E4547" s="31"/>
      <c r="G4547" s="43"/>
      <c r="H4547" s="2"/>
    </row>
    <row r="4548" spans="1:8">
      <c r="A4548" s="39">
        <v>3.60122600722055</v>
      </c>
      <c r="B4548" s="45">
        <v>5.6</v>
      </c>
      <c r="D4548" s="2"/>
      <c r="E4548" s="31"/>
      <c r="G4548" s="43"/>
      <c r="H4548" s="2"/>
    </row>
    <row r="4549" spans="1:8">
      <c r="A4549" s="39">
        <v>3.60027432633991</v>
      </c>
      <c r="B4549" s="45">
        <v>7</v>
      </c>
      <c r="D4549" s="2"/>
      <c r="E4549" s="31"/>
      <c r="G4549" s="43"/>
      <c r="H4549" s="2"/>
    </row>
    <row r="4550" spans="1:8">
      <c r="A4550" s="39">
        <v>3.59946981335589</v>
      </c>
      <c r="B4550" s="45">
        <v>10</v>
      </c>
      <c r="D4550" s="2"/>
      <c r="E4550" s="31"/>
      <c r="G4550" s="43"/>
      <c r="H4550" s="2"/>
    </row>
    <row r="4551" spans="1:8">
      <c r="A4551" s="39">
        <v>3.59946981335589</v>
      </c>
      <c r="B4551" s="45">
        <v>10.6</v>
      </c>
      <c r="D4551" s="2"/>
      <c r="E4551" s="31"/>
      <c r="G4551" s="43"/>
      <c r="H4551" s="2"/>
    </row>
    <row r="4552" spans="1:8">
      <c r="A4552" s="39">
        <v>3.59942332045789</v>
      </c>
      <c r="B4552" s="45">
        <v>5</v>
      </c>
      <c r="D4552" s="2"/>
      <c r="E4552" s="31"/>
      <c r="G4552" s="43"/>
      <c r="H4552" s="2"/>
    </row>
    <row r="4553" spans="1:8">
      <c r="A4553" s="39">
        <v>3.5988661234413</v>
      </c>
      <c r="B4553" s="45">
        <v>4.7</v>
      </c>
      <c r="D4553" s="2"/>
      <c r="E4553" s="31"/>
      <c r="G4553" s="43"/>
      <c r="H4553" s="2"/>
    </row>
    <row r="4554" spans="1:8">
      <c r="A4554" s="39">
        <v>3.59810219827233</v>
      </c>
      <c r="B4554" s="45">
        <v>1.2</v>
      </c>
      <c r="D4554" s="2"/>
      <c r="E4554" s="31"/>
      <c r="G4554" s="43"/>
      <c r="H4554" s="2"/>
    </row>
    <row r="4555" spans="1:8">
      <c r="A4555" s="39">
        <v>3.59757336993535</v>
      </c>
      <c r="B4555" s="45">
        <v>8.3</v>
      </c>
      <c r="D4555" s="2"/>
      <c r="E4555" s="31"/>
      <c r="G4555" s="43"/>
      <c r="H4555" s="2"/>
    </row>
    <row r="4556" spans="1:8">
      <c r="A4556" s="39">
        <v>3.59731263438256</v>
      </c>
      <c r="B4556" s="45">
        <v>10</v>
      </c>
      <c r="D4556" s="2"/>
      <c r="E4556" s="31"/>
      <c r="G4556" s="43"/>
      <c r="H4556" s="2"/>
    </row>
    <row r="4557" spans="1:8">
      <c r="A4557" s="39">
        <v>3.59686961927613</v>
      </c>
      <c r="B4557" s="45">
        <v>11.2</v>
      </c>
      <c r="D4557" s="2"/>
      <c r="E4557" s="31"/>
      <c r="G4557" s="43"/>
      <c r="H4557" s="2"/>
    </row>
    <row r="4558" spans="1:8">
      <c r="A4558" s="39">
        <v>3.59677398772586</v>
      </c>
      <c r="B4558" s="45">
        <v>17</v>
      </c>
      <c r="D4558" s="2"/>
      <c r="E4558" s="31"/>
      <c r="G4558" s="43"/>
      <c r="H4558" s="2"/>
    </row>
    <row r="4559" spans="1:8">
      <c r="A4559" s="39">
        <v>3.59665094695729</v>
      </c>
      <c r="B4559" s="45">
        <v>10.2</v>
      </c>
      <c r="D4559" s="2"/>
      <c r="E4559" s="31"/>
      <c r="G4559" s="43"/>
      <c r="H4559" s="2"/>
    </row>
    <row r="4560" spans="1:8">
      <c r="A4560" s="39">
        <v>3.59628350528898</v>
      </c>
      <c r="B4560" s="45">
        <v>9.3</v>
      </c>
      <c r="D4560" s="2"/>
      <c r="E4560" s="31"/>
      <c r="G4560" s="43"/>
      <c r="H4560" s="2"/>
    </row>
    <row r="4561" spans="1:8">
      <c r="A4561" s="39">
        <v>3.59596228534729</v>
      </c>
      <c r="B4561" s="45">
        <v>4.2</v>
      </c>
      <c r="D4561" s="2"/>
      <c r="E4561" s="31"/>
      <c r="G4561" s="43"/>
      <c r="H4561" s="2"/>
    </row>
    <row r="4562" spans="1:8">
      <c r="A4562" s="39">
        <v>3.59548308674212</v>
      </c>
      <c r="B4562" s="45">
        <v>2.15</v>
      </c>
      <c r="D4562" s="2"/>
      <c r="E4562" s="31"/>
      <c r="G4562" s="43"/>
      <c r="H4562" s="2"/>
    </row>
    <row r="4563" spans="1:8">
      <c r="A4563" s="39">
        <v>3.59475836729847</v>
      </c>
      <c r="B4563" s="45">
        <v>8.8</v>
      </c>
      <c r="D4563" s="2"/>
      <c r="E4563" s="31"/>
      <c r="G4563" s="43"/>
      <c r="H4563" s="2"/>
    </row>
    <row r="4564" spans="1:8">
      <c r="A4564" s="39">
        <v>3.59469020684447</v>
      </c>
      <c r="B4564" s="45">
        <v>27</v>
      </c>
      <c r="D4564" s="2"/>
      <c r="E4564" s="31"/>
      <c r="G4564" s="43"/>
      <c r="H4564" s="2"/>
    </row>
    <row r="4565" spans="1:8">
      <c r="A4565" s="39">
        <v>3.59469020684447</v>
      </c>
      <c r="B4565" s="45">
        <v>8.4</v>
      </c>
      <c r="D4565" s="2"/>
      <c r="E4565" s="31"/>
      <c r="G4565" s="43"/>
      <c r="H4565" s="2"/>
    </row>
    <row r="4566" spans="1:8">
      <c r="A4566" s="39">
        <v>3.59411416114275</v>
      </c>
      <c r="B4566" s="45">
        <v>4.4</v>
      </c>
      <c r="D4566" s="2"/>
      <c r="E4566" s="31"/>
      <c r="G4566" s="43"/>
      <c r="H4566" s="2"/>
    </row>
    <row r="4567" spans="1:8">
      <c r="A4567" s="39">
        <v>3.59404033864213</v>
      </c>
      <c r="B4567" s="45">
        <v>7.1</v>
      </c>
      <c r="D4567" s="2"/>
      <c r="E4567" s="31"/>
      <c r="G4567" s="43"/>
      <c r="H4567" s="2"/>
    </row>
    <row r="4568" spans="1:8">
      <c r="A4568" s="39">
        <v>3.59404033864213</v>
      </c>
      <c r="B4568" s="45">
        <v>5.9</v>
      </c>
      <c r="D4568" s="2"/>
      <c r="E4568" s="31"/>
      <c r="G4568" s="43"/>
      <c r="H4568" s="2"/>
    </row>
    <row r="4569" spans="1:8">
      <c r="A4569" s="39">
        <v>3.59386279874349</v>
      </c>
      <c r="B4569" s="45">
        <v>8.9</v>
      </c>
      <c r="D4569" s="2"/>
      <c r="E4569" s="31"/>
      <c r="G4569" s="43"/>
      <c r="H4569" s="2"/>
    </row>
    <row r="4570" spans="1:8">
      <c r="A4570" s="39">
        <v>3.59319218578706</v>
      </c>
      <c r="B4570" s="45">
        <v>8</v>
      </c>
      <c r="D4570" s="2"/>
      <c r="E4570" s="31"/>
      <c r="G4570" s="43"/>
      <c r="H4570" s="2"/>
    </row>
    <row r="4571" spans="1:8">
      <c r="A4571" s="39">
        <v>3.59307936528956</v>
      </c>
      <c r="B4571" s="45">
        <v>2.3</v>
      </c>
      <c r="D4571" s="2"/>
      <c r="E4571" s="31"/>
      <c r="G4571" s="43"/>
      <c r="H4571" s="2"/>
    </row>
    <row r="4572" spans="1:8">
      <c r="A4572" s="39">
        <v>3.5924072042523</v>
      </c>
      <c r="B4572" s="45">
        <v>12.2</v>
      </c>
      <c r="D4572" s="2"/>
      <c r="E4572" s="31"/>
      <c r="G4572" s="43"/>
      <c r="H4572" s="2"/>
    </row>
    <row r="4573" spans="1:8">
      <c r="A4573" s="39">
        <v>3.5922927634627</v>
      </c>
      <c r="B4573" s="45">
        <v>1</v>
      </c>
      <c r="D4573" s="2"/>
      <c r="E4573" s="31"/>
      <c r="G4573" s="43"/>
      <c r="H4573" s="2"/>
    </row>
    <row r="4574" spans="1:8">
      <c r="A4574" s="39">
        <v>3.59150647901709</v>
      </c>
      <c r="B4574" s="45">
        <v>6.5</v>
      </c>
      <c r="D4574" s="2"/>
      <c r="E4574" s="31"/>
      <c r="G4574" s="43"/>
      <c r="H4574" s="2"/>
    </row>
    <row r="4575" spans="1:8">
      <c r="A4575" s="39">
        <v>3.59150647901709</v>
      </c>
      <c r="B4575" s="45">
        <v>13.1</v>
      </c>
      <c r="D4575" s="2"/>
      <c r="E4575" s="31"/>
      <c r="G4575" s="43"/>
      <c r="H4575" s="2"/>
    </row>
    <row r="4576" spans="1:8">
      <c r="A4576" s="39">
        <v>3.59098057615658</v>
      </c>
      <c r="B4576" s="45">
        <v>9.1</v>
      </c>
      <c r="D4576" s="2"/>
      <c r="E4576" s="31"/>
      <c r="G4576" s="43"/>
      <c r="H4576" s="2"/>
    </row>
    <row r="4577" spans="1:8">
      <c r="A4577" s="39">
        <v>3.59082742633891</v>
      </c>
      <c r="B4577" s="45">
        <v>5.1</v>
      </c>
      <c r="D4577" s="2"/>
      <c r="E4577" s="31"/>
      <c r="G4577" s="43"/>
      <c r="H4577" s="2"/>
    </row>
    <row r="4578" spans="1:8">
      <c r="A4578" s="39">
        <v>3.59068874074773</v>
      </c>
      <c r="B4578" s="45">
        <v>1</v>
      </c>
      <c r="D4578" s="2"/>
      <c r="E4578" s="31"/>
      <c r="G4578" s="43"/>
      <c r="H4578" s="2"/>
    </row>
    <row r="4579" spans="1:8">
      <c r="A4579" s="39">
        <v>3.59068874074773</v>
      </c>
      <c r="B4579" s="45">
        <v>6.6</v>
      </c>
      <c r="D4579" s="2"/>
      <c r="E4579" s="31"/>
      <c r="G4579" s="43"/>
      <c r="H4579" s="2"/>
    </row>
    <row r="4580" spans="1:8">
      <c r="A4580" s="39">
        <v>3.59004359237067</v>
      </c>
      <c r="B4580" s="45">
        <v>9.8</v>
      </c>
      <c r="D4580" s="2"/>
      <c r="E4580" s="31"/>
      <c r="G4580" s="43"/>
      <c r="H4580" s="2"/>
    </row>
    <row r="4581" spans="1:8">
      <c r="A4581" s="39">
        <v>3.58959449648965</v>
      </c>
      <c r="B4581" s="45">
        <v>18</v>
      </c>
      <c r="D4581" s="2"/>
      <c r="E4581" s="31"/>
      <c r="G4581" s="43"/>
      <c r="H4581" s="2"/>
    </row>
    <row r="4582" spans="1:8">
      <c r="A4582" s="39">
        <v>3.58937029087173</v>
      </c>
      <c r="B4582" s="45">
        <v>10.5</v>
      </c>
      <c r="D4582" s="2"/>
      <c r="E4582" s="31"/>
      <c r="G4582" s="43"/>
      <c r="H4582" s="2"/>
    </row>
    <row r="4583" spans="1:8">
      <c r="A4583" s="39">
        <v>3.58898803370356</v>
      </c>
      <c r="B4583" s="45">
        <v>10</v>
      </c>
      <c r="D4583" s="2"/>
      <c r="E4583" s="31"/>
      <c r="G4583" s="43"/>
      <c r="H4583" s="2"/>
    </row>
    <row r="4584" spans="1:8">
      <c r="A4584" s="39">
        <v>3.58886989008126</v>
      </c>
      <c r="B4584" s="45">
        <v>16</v>
      </c>
      <c r="D4584" s="2"/>
      <c r="E4584" s="31"/>
      <c r="G4584" s="43"/>
      <c r="H4584" s="2"/>
    </row>
    <row r="4585" spans="1:8">
      <c r="A4585" s="39">
        <v>3.58816632805615</v>
      </c>
      <c r="B4585" s="45">
        <v>13.4</v>
      </c>
      <c r="D4585" s="2"/>
      <c r="E4585" s="31"/>
      <c r="G4585" s="43"/>
      <c r="H4585" s="2"/>
    </row>
    <row r="4586" spans="1:8">
      <c r="A4586" s="39">
        <v>3.58791751756554</v>
      </c>
      <c r="B4586" s="45">
        <v>3.5</v>
      </c>
      <c r="D4586" s="2"/>
      <c r="E4586" s="31"/>
      <c r="G4586" s="43"/>
      <c r="H4586" s="2"/>
    </row>
    <row r="4587" spans="1:8">
      <c r="A4587" s="39">
        <v>3.58731262353314</v>
      </c>
      <c r="B4587" s="45">
        <v>12.8</v>
      </c>
      <c r="D4587" s="2"/>
      <c r="E4587" s="31"/>
      <c r="G4587" s="43"/>
      <c r="H4587" s="2"/>
    </row>
    <row r="4588" spans="1:8">
      <c r="A4588" s="39">
        <v>3.5872695331459</v>
      </c>
      <c r="B4588" s="45">
        <v>11</v>
      </c>
      <c r="D4588" s="2"/>
      <c r="E4588" s="31"/>
      <c r="G4588" s="43"/>
      <c r="H4588" s="2"/>
    </row>
    <row r="4589" spans="1:8">
      <c r="A4589" s="39">
        <v>3.5871900403722</v>
      </c>
      <c r="B4589" s="45">
        <v>11.6</v>
      </c>
      <c r="D4589" s="2"/>
      <c r="E4589" s="31"/>
      <c r="G4589" s="43"/>
      <c r="H4589" s="2"/>
    </row>
    <row r="4590" spans="1:8">
      <c r="A4590" s="39">
        <v>3.58635255182151</v>
      </c>
      <c r="B4590" s="45">
        <v>4.3</v>
      </c>
      <c r="D4590" s="2"/>
      <c r="E4590" s="31"/>
      <c r="G4590" s="43"/>
      <c r="H4590" s="2"/>
    </row>
    <row r="4591" spans="1:8">
      <c r="A4591" s="39">
        <v>3.58619366635556</v>
      </c>
      <c r="B4591" s="45">
        <v>17.9</v>
      </c>
      <c r="D4591" s="2"/>
      <c r="E4591" s="31"/>
      <c r="G4591" s="43"/>
      <c r="H4591" s="2"/>
    </row>
    <row r="4592" spans="1:8">
      <c r="A4592" s="39">
        <v>3.58600378337701</v>
      </c>
      <c r="B4592" s="45">
        <v>6.4</v>
      </c>
      <c r="D4592" s="2"/>
      <c r="E4592" s="31"/>
      <c r="G4592" s="43"/>
      <c r="H4592" s="2"/>
    </row>
    <row r="4593" spans="1:8">
      <c r="A4593" s="39">
        <v>3.58599680719224</v>
      </c>
      <c r="B4593" s="45">
        <v>4.2</v>
      </c>
      <c r="D4593" s="2"/>
      <c r="E4593" s="31"/>
      <c r="G4593" s="43"/>
      <c r="H4593" s="2"/>
    </row>
    <row r="4594" spans="1:8">
      <c r="A4594" s="39">
        <v>3.58573508598551</v>
      </c>
      <c r="B4594" s="45">
        <v>11.5</v>
      </c>
      <c r="D4594" s="2"/>
      <c r="E4594" s="31"/>
      <c r="G4594" s="43"/>
      <c r="H4594" s="2"/>
    </row>
    <row r="4595" spans="1:8">
      <c r="A4595" s="39">
        <v>3.58509738486789</v>
      </c>
      <c r="B4595" s="45">
        <v>6.3</v>
      </c>
      <c r="D4595" s="2"/>
      <c r="E4595" s="31"/>
      <c r="G4595" s="43"/>
      <c r="H4595" s="2"/>
    </row>
    <row r="4596" spans="1:8">
      <c r="A4596" s="39">
        <v>3.58443060511635</v>
      </c>
      <c r="B4596" s="45">
        <v>5</v>
      </c>
      <c r="D4596" s="2"/>
      <c r="E4596" s="31"/>
      <c r="G4596" s="43"/>
      <c r="H4596" s="2"/>
    </row>
    <row r="4597" spans="1:8">
      <c r="A4597" s="39">
        <v>3.58414683459287</v>
      </c>
      <c r="B4597" s="45">
        <v>4.7</v>
      </c>
      <c r="D4597" s="2"/>
      <c r="E4597" s="31"/>
      <c r="G4597" s="43"/>
      <c r="H4597" s="2"/>
    </row>
    <row r="4598" spans="1:8">
      <c r="A4598" s="39">
        <v>3.58355265440548</v>
      </c>
      <c r="B4598" s="45">
        <v>3</v>
      </c>
      <c r="D4598" s="2"/>
      <c r="E4598" s="31"/>
      <c r="G4598" s="43"/>
      <c r="H4598" s="2"/>
    </row>
    <row r="4599" spans="1:8">
      <c r="A4599" s="39">
        <v>3.58355265440548</v>
      </c>
      <c r="B4599" s="45">
        <v>14.5</v>
      </c>
      <c r="D4599" s="2"/>
      <c r="E4599" s="31"/>
      <c r="G4599" s="43"/>
      <c r="H4599" s="2"/>
    </row>
    <row r="4600" spans="1:8">
      <c r="A4600" s="39">
        <v>3.58355265440548</v>
      </c>
      <c r="B4600" s="45">
        <v>25.5</v>
      </c>
      <c r="D4600" s="2"/>
      <c r="E4600" s="31"/>
      <c r="G4600" s="43"/>
      <c r="H4600" s="2"/>
    </row>
    <row r="4601" spans="1:8">
      <c r="A4601" s="39">
        <v>3.58349835675094</v>
      </c>
      <c r="B4601" s="45">
        <v>23</v>
      </c>
      <c r="D4601" s="2"/>
      <c r="E4601" s="31"/>
      <c r="G4601" s="43"/>
      <c r="H4601" s="2"/>
    </row>
    <row r="4602" spans="1:8">
      <c r="A4602" s="39">
        <v>3.58349835675094</v>
      </c>
      <c r="B4602" s="45">
        <v>9.2</v>
      </c>
      <c r="D4602" s="2"/>
      <c r="E4602" s="31"/>
      <c r="G4602" s="43"/>
      <c r="H4602" s="2"/>
    </row>
    <row r="4603" spans="1:8">
      <c r="A4603" s="39">
        <v>3.58332909632351</v>
      </c>
      <c r="B4603" s="45">
        <v>1</v>
      </c>
      <c r="D4603" s="2"/>
      <c r="E4603" s="31"/>
      <c r="G4603" s="43"/>
      <c r="H4603" s="2"/>
    </row>
    <row r="4604" spans="1:8">
      <c r="A4604" s="39">
        <v>3.5832582583554</v>
      </c>
      <c r="B4604" s="45">
        <v>9.3</v>
      </c>
      <c r="D4604" s="2"/>
      <c r="E4604" s="31"/>
      <c r="G4604" s="43"/>
      <c r="H4604" s="2"/>
    </row>
    <row r="4605" spans="1:8">
      <c r="A4605" s="39">
        <v>3.5831627563478</v>
      </c>
      <c r="B4605" s="45">
        <v>8</v>
      </c>
      <c r="D4605" s="2"/>
      <c r="E4605" s="31"/>
      <c r="G4605" s="43"/>
      <c r="H4605" s="2"/>
    </row>
    <row r="4606" spans="1:8">
      <c r="A4606" s="39">
        <v>3.58292576616752</v>
      </c>
      <c r="B4606" s="45">
        <v>11.8</v>
      </c>
      <c r="D4606" s="2"/>
      <c r="E4606" s="31"/>
      <c r="G4606" s="43"/>
      <c r="H4606" s="2"/>
    </row>
    <row r="4607" spans="1:8">
      <c r="A4607" s="39">
        <v>3.58253783185527</v>
      </c>
      <c r="B4607" s="45">
        <v>10.3</v>
      </c>
      <c r="D4607" s="2"/>
      <c r="E4607" s="31"/>
      <c r="G4607" s="43"/>
      <c r="H4607" s="2"/>
    </row>
    <row r="4608" spans="1:8">
      <c r="A4608" s="39">
        <v>3.58251135805416</v>
      </c>
      <c r="B4608" s="45">
        <v>3.8</v>
      </c>
      <c r="D4608" s="2"/>
      <c r="E4608" s="31"/>
      <c r="G4608" s="43"/>
      <c r="H4608" s="2"/>
    </row>
    <row r="4609" spans="1:8">
      <c r="A4609" s="39">
        <v>3.58227218612991</v>
      </c>
      <c r="B4609" s="45">
        <v>4</v>
      </c>
      <c r="D4609" s="2"/>
      <c r="E4609" s="31"/>
      <c r="G4609" s="43"/>
      <c r="H4609" s="2"/>
    </row>
    <row r="4610" spans="1:8">
      <c r="A4610" s="39">
        <v>3.58227218612991</v>
      </c>
      <c r="B4610" s="45">
        <v>4.1</v>
      </c>
      <c r="D4610" s="2"/>
      <c r="E4610" s="31"/>
      <c r="G4610" s="43"/>
      <c r="H4610" s="2"/>
    </row>
    <row r="4611" spans="1:8">
      <c r="A4611" s="39">
        <v>3.58202817173491</v>
      </c>
      <c r="B4611" s="45">
        <v>7.1</v>
      </c>
      <c r="D4611" s="2"/>
      <c r="E4611" s="31"/>
      <c r="G4611" s="43"/>
      <c r="H4611" s="2"/>
    </row>
    <row r="4612" spans="1:8">
      <c r="A4612" s="39">
        <v>3.58179383074843</v>
      </c>
      <c r="B4612" s="45">
        <v>3.4</v>
      </c>
      <c r="D4612" s="2"/>
      <c r="E4612" s="31"/>
      <c r="G4612" s="43"/>
      <c r="H4612" s="2"/>
    </row>
    <row r="4613" spans="1:8">
      <c r="A4613" s="39">
        <v>3.58179383074843</v>
      </c>
      <c r="B4613" s="45">
        <v>3.9</v>
      </c>
      <c r="D4613" s="2"/>
      <c r="E4613" s="31"/>
      <c r="G4613" s="43"/>
      <c r="H4613" s="2"/>
    </row>
    <row r="4614" spans="1:8">
      <c r="A4614" s="39">
        <v>3.5816186060923</v>
      </c>
      <c r="B4614" s="45">
        <v>9.5</v>
      </c>
      <c r="D4614" s="2"/>
      <c r="E4614" s="31"/>
      <c r="G4614" s="43"/>
      <c r="H4614" s="2"/>
    </row>
    <row r="4615" spans="1:8">
      <c r="A4615" s="39">
        <v>3.5816186060923</v>
      </c>
      <c r="B4615" s="45">
        <v>15.8</v>
      </c>
      <c r="D4615" s="2"/>
      <c r="E4615" s="31"/>
      <c r="G4615" s="43"/>
      <c r="H4615" s="2"/>
    </row>
    <row r="4616" spans="1:8">
      <c r="A4616" s="39">
        <v>3.58149024556839</v>
      </c>
      <c r="B4616" s="45">
        <v>6.5</v>
      </c>
      <c r="D4616" s="2"/>
      <c r="E4616" s="31"/>
      <c r="G4616" s="43"/>
      <c r="H4616" s="2"/>
    </row>
    <row r="4617" spans="1:8">
      <c r="A4617" s="39">
        <v>3.57997960345484</v>
      </c>
      <c r="B4617" s="45">
        <v>10.5</v>
      </c>
      <c r="D4617" s="2"/>
      <c r="E4617" s="31"/>
      <c r="G4617" s="43"/>
      <c r="H4617" s="2"/>
    </row>
    <row r="4618" spans="1:8">
      <c r="A4618" s="39">
        <v>3.57994406988651</v>
      </c>
      <c r="B4618" s="45">
        <v>2</v>
      </c>
      <c r="D4618" s="2"/>
      <c r="E4618" s="31"/>
      <c r="G4618" s="43"/>
      <c r="H4618" s="2"/>
    </row>
    <row r="4619" spans="1:8">
      <c r="A4619" s="39">
        <v>3.57994406988651</v>
      </c>
      <c r="B4619" s="45">
        <v>10</v>
      </c>
      <c r="D4619" s="2"/>
      <c r="E4619" s="31"/>
      <c r="G4619" s="43"/>
      <c r="H4619" s="2"/>
    </row>
    <row r="4620" spans="1:8">
      <c r="A4620" s="39">
        <v>3.57991526843877</v>
      </c>
      <c r="B4620" s="45">
        <v>7.9</v>
      </c>
      <c r="D4620" s="2"/>
      <c r="E4620" s="31"/>
      <c r="G4620" s="43"/>
      <c r="H4620" s="2"/>
    </row>
    <row r="4621" spans="1:8">
      <c r="A4621" s="39">
        <v>3.57974044234937</v>
      </c>
      <c r="B4621" s="45">
        <v>12.8</v>
      </c>
      <c r="D4621" s="2"/>
      <c r="E4621" s="31"/>
      <c r="G4621" s="43"/>
      <c r="H4621" s="2"/>
    </row>
    <row r="4622" spans="1:8">
      <c r="A4622" s="39">
        <v>3.57965786597948</v>
      </c>
      <c r="B4622" s="45">
        <v>19.7</v>
      </c>
      <c r="D4622" s="2"/>
      <c r="E4622" s="31"/>
      <c r="G4622" s="43"/>
      <c r="H4622" s="2"/>
    </row>
    <row r="4623" spans="1:8">
      <c r="A4623" s="39">
        <v>3.57927585279562</v>
      </c>
      <c r="B4623" s="45">
        <v>6.3</v>
      </c>
      <c r="D4623" s="2"/>
      <c r="E4623" s="31"/>
      <c r="G4623" s="43"/>
      <c r="H4623" s="2"/>
    </row>
    <row r="4624" spans="1:8">
      <c r="A4624" s="39">
        <v>3.57927585279562</v>
      </c>
      <c r="B4624" s="45">
        <v>10</v>
      </c>
      <c r="D4624" s="2"/>
      <c r="E4624" s="31"/>
      <c r="G4624" s="43"/>
      <c r="H4624" s="2"/>
    </row>
    <row r="4625" spans="1:8">
      <c r="A4625" s="39">
        <v>3.57924040497673</v>
      </c>
      <c r="B4625" s="45">
        <v>10</v>
      </c>
      <c r="D4625" s="2"/>
      <c r="E4625" s="31"/>
      <c r="G4625" s="43"/>
      <c r="H4625" s="2"/>
    </row>
    <row r="4626" spans="1:8">
      <c r="A4626" s="39">
        <v>3.57837151675001</v>
      </c>
      <c r="B4626" s="45">
        <v>6.4</v>
      </c>
      <c r="D4626" s="2"/>
      <c r="E4626" s="31"/>
      <c r="G4626" s="43"/>
      <c r="H4626" s="2"/>
    </row>
    <row r="4627" spans="1:8">
      <c r="A4627" s="39">
        <v>3.57837151675001</v>
      </c>
      <c r="B4627" s="45">
        <v>2.3</v>
      </c>
      <c r="D4627" s="2"/>
      <c r="E4627" s="31"/>
      <c r="G4627" s="43"/>
      <c r="H4627" s="2"/>
    </row>
    <row r="4628" spans="1:8">
      <c r="A4628" s="39">
        <v>3.57835070590426</v>
      </c>
      <c r="B4628" s="45">
        <v>10</v>
      </c>
      <c r="D4628" s="2"/>
      <c r="E4628" s="31"/>
      <c r="G4628" s="43"/>
      <c r="H4628" s="2"/>
    </row>
    <row r="4629" spans="1:8">
      <c r="A4629" s="39">
        <v>3.57824470492576</v>
      </c>
      <c r="B4629" s="45">
        <v>7</v>
      </c>
      <c r="D4629" s="2"/>
      <c r="E4629" s="31"/>
      <c r="G4629" s="43"/>
      <c r="H4629" s="2"/>
    </row>
    <row r="4630" spans="1:8">
      <c r="A4630" s="39">
        <v>3.57704354582905</v>
      </c>
      <c r="B4630" s="45">
        <v>15.6</v>
      </c>
      <c r="D4630" s="2"/>
      <c r="E4630" s="31"/>
      <c r="G4630" s="43"/>
      <c r="H4630" s="2"/>
    </row>
    <row r="4631" spans="1:8">
      <c r="A4631" s="39">
        <v>3.57700258394872</v>
      </c>
      <c r="B4631" s="45">
        <v>13</v>
      </c>
      <c r="D4631" s="2"/>
      <c r="E4631" s="31"/>
      <c r="G4631" s="43"/>
      <c r="H4631" s="2"/>
    </row>
    <row r="4632" spans="1:8">
      <c r="A4632" s="39">
        <v>3.57646085015873</v>
      </c>
      <c r="B4632" s="45">
        <v>2.9</v>
      </c>
      <c r="D4632" s="2"/>
      <c r="E4632" s="31"/>
      <c r="G4632" s="43"/>
      <c r="H4632" s="2"/>
    </row>
    <row r="4633" spans="1:8">
      <c r="A4633" s="39">
        <v>3.57646085015873</v>
      </c>
      <c r="B4633" s="45">
        <v>11</v>
      </c>
      <c r="D4633" s="2"/>
      <c r="E4633" s="31"/>
      <c r="G4633" s="43"/>
      <c r="H4633" s="2"/>
    </row>
    <row r="4634" spans="1:8">
      <c r="A4634" s="39">
        <v>3.57646085015873</v>
      </c>
      <c r="B4634" s="45">
        <v>10.3</v>
      </c>
      <c r="D4634" s="2"/>
      <c r="E4634" s="31"/>
      <c r="G4634" s="43"/>
      <c r="H4634" s="2"/>
    </row>
    <row r="4635" spans="1:8">
      <c r="A4635" s="39">
        <v>3.57646085015873</v>
      </c>
      <c r="B4635" s="45">
        <v>5</v>
      </c>
      <c r="D4635" s="2"/>
      <c r="E4635" s="31"/>
      <c r="G4635" s="43"/>
      <c r="H4635" s="2"/>
    </row>
    <row r="4636" spans="1:8">
      <c r="A4636" s="39">
        <v>3.57638996579144</v>
      </c>
      <c r="B4636" s="45">
        <v>12.4</v>
      </c>
      <c r="D4636" s="2"/>
      <c r="E4636" s="31"/>
      <c r="G4636" s="43"/>
      <c r="H4636" s="2"/>
    </row>
    <row r="4637" spans="1:8">
      <c r="A4637" s="39">
        <v>3.57638996579144</v>
      </c>
      <c r="B4637" s="45">
        <v>19</v>
      </c>
      <c r="D4637" s="2"/>
      <c r="E4637" s="31"/>
      <c r="G4637" s="43"/>
      <c r="H4637" s="2"/>
    </row>
    <row r="4638" spans="1:8">
      <c r="A4638" s="39">
        <v>3.57638996579144</v>
      </c>
      <c r="B4638" s="45">
        <v>0</v>
      </c>
      <c r="D4638" s="2"/>
      <c r="E4638" s="31"/>
      <c r="G4638" s="43"/>
      <c r="H4638" s="2"/>
    </row>
    <row r="4639" spans="1:8">
      <c r="A4639" s="39">
        <v>3.57610316162436</v>
      </c>
      <c r="B4639" s="45">
        <v>5.7</v>
      </c>
      <c r="D4639" s="2"/>
      <c r="E4639" s="31"/>
      <c r="G4639" s="43"/>
      <c r="H4639" s="2"/>
    </row>
    <row r="4640" spans="1:8">
      <c r="A4640" s="39">
        <v>3.57590426089284</v>
      </c>
      <c r="B4640" s="45">
        <v>15.2</v>
      </c>
      <c r="D4640" s="2"/>
      <c r="E4640" s="31"/>
      <c r="G4640" s="43"/>
      <c r="H4640" s="2"/>
    </row>
    <row r="4641" spans="1:8">
      <c r="A4641" s="39">
        <v>3.57590426089284</v>
      </c>
      <c r="B4641" s="45">
        <v>14.2</v>
      </c>
      <c r="D4641" s="2"/>
      <c r="E4641" s="31"/>
      <c r="G4641" s="43"/>
      <c r="H4641" s="2"/>
    </row>
    <row r="4642" spans="1:8">
      <c r="A4642" s="39">
        <v>3.57555040527871</v>
      </c>
      <c r="B4642" s="45">
        <v>12.2</v>
      </c>
      <c r="D4642" s="2"/>
      <c r="E4642" s="31"/>
      <c r="G4642" s="43"/>
      <c r="H4642" s="2"/>
    </row>
    <row r="4643" spans="1:8">
      <c r="A4643" s="39">
        <v>3.57550221160418</v>
      </c>
      <c r="B4643" s="45">
        <v>9.5</v>
      </c>
      <c r="D4643" s="2"/>
      <c r="E4643" s="31"/>
      <c r="G4643" s="43"/>
      <c r="H4643" s="2"/>
    </row>
    <row r="4644" spans="1:8">
      <c r="A4644" s="39">
        <v>3.5742647399519</v>
      </c>
      <c r="B4644" s="45">
        <v>4</v>
      </c>
      <c r="D4644" s="2"/>
      <c r="E4644" s="31"/>
      <c r="G4644" s="43"/>
      <c r="H4644" s="2"/>
    </row>
    <row r="4645" spans="1:8">
      <c r="A4645" s="39">
        <v>3.57339152552886</v>
      </c>
      <c r="B4645" s="45">
        <v>16.1</v>
      </c>
      <c r="D4645" s="2"/>
      <c r="E4645" s="31"/>
      <c r="G4645" s="43"/>
      <c r="H4645" s="2"/>
    </row>
    <row r="4646" spans="1:8">
      <c r="A4646" s="39">
        <v>3.57336797369869</v>
      </c>
      <c r="B4646" s="45">
        <v>5</v>
      </c>
      <c r="D4646" s="2"/>
      <c r="E4646" s="31"/>
      <c r="G4646" s="43"/>
      <c r="H4646" s="2"/>
    </row>
    <row r="4647" spans="1:8">
      <c r="A4647" s="39">
        <v>3.57336797369869</v>
      </c>
      <c r="B4647" s="45">
        <v>5</v>
      </c>
      <c r="D4647" s="2"/>
      <c r="E4647" s="31"/>
      <c r="G4647" s="43"/>
      <c r="H4647" s="2"/>
    </row>
    <row r="4648" spans="1:8">
      <c r="A4648" s="39">
        <v>3.57321105489707</v>
      </c>
      <c r="B4648" s="45">
        <v>2.5</v>
      </c>
      <c r="D4648" s="2"/>
      <c r="E4648" s="31"/>
      <c r="G4648" s="43"/>
      <c r="H4648" s="2"/>
    </row>
    <row r="4649" spans="1:8">
      <c r="A4649" s="39">
        <v>3.57289892488542</v>
      </c>
      <c r="B4649" s="45">
        <v>8</v>
      </c>
      <c r="D4649" s="2"/>
      <c r="E4649" s="31"/>
      <c r="G4649" s="43"/>
      <c r="H4649" s="2"/>
    </row>
    <row r="4650" spans="1:8">
      <c r="A4650" s="39">
        <v>3.57246848556579</v>
      </c>
      <c r="B4650" s="45">
        <v>8.5</v>
      </c>
      <c r="D4650" s="2"/>
      <c r="E4650" s="31"/>
      <c r="G4650" s="43"/>
      <c r="H4650" s="2"/>
    </row>
    <row r="4651" spans="1:8">
      <c r="A4651" s="39">
        <v>3.57193795153284</v>
      </c>
      <c r="B4651" s="45">
        <v>3</v>
      </c>
      <c r="D4651" s="2"/>
      <c r="E4651" s="31"/>
      <c r="G4651" s="43"/>
      <c r="H4651" s="2"/>
    </row>
    <row r="4652" spans="1:8">
      <c r="A4652" s="39">
        <v>3.57186445189918</v>
      </c>
      <c r="B4652" s="45">
        <v>8.1</v>
      </c>
      <c r="D4652" s="2"/>
      <c r="E4652" s="31"/>
      <c r="G4652" s="43"/>
      <c r="H4652" s="2"/>
    </row>
    <row r="4653" spans="1:8">
      <c r="A4653" s="39">
        <v>3.5716060500026</v>
      </c>
      <c r="B4653" s="45">
        <v>6.6</v>
      </c>
      <c r="D4653" s="2"/>
      <c r="E4653" s="31"/>
      <c r="G4653" s="43"/>
      <c r="H4653" s="2"/>
    </row>
    <row r="4654" spans="1:8">
      <c r="A4654" s="39">
        <v>3.5716060500026</v>
      </c>
      <c r="B4654" s="45">
        <v>13.4</v>
      </c>
      <c r="D4654" s="2"/>
      <c r="E4654" s="31"/>
      <c r="G4654" s="43"/>
      <c r="H4654" s="2"/>
    </row>
    <row r="4655" spans="1:8">
      <c r="A4655" s="39">
        <v>3.5716060500026</v>
      </c>
      <c r="B4655" s="45">
        <v>8.9</v>
      </c>
      <c r="D4655" s="2"/>
      <c r="E4655" s="31"/>
      <c r="G4655" s="43"/>
      <c r="H4655" s="2"/>
    </row>
    <row r="4656" spans="1:8">
      <c r="A4656" s="39">
        <v>3.57153459554419</v>
      </c>
      <c r="B4656" s="45">
        <v>3.5</v>
      </c>
      <c r="D4656" s="2"/>
      <c r="E4656" s="31"/>
      <c r="G4656" s="43"/>
      <c r="H4656" s="2"/>
    </row>
    <row r="4657" spans="1:8">
      <c r="A4657" s="39">
        <v>3.57152688875316</v>
      </c>
      <c r="B4657" s="45">
        <v>6.3</v>
      </c>
      <c r="D4657" s="2"/>
      <c r="E4657" s="31"/>
      <c r="G4657" s="43"/>
      <c r="H4657" s="2"/>
    </row>
    <row r="4658" spans="1:8">
      <c r="A4658" s="39">
        <v>3.57118554211866</v>
      </c>
      <c r="B4658" s="45">
        <v>6.3</v>
      </c>
      <c r="D4658" s="2"/>
      <c r="E4658" s="31"/>
      <c r="G4658" s="43"/>
      <c r="H4658" s="2"/>
    </row>
    <row r="4659" spans="1:8">
      <c r="A4659" s="39">
        <v>3.57107307551552</v>
      </c>
      <c r="B4659" s="45">
        <v>3.1</v>
      </c>
      <c r="D4659" s="2"/>
      <c r="E4659" s="31"/>
      <c r="G4659" s="43"/>
      <c r="H4659" s="2"/>
    </row>
    <row r="4660" spans="1:8">
      <c r="A4660" s="39">
        <v>3.57084242595348</v>
      </c>
      <c r="B4660" s="45">
        <v>3</v>
      </c>
      <c r="D4660" s="2"/>
      <c r="E4660" s="31"/>
      <c r="G4660" s="43"/>
      <c r="H4660" s="2"/>
    </row>
    <row r="4661" spans="1:8">
      <c r="A4661" s="39">
        <v>3.5691701533782</v>
      </c>
      <c r="B4661" s="45">
        <v>6.5</v>
      </c>
      <c r="D4661" s="2"/>
      <c r="E4661" s="31"/>
      <c r="G4661" s="43"/>
      <c r="H4661" s="2"/>
    </row>
    <row r="4662" spans="1:8">
      <c r="A4662" s="39">
        <v>3.56846659135309</v>
      </c>
      <c r="B4662" s="45">
        <v>13</v>
      </c>
      <c r="D4662" s="2"/>
      <c r="E4662" s="31"/>
      <c r="G4662" s="43"/>
      <c r="H4662" s="2"/>
    </row>
    <row r="4663" spans="1:8">
      <c r="A4663" s="39">
        <v>3.56845807186737</v>
      </c>
      <c r="B4663" s="45">
        <v>8.2</v>
      </c>
      <c r="D4663" s="2"/>
      <c r="E4663" s="31"/>
      <c r="G4663" s="43"/>
      <c r="H4663" s="2"/>
    </row>
    <row r="4664" spans="1:8">
      <c r="A4664" s="39">
        <v>3.56838989514769</v>
      </c>
      <c r="B4664" s="45">
        <v>9.4</v>
      </c>
      <c r="D4664" s="2"/>
      <c r="E4664" s="31"/>
      <c r="G4664" s="43"/>
      <c r="H4664" s="2"/>
    </row>
    <row r="4665" spans="1:8">
      <c r="A4665" s="39">
        <v>3.56776302932798</v>
      </c>
      <c r="B4665" s="45">
        <v>12.5</v>
      </c>
      <c r="D4665" s="2"/>
      <c r="E4665" s="31"/>
      <c r="G4665" s="43"/>
      <c r="H4665" s="2"/>
    </row>
    <row r="4666" spans="1:8">
      <c r="A4666" s="39">
        <v>3.56750137614796</v>
      </c>
      <c r="B4666" s="45">
        <v>7</v>
      </c>
      <c r="D4666" s="2"/>
      <c r="E4666" s="31"/>
      <c r="G4666" s="43"/>
      <c r="H4666" s="2"/>
    </row>
    <row r="4667" spans="1:8">
      <c r="A4667" s="39">
        <v>3.56713308476995</v>
      </c>
      <c r="B4667" s="45">
        <v>2.8</v>
      </c>
      <c r="D4667" s="2"/>
      <c r="E4667" s="31"/>
      <c r="G4667" s="43"/>
      <c r="H4667" s="2"/>
    </row>
    <row r="4668" spans="1:8">
      <c r="A4668" s="39">
        <v>3.56658626522732</v>
      </c>
      <c r="B4668" s="45">
        <v>12.8</v>
      </c>
      <c r="D4668" s="2"/>
      <c r="E4668" s="31"/>
      <c r="G4668" s="43"/>
      <c r="H4668" s="2"/>
    </row>
    <row r="4669" spans="1:8">
      <c r="A4669" s="39">
        <v>3.56647803990763</v>
      </c>
      <c r="B4669" s="45">
        <v>9.9</v>
      </c>
      <c r="D4669" s="2"/>
      <c r="E4669" s="31"/>
      <c r="G4669" s="43"/>
      <c r="H4669" s="2"/>
    </row>
    <row r="4670" spans="1:8">
      <c r="A4670" s="39">
        <v>3.56617211141737</v>
      </c>
      <c r="B4670" s="45">
        <v>7</v>
      </c>
      <c r="D4670" s="2"/>
      <c r="E4670" s="31"/>
      <c r="G4670" s="43"/>
      <c r="H4670" s="2"/>
    </row>
    <row r="4671" spans="1:8">
      <c r="A4671" s="39">
        <v>3.56615659266701</v>
      </c>
      <c r="B4671" s="45">
        <v>9.5</v>
      </c>
      <c r="D4671" s="2"/>
      <c r="E4671" s="31"/>
      <c r="G4671" s="43"/>
      <c r="H4671" s="2"/>
    </row>
    <row r="4672" spans="1:8">
      <c r="A4672" s="39">
        <v>3.56593268518971</v>
      </c>
      <c r="B4672" s="45">
        <v>24</v>
      </c>
      <c r="D4672" s="2"/>
      <c r="E4672" s="31"/>
      <c r="G4672" s="43"/>
      <c r="H4672" s="2"/>
    </row>
    <row r="4673" spans="1:8">
      <c r="A4673" s="39">
        <v>3.56593268518971</v>
      </c>
      <c r="B4673" s="45">
        <v>20</v>
      </c>
      <c r="D4673" s="2"/>
      <c r="E4673" s="31"/>
      <c r="G4673" s="43"/>
      <c r="H4673" s="2"/>
    </row>
    <row r="4674" spans="1:8">
      <c r="A4674" s="39">
        <v>3.56565234325266</v>
      </c>
      <c r="B4674" s="45">
        <v>7.6</v>
      </c>
      <c r="D4674" s="2"/>
      <c r="E4674" s="31"/>
      <c r="G4674" s="43"/>
      <c r="H4674" s="2"/>
    </row>
    <row r="4675" spans="1:8">
      <c r="A4675" s="39">
        <v>3.56565234325266</v>
      </c>
      <c r="B4675" s="45">
        <v>9</v>
      </c>
      <c r="D4675" s="2"/>
      <c r="E4675" s="31"/>
      <c r="G4675" s="43"/>
      <c r="H4675" s="2"/>
    </row>
    <row r="4676" spans="1:8">
      <c r="A4676" s="39">
        <v>3.56565234325266</v>
      </c>
      <c r="B4676" s="45">
        <v>15</v>
      </c>
      <c r="D4676" s="2"/>
      <c r="E4676" s="31"/>
      <c r="G4676" s="43"/>
      <c r="H4676" s="2"/>
    </row>
    <row r="4677" spans="1:8">
      <c r="A4677" s="39">
        <v>3.56565234325266</v>
      </c>
      <c r="B4677" s="45">
        <v>9.8</v>
      </c>
      <c r="D4677" s="2"/>
      <c r="E4677" s="31"/>
      <c r="G4677" s="43"/>
      <c r="H4677" s="2"/>
    </row>
    <row r="4678" spans="1:8">
      <c r="A4678" s="39">
        <v>3.56531009373214</v>
      </c>
      <c r="B4678" s="45">
        <v>13</v>
      </c>
      <c r="D4678" s="2"/>
      <c r="E4678" s="31"/>
      <c r="G4678" s="43"/>
      <c r="H4678" s="2"/>
    </row>
    <row r="4679" spans="1:8">
      <c r="A4679" s="39">
        <v>3.56520083961121</v>
      </c>
      <c r="B4679" s="45">
        <v>3</v>
      </c>
      <c r="D4679" s="2"/>
      <c r="E4679" s="31"/>
      <c r="G4679" s="43"/>
      <c r="H4679" s="2"/>
    </row>
    <row r="4680" spans="1:8">
      <c r="A4680" s="39">
        <v>3.56449708895199</v>
      </c>
      <c r="B4680" s="45">
        <v>7.5</v>
      </c>
      <c r="D4680" s="2"/>
      <c r="E4680" s="31"/>
      <c r="G4680" s="43"/>
      <c r="H4680" s="2"/>
    </row>
    <row r="4681" spans="1:8">
      <c r="A4681" s="39">
        <v>3.56399779795663</v>
      </c>
      <c r="B4681" s="45">
        <v>3</v>
      </c>
      <c r="D4681" s="2"/>
      <c r="E4681" s="31"/>
      <c r="G4681" s="43"/>
      <c r="H4681" s="2"/>
    </row>
    <row r="4682" spans="1:8">
      <c r="A4682" s="39">
        <v>3.56397194507689</v>
      </c>
      <c r="B4682" s="45">
        <v>21</v>
      </c>
      <c r="D4682" s="2"/>
      <c r="E4682" s="31"/>
      <c r="G4682" s="43"/>
      <c r="H4682" s="2"/>
    </row>
    <row r="4683" spans="1:8">
      <c r="A4683" s="39">
        <v>3.56391077018523</v>
      </c>
      <c r="B4683" s="45">
        <v>10</v>
      </c>
      <c r="D4683" s="2"/>
      <c r="E4683" s="31"/>
      <c r="G4683" s="43"/>
      <c r="H4683" s="2"/>
    </row>
    <row r="4684" spans="1:8">
      <c r="A4684" s="39">
        <v>3.56379333829277</v>
      </c>
      <c r="B4684" s="45">
        <v>10.1</v>
      </c>
      <c r="D4684" s="2"/>
      <c r="E4684" s="31"/>
      <c r="G4684" s="43"/>
      <c r="H4684" s="2"/>
    </row>
    <row r="4685" spans="1:8">
      <c r="A4685" s="39">
        <v>3.56331836503928</v>
      </c>
      <c r="B4685" s="45">
        <v>4.1</v>
      </c>
      <c r="D4685" s="2"/>
      <c r="E4685" s="31"/>
      <c r="G4685" s="43"/>
      <c r="H4685" s="2"/>
    </row>
    <row r="4686" spans="1:8">
      <c r="A4686" s="39">
        <v>3.56329531442854</v>
      </c>
      <c r="B4686" s="45">
        <v>7.1</v>
      </c>
      <c r="D4686" s="2"/>
      <c r="E4686" s="31"/>
      <c r="G4686" s="43"/>
      <c r="H4686" s="2"/>
    </row>
    <row r="4687" spans="1:8">
      <c r="A4687" s="39">
        <v>3.56256751718294</v>
      </c>
      <c r="B4687" s="45">
        <v>7.9</v>
      </c>
      <c r="D4687" s="2"/>
      <c r="E4687" s="31"/>
      <c r="G4687" s="43"/>
      <c r="H4687" s="2"/>
    </row>
    <row r="4688" spans="1:8">
      <c r="A4688" s="39">
        <v>3.56172833860521</v>
      </c>
      <c r="B4688" s="45">
        <v>9.9</v>
      </c>
      <c r="D4688" s="2"/>
      <c r="E4688" s="31"/>
      <c r="G4688" s="43"/>
      <c r="H4688" s="2"/>
    </row>
    <row r="4689" spans="1:8">
      <c r="A4689" s="39">
        <v>3.561430971102</v>
      </c>
      <c r="B4689" s="45">
        <v>9.1</v>
      </c>
      <c r="D4689" s="2"/>
      <c r="E4689" s="31"/>
      <c r="G4689" s="43"/>
      <c r="H4689" s="2"/>
    </row>
    <row r="4690" spans="1:8">
      <c r="A4690" s="39">
        <v>3.56100086141186</v>
      </c>
      <c r="B4690" s="45">
        <v>5.1</v>
      </c>
      <c r="D4690" s="2"/>
      <c r="E4690" s="31"/>
      <c r="G4690" s="43"/>
      <c r="H4690" s="2"/>
    </row>
    <row r="4691" spans="1:8">
      <c r="A4691" s="39">
        <v>3.56097833565588</v>
      </c>
      <c r="B4691" s="45">
        <v>11.6</v>
      </c>
      <c r="D4691" s="2"/>
      <c r="E4691" s="31"/>
      <c r="G4691" s="43"/>
      <c r="H4691" s="2"/>
    </row>
    <row r="4692" spans="1:8">
      <c r="A4692" s="39">
        <v>3.56072740907689</v>
      </c>
      <c r="B4692" s="45">
        <v>19</v>
      </c>
      <c r="D4692" s="2"/>
      <c r="E4692" s="31"/>
      <c r="G4692" s="43"/>
      <c r="H4692" s="2"/>
    </row>
    <row r="4693" spans="1:8">
      <c r="A4693" s="39">
        <v>3.5604062713019</v>
      </c>
      <c r="B4693" s="45">
        <v>2</v>
      </c>
      <c r="D4693" s="2"/>
      <c r="E4693" s="31"/>
      <c r="G4693" s="43"/>
      <c r="H4693" s="2"/>
    </row>
    <row r="4694" spans="1:8">
      <c r="A4694" s="39">
        <v>3.5604062713019</v>
      </c>
      <c r="B4694" s="45">
        <v>10.9</v>
      </c>
      <c r="D4694" s="2"/>
      <c r="E4694" s="31"/>
      <c r="G4694" s="43"/>
      <c r="H4694" s="2"/>
    </row>
    <row r="4695" spans="1:8">
      <c r="A4695" s="39">
        <v>3.56033915696276</v>
      </c>
      <c r="B4695" s="45">
        <v>7.6</v>
      </c>
      <c r="D4695" s="2"/>
      <c r="E4695" s="31"/>
      <c r="G4695" s="43"/>
      <c r="H4695" s="2"/>
    </row>
    <row r="4696" spans="1:8">
      <c r="A4696" s="39">
        <v>3.56005046485124</v>
      </c>
      <c r="B4696" s="45">
        <v>14.2</v>
      </c>
      <c r="D4696" s="2"/>
      <c r="E4696" s="31"/>
      <c r="G4696" s="43"/>
      <c r="H4696" s="2"/>
    </row>
    <row r="4697" spans="1:8">
      <c r="A4697" s="39">
        <v>3.56005046485124</v>
      </c>
      <c r="B4697" s="45">
        <v>6.7</v>
      </c>
      <c r="D4697" s="2"/>
      <c r="E4697" s="31"/>
      <c r="G4697" s="43"/>
      <c r="H4697" s="2"/>
    </row>
    <row r="4698" spans="1:8">
      <c r="A4698" s="39">
        <v>3.55965632820057</v>
      </c>
      <c r="B4698" s="45">
        <v>16</v>
      </c>
      <c r="D4698" s="2"/>
      <c r="E4698" s="31"/>
      <c r="G4698" s="43"/>
      <c r="H4698" s="2"/>
    </row>
    <row r="4699" spans="1:8">
      <c r="A4699" s="39">
        <v>3.55920655835884</v>
      </c>
      <c r="B4699" s="45">
        <v>9.5</v>
      </c>
      <c r="D4699" s="2"/>
      <c r="E4699" s="31"/>
      <c r="G4699" s="43"/>
      <c r="H4699" s="2"/>
    </row>
    <row r="4700" spans="1:8">
      <c r="A4700" s="39">
        <v>3.55907172341924</v>
      </c>
      <c r="B4700" s="45">
        <v>5.1</v>
      </c>
      <c r="D4700" s="2"/>
      <c r="E4700" s="31"/>
      <c r="G4700" s="43"/>
      <c r="H4700" s="2"/>
    </row>
    <row r="4701" spans="1:8">
      <c r="A4701" s="39">
        <v>3.5587969482428</v>
      </c>
      <c r="B4701" s="45">
        <v>12</v>
      </c>
      <c r="D4701" s="2"/>
      <c r="E4701" s="31"/>
      <c r="G4701" s="43"/>
      <c r="H4701" s="2"/>
    </row>
    <row r="4702" spans="1:8">
      <c r="A4702" s="39">
        <v>3.55861672300157</v>
      </c>
      <c r="B4702" s="45">
        <v>6.2</v>
      </c>
      <c r="D4702" s="2"/>
      <c r="E4702" s="31"/>
      <c r="G4702" s="43"/>
      <c r="H4702" s="2"/>
    </row>
    <row r="4703" spans="1:8">
      <c r="A4703" s="39">
        <v>3.55861672300157</v>
      </c>
      <c r="B4703" s="45">
        <v>10.3</v>
      </c>
      <c r="D4703" s="2"/>
      <c r="E4703" s="31"/>
      <c r="G4703" s="43"/>
      <c r="H4703" s="2"/>
    </row>
    <row r="4704" spans="1:8">
      <c r="A4704" s="39">
        <v>3.55820073370938</v>
      </c>
      <c r="B4704" s="45">
        <v>16.7</v>
      </c>
      <c r="D4704" s="2"/>
      <c r="E4704" s="31"/>
      <c r="G4704" s="43"/>
      <c r="H4704" s="2"/>
    </row>
    <row r="4705" spans="1:8">
      <c r="A4705" s="39">
        <v>3.55752335124417</v>
      </c>
      <c r="B4705" s="45">
        <v>4.1</v>
      </c>
      <c r="D4705" s="2"/>
      <c r="E4705" s="31"/>
      <c r="G4705" s="43"/>
      <c r="H4705" s="2"/>
    </row>
    <row r="4706" spans="1:8">
      <c r="A4706" s="39">
        <v>3.55721529281297</v>
      </c>
      <c r="B4706" s="45">
        <v>11</v>
      </c>
      <c r="D4706" s="2"/>
      <c r="E4706" s="31"/>
      <c r="G4706" s="43"/>
      <c r="H4706" s="2"/>
    </row>
    <row r="4707" spans="1:8">
      <c r="A4707" s="39">
        <v>3.55675804737016</v>
      </c>
      <c r="B4707" s="45">
        <v>12.4</v>
      </c>
      <c r="D4707" s="2"/>
      <c r="E4707" s="31"/>
      <c r="G4707" s="43"/>
      <c r="H4707" s="2"/>
    </row>
    <row r="4708" spans="1:8">
      <c r="A4708" s="39">
        <v>3.55612898462559</v>
      </c>
      <c r="B4708" s="45">
        <v>6.2</v>
      </c>
      <c r="D4708" s="2"/>
      <c r="E4708" s="31"/>
      <c r="G4708" s="43"/>
      <c r="H4708" s="2"/>
    </row>
    <row r="4709" spans="1:8">
      <c r="A4709" s="39">
        <v>3.55604182545164</v>
      </c>
      <c r="B4709" s="45">
        <v>8</v>
      </c>
      <c r="D4709" s="2"/>
      <c r="E4709" s="31"/>
      <c r="G4709" s="43"/>
      <c r="H4709" s="2"/>
    </row>
    <row r="4710" spans="1:8">
      <c r="A4710" s="39">
        <v>3.55560140453901</v>
      </c>
      <c r="B4710" s="45">
        <v>1</v>
      </c>
      <c r="D4710" s="2"/>
      <c r="E4710" s="31"/>
      <c r="G4710" s="43"/>
      <c r="H4710" s="2"/>
    </row>
    <row r="4711" spans="1:8">
      <c r="A4711" s="39">
        <v>3.55560140453901</v>
      </c>
      <c r="B4711" s="45">
        <v>5</v>
      </c>
      <c r="D4711" s="2"/>
      <c r="E4711" s="31"/>
      <c r="G4711" s="43"/>
      <c r="H4711" s="2"/>
    </row>
    <row r="4712" spans="1:8">
      <c r="A4712" s="39">
        <v>3.55560140453901</v>
      </c>
      <c r="B4712" s="45">
        <v>12.3</v>
      </c>
      <c r="D4712" s="2"/>
      <c r="E4712" s="31"/>
      <c r="G4712" s="43"/>
      <c r="H4712" s="2"/>
    </row>
    <row r="4713" spans="1:8">
      <c r="A4713" s="39">
        <v>3.55534833038212</v>
      </c>
      <c r="B4713" s="45">
        <v>12.4</v>
      </c>
      <c r="D4713" s="2"/>
      <c r="E4713" s="31"/>
      <c r="G4713" s="43"/>
      <c r="H4713" s="2"/>
    </row>
    <row r="4714" spans="1:8">
      <c r="A4714" s="39">
        <v>3.55509891287602</v>
      </c>
      <c r="B4714" s="45">
        <v>25</v>
      </c>
      <c r="D4714" s="2"/>
      <c r="E4714" s="31"/>
      <c r="G4714" s="43"/>
      <c r="H4714" s="2"/>
    </row>
    <row r="4715" spans="1:8">
      <c r="A4715" s="39">
        <v>3.55503191442557</v>
      </c>
      <c r="B4715" s="45">
        <v>10.8</v>
      </c>
      <c r="D4715" s="2"/>
      <c r="E4715" s="31"/>
      <c r="G4715" s="43"/>
      <c r="H4715" s="2"/>
    </row>
    <row r="4716" spans="1:8">
      <c r="A4716" s="39">
        <v>3.55474713186347</v>
      </c>
      <c r="B4716" s="45">
        <v>16</v>
      </c>
      <c r="D4716" s="2"/>
      <c r="E4716" s="31"/>
      <c r="G4716" s="43"/>
      <c r="H4716" s="2"/>
    </row>
    <row r="4717" spans="1:8">
      <c r="A4717" s="39">
        <v>3.55451702583991</v>
      </c>
      <c r="B4717" s="45">
        <v>2</v>
      </c>
      <c r="D4717" s="2"/>
      <c r="E4717" s="31"/>
      <c r="G4717" s="43"/>
      <c r="H4717" s="2"/>
    </row>
    <row r="4718" spans="1:8">
      <c r="A4718" s="39">
        <v>3.55451702583991</v>
      </c>
      <c r="B4718" s="45">
        <v>4.2</v>
      </c>
      <c r="D4718" s="2"/>
      <c r="E4718" s="31"/>
      <c r="G4718" s="43"/>
      <c r="H4718" s="2"/>
    </row>
    <row r="4719" spans="1:8">
      <c r="A4719" s="39">
        <v>3.55445356667178</v>
      </c>
      <c r="B4719" s="45">
        <v>10.4</v>
      </c>
      <c r="D4719" s="2"/>
      <c r="E4719" s="31"/>
      <c r="G4719" s="43"/>
      <c r="H4719" s="2"/>
    </row>
    <row r="4720" spans="1:8">
      <c r="A4720" s="39">
        <v>3.55445356667178</v>
      </c>
      <c r="B4720" s="45">
        <v>9.4</v>
      </c>
      <c r="D4720" s="2"/>
      <c r="E4720" s="31"/>
      <c r="G4720" s="43"/>
      <c r="H4720" s="2"/>
    </row>
    <row r="4721" spans="1:8">
      <c r="A4721" s="39">
        <v>3.55441531876105</v>
      </c>
      <c r="B4721" s="45">
        <v>8.5</v>
      </c>
      <c r="D4721" s="2"/>
      <c r="E4721" s="31"/>
      <c r="G4721" s="43"/>
      <c r="H4721" s="2"/>
    </row>
    <row r="4722" spans="1:8">
      <c r="A4722" s="39">
        <v>3.55441531876105</v>
      </c>
      <c r="B4722" s="45">
        <v>10</v>
      </c>
      <c r="D4722" s="2"/>
      <c r="E4722" s="31"/>
      <c r="G4722" s="43"/>
      <c r="H4722" s="2"/>
    </row>
    <row r="4723" spans="1:8">
      <c r="A4723" s="39">
        <v>3.55441531876105</v>
      </c>
      <c r="B4723" s="45">
        <v>8.2</v>
      </c>
      <c r="D4723" s="2"/>
      <c r="E4723" s="31"/>
      <c r="G4723" s="43"/>
      <c r="H4723" s="2"/>
    </row>
    <row r="4724" spans="1:8">
      <c r="A4724" s="39">
        <v>3.55439535085091</v>
      </c>
      <c r="B4724" s="45">
        <v>11</v>
      </c>
      <c r="D4724" s="2"/>
      <c r="E4724" s="31"/>
      <c r="G4724" s="43"/>
      <c r="H4724" s="2"/>
    </row>
    <row r="4725" spans="1:8">
      <c r="A4725" s="39">
        <v>3.55389315969608</v>
      </c>
      <c r="B4725" s="45">
        <v>8.5</v>
      </c>
      <c r="D4725" s="2"/>
      <c r="E4725" s="31"/>
      <c r="G4725" s="43"/>
      <c r="H4725" s="2"/>
    </row>
    <row r="4726" spans="1:8">
      <c r="A4726" s="39">
        <v>3.55361760351556</v>
      </c>
      <c r="B4726" s="45">
        <v>17</v>
      </c>
      <c r="D4726" s="2"/>
      <c r="E4726" s="31"/>
      <c r="G4726" s="43"/>
      <c r="H4726" s="2"/>
    </row>
    <row r="4727" spans="1:8">
      <c r="A4727" s="39">
        <v>3.55361760351556</v>
      </c>
      <c r="B4727" s="45">
        <v>10</v>
      </c>
      <c r="D4727" s="2"/>
      <c r="E4727" s="31"/>
      <c r="G4727" s="43"/>
      <c r="H4727" s="2"/>
    </row>
    <row r="4728" spans="1:8">
      <c r="A4728" s="39">
        <v>3.55286108443755</v>
      </c>
      <c r="B4728" s="45">
        <v>22</v>
      </c>
      <c r="D4728" s="2"/>
      <c r="E4728" s="31"/>
      <c r="G4728" s="43"/>
      <c r="H4728" s="2"/>
    </row>
    <row r="4729" spans="1:8">
      <c r="A4729" s="39">
        <v>3.552361930362</v>
      </c>
      <c r="B4729" s="45">
        <v>12.3</v>
      </c>
      <c r="D4729" s="2"/>
      <c r="E4729" s="31"/>
      <c r="G4729" s="43"/>
      <c r="H4729" s="2"/>
    </row>
    <row r="4730" spans="1:8">
      <c r="A4730" s="39">
        <v>3.552361930362</v>
      </c>
      <c r="B4730" s="45">
        <v>11.2</v>
      </c>
      <c r="D4730" s="2"/>
      <c r="E4730" s="31"/>
      <c r="G4730" s="43"/>
      <c r="H4730" s="2"/>
    </row>
    <row r="4731" spans="1:8">
      <c r="A4731" s="39">
        <v>3.55223799780499</v>
      </c>
      <c r="B4731" s="45">
        <v>8.4</v>
      </c>
      <c r="D4731" s="2"/>
      <c r="E4731" s="31"/>
      <c r="G4731" s="43"/>
      <c r="H4731" s="2"/>
    </row>
    <row r="4732" spans="1:8">
      <c r="A4732" s="39">
        <v>3.55220750439994</v>
      </c>
      <c r="B4732" s="45">
        <v>24</v>
      </c>
      <c r="D4732" s="2"/>
      <c r="E4732" s="31"/>
      <c r="G4732" s="43"/>
      <c r="H4732" s="2"/>
    </row>
    <row r="4733" spans="1:8">
      <c r="A4733" s="39">
        <v>3.55193288376303</v>
      </c>
      <c r="B4733" s="45">
        <v>5.6</v>
      </c>
      <c r="D4733" s="2"/>
      <c r="E4733" s="31"/>
      <c r="G4733" s="43"/>
      <c r="H4733" s="2"/>
    </row>
    <row r="4734" spans="1:8">
      <c r="A4734" s="39">
        <v>3.5517575111287</v>
      </c>
      <c r="B4734" s="45">
        <v>2</v>
      </c>
      <c r="D4734" s="2"/>
      <c r="E4734" s="31"/>
      <c r="G4734" s="43"/>
      <c r="H4734" s="2"/>
    </row>
    <row r="4735" spans="1:8">
      <c r="A4735" s="39">
        <v>3.55174449394052</v>
      </c>
      <c r="B4735" s="45">
        <v>12.3</v>
      </c>
      <c r="D4735" s="2"/>
      <c r="E4735" s="31"/>
      <c r="G4735" s="43"/>
      <c r="H4735" s="2"/>
    </row>
    <row r="4736" spans="1:8">
      <c r="A4736" s="39">
        <v>3.55155392436233</v>
      </c>
      <c r="B4736" s="45">
        <v>16</v>
      </c>
      <c r="D4736" s="2"/>
      <c r="E4736" s="31"/>
      <c r="G4736" s="43"/>
      <c r="H4736" s="2"/>
    </row>
    <row r="4737" spans="1:8">
      <c r="A4737" s="39">
        <v>3.55099300476263</v>
      </c>
      <c r="B4737" s="45">
        <v>8.5</v>
      </c>
      <c r="D4737" s="2"/>
      <c r="E4737" s="31"/>
      <c r="G4737" s="43"/>
      <c r="H4737" s="2"/>
    </row>
    <row r="4738" spans="1:8">
      <c r="A4738" s="39">
        <v>3.55099300476263</v>
      </c>
      <c r="B4738" s="45">
        <v>2.3</v>
      </c>
      <c r="D4738" s="2"/>
      <c r="E4738" s="31"/>
      <c r="G4738" s="43"/>
      <c r="H4738" s="2"/>
    </row>
    <row r="4739" spans="1:8">
      <c r="A4739" s="39">
        <v>3.5509193365425</v>
      </c>
      <c r="B4739" s="45">
        <v>6.2</v>
      </c>
      <c r="D4739" s="2"/>
      <c r="E4739" s="31"/>
      <c r="G4739" s="43"/>
      <c r="H4739" s="2"/>
    </row>
    <row r="4740" spans="1:8">
      <c r="A4740" s="39">
        <v>3.55090034432473</v>
      </c>
      <c r="B4740" s="45">
        <v>3.9</v>
      </c>
      <c r="D4740" s="2"/>
      <c r="E4740" s="31"/>
      <c r="G4740" s="43"/>
      <c r="H4740" s="2"/>
    </row>
    <row r="4741" spans="1:8">
      <c r="A4741" s="39">
        <v>3.55079653777612</v>
      </c>
      <c r="B4741" s="45">
        <v>7.1</v>
      </c>
      <c r="D4741" s="2"/>
      <c r="E4741" s="31"/>
      <c r="G4741" s="43"/>
      <c r="H4741" s="2"/>
    </row>
    <row r="4742" spans="1:8">
      <c r="A4742" s="39">
        <v>3.55017397870026</v>
      </c>
      <c r="B4742" s="45">
        <v>4.6</v>
      </c>
      <c r="D4742" s="2"/>
      <c r="E4742" s="31"/>
      <c r="G4742" s="43"/>
      <c r="H4742" s="2"/>
    </row>
    <row r="4743" spans="1:8">
      <c r="A4743" s="39">
        <v>3.55001991421815</v>
      </c>
      <c r="B4743" s="45">
        <v>5.2</v>
      </c>
      <c r="D4743" s="2"/>
      <c r="E4743" s="31"/>
      <c r="G4743" s="43"/>
      <c r="H4743" s="2"/>
    </row>
    <row r="4744" spans="1:8">
      <c r="A4744" s="39">
        <v>3.55001991421815</v>
      </c>
      <c r="B4744" s="45">
        <v>7.5</v>
      </c>
      <c r="D4744" s="2"/>
      <c r="E4744" s="31"/>
      <c r="G4744" s="43"/>
      <c r="H4744" s="2"/>
    </row>
    <row r="4745" spans="1:8">
      <c r="A4745" s="39">
        <v>3.54980182727987</v>
      </c>
      <c r="B4745" s="45">
        <v>6.5</v>
      </c>
      <c r="D4745" s="2"/>
      <c r="E4745" s="31"/>
      <c r="G4745" s="43"/>
      <c r="H4745" s="2"/>
    </row>
    <row r="4746" spans="1:8">
      <c r="A4746" s="39">
        <v>3.54964550243402</v>
      </c>
      <c r="B4746" s="45">
        <v>12.8</v>
      </c>
      <c r="D4746" s="2"/>
      <c r="E4746" s="31"/>
      <c r="G4746" s="43"/>
      <c r="H4746" s="2"/>
    </row>
    <row r="4747" spans="1:8">
      <c r="A4747" s="39">
        <v>3.54959318424951</v>
      </c>
      <c r="B4747" s="45">
        <v>24</v>
      </c>
      <c r="D4747" s="2"/>
      <c r="E4747" s="31"/>
      <c r="G4747" s="43"/>
      <c r="H4747" s="2"/>
    </row>
    <row r="4748" spans="1:8">
      <c r="A4748" s="39">
        <v>3.54946716676225</v>
      </c>
      <c r="B4748" s="45">
        <v>7.6</v>
      </c>
      <c r="D4748" s="2"/>
      <c r="E4748" s="31"/>
      <c r="G4748" s="43"/>
      <c r="H4748" s="2"/>
    </row>
    <row r="4749" spans="1:8">
      <c r="A4749" s="39">
        <v>3.54901457444913</v>
      </c>
      <c r="B4749" s="45">
        <v>17.5</v>
      </c>
      <c r="D4749" s="2"/>
      <c r="E4749" s="31"/>
      <c r="G4749" s="43"/>
      <c r="H4749" s="2"/>
    </row>
    <row r="4750" spans="1:8">
      <c r="A4750" s="39">
        <v>3.54873936951665</v>
      </c>
      <c r="B4750" s="45">
        <v>7</v>
      </c>
      <c r="D4750" s="2"/>
      <c r="E4750" s="31"/>
      <c r="G4750" s="43"/>
      <c r="H4750" s="2"/>
    </row>
    <row r="4751" spans="1:8">
      <c r="A4751" s="39">
        <v>3.54863374912504</v>
      </c>
      <c r="B4751" s="45">
        <v>12.6</v>
      </c>
      <c r="D4751" s="2"/>
      <c r="E4751" s="31"/>
      <c r="G4751" s="43"/>
      <c r="H4751" s="2"/>
    </row>
    <row r="4752" spans="1:8">
      <c r="A4752" s="39">
        <v>3.54806329262493</v>
      </c>
      <c r="B4752" s="45">
        <v>10</v>
      </c>
      <c r="D4752" s="2"/>
      <c r="E4752" s="31"/>
      <c r="G4752" s="43"/>
      <c r="H4752" s="2"/>
    </row>
    <row r="4753" spans="1:8">
      <c r="A4753" s="39">
        <v>3.54697886409908</v>
      </c>
      <c r="B4753" s="45">
        <v>11.2</v>
      </c>
      <c r="D4753" s="2"/>
      <c r="E4753" s="31"/>
      <c r="G4753" s="43"/>
      <c r="H4753" s="2"/>
    </row>
    <row r="4754" spans="1:8">
      <c r="A4754" s="39">
        <v>3.54665616857471</v>
      </c>
      <c r="B4754" s="45">
        <v>13.2</v>
      </c>
      <c r="D4754" s="2"/>
      <c r="E4754" s="31"/>
      <c r="G4754" s="43"/>
      <c r="H4754" s="2"/>
    </row>
    <row r="4755" spans="1:8">
      <c r="A4755" s="39">
        <v>3.54665616857471</v>
      </c>
      <c r="B4755" s="45">
        <v>6.2</v>
      </c>
      <c r="D4755" s="2"/>
      <c r="E4755" s="31"/>
      <c r="G4755" s="43"/>
      <c r="H4755" s="2"/>
    </row>
    <row r="4756" spans="1:8">
      <c r="A4756" s="39">
        <v>3.54653087420244</v>
      </c>
      <c r="B4756" s="45">
        <v>1.2</v>
      </c>
      <c r="D4756" s="2"/>
      <c r="E4756" s="31"/>
      <c r="G4756" s="43"/>
      <c r="H4756" s="2"/>
    </row>
    <row r="4757" spans="1:8">
      <c r="A4757" s="39">
        <v>3.54601471859236</v>
      </c>
      <c r="B4757" s="45">
        <v>8.3</v>
      </c>
      <c r="D4757" s="2"/>
      <c r="E4757" s="31"/>
      <c r="G4757" s="43"/>
      <c r="H4757" s="2"/>
    </row>
    <row r="4758" spans="1:8">
      <c r="A4758" s="39">
        <v>3.54582818053428</v>
      </c>
      <c r="B4758" s="45">
        <v>2</v>
      </c>
      <c r="D4758" s="2"/>
      <c r="E4758" s="31"/>
      <c r="G4758" s="43"/>
      <c r="H4758" s="2"/>
    </row>
    <row r="4759" spans="1:8">
      <c r="A4759" s="39">
        <v>3.54572384035167</v>
      </c>
      <c r="B4759" s="45">
        <v>7.5</v>
      </c>
      <c r="D4759" s="2"/>
      <c r="E4759" s="31"/>
      <c r="G4759" s="43"/>
      <c r="H4759" s="2"/>
    </row>
    <row r="4760" spans="1:8">
      <c r="A4760" s="39">
        <v>3.54552280259639</v>
      </c>
      <c r="B4760" s="45">
        <v>1</v>
      </c>
      <c r="D4760" s="2"/>
      <c r="E4760" s="31"/>
      <c r="G4760" s="43"/>
      <c r="H4760" s="2"/>
    </row>
    <row r="4761" spans="1:8">
      <c r="A4761" s="39">
        <v>3.54510038328868</v>
      </c>
      <c r="B4761" s="45">
        <v>0</v>
      </c>
      <c r="D4761" s="2"/>
      <c r="E4761" s="31"/>
      <c r="G4761" s="43"/>
      <c r="H4761" s="2"/>
    </row>
    <row r="4762" spans="1:8">
      <c r="A4762" s="39">
        <v>3.54493239194141</v>
      </c>
      <c r="B4762" s="45">
        <v>7.9</v>
      </c>
      <c r="D4762" s="2"/>
      <c r="E4762" s="31"/>
      <c r="G4762" s="43"/>
      <c r="H4762" s="2"/>
    </row>
    <row r="4763" spans="1:8">
      <c r="A4763" s="39">
        <v>3.54384192047428</v>
      </c>
      <c r="B4763" s="45">
        <v>5</v>
      </c>
      <c r="D4763" s="2"/>
      <c r="E4763" s="31"/>
      <c r="G4763" s="43"/>
      <c r="H4763" s="2"/>
    </row>
    <row r="4764" spans="1:8">
      <c r="A4764" s="39">
        <v>3.54371096391104</v>
      </c>
      <c r="B4764" s="45">
        <v>5</v>
      </c>
      <c r="D4764" s="2"/>
      <c r="E4764" s="31"/>
      <c r="G4764" s="43"/>
      <c r="H4764" s="2"/>
    </row>
    <row r="4765" spans="1:8">
      <c r="A4765" s="39">
        <v>3.54338456917537</v>
      </c>
      <c r="B4765" s="45">
        <v>4.2</v>
      </c>
      <c r="D4765" s="2"/>
      <c r="E4765" s="31"/>
      <c r="G4765" s="43"/>
      <c r="H4765" s="2"/>
    </row>
    <row r="4766" spans="1:8">
      <c r="A4766" s="39">
        <v>3.54313835844917</v>
      </c>
      <c r="B4766" s="45">
        <v>18.6</v>
      </c>
      <c r="D4766" s="2"/>
      <c r="E4766" s="31"/>
      <c r="G4766" s="43"/>
      <c r="H4766" s="2"/>
    </row>
    <row r="4767" spans="1:8">
      <c r="A4767" s="39">
        <v>3.54313835844917</v>
      </c>
      <c r="B4767" s="45">
        <v>9.8</v>
      </c>
      <c r="D4767" s="2"/>
      <c r="E4767" s="31"/>
      <c r="G4767" s="43"/>
      <c r="H4767" s="2"/>
    </row>
    <row r="4768" spans="1:8">
      <c r="A4768" s="39">
        <v>3.54313835844917</v>
      </c>
      <c r="B4768" s="45">
        <v>11.3</v>
      </c>
      <c r="D4768" s="2"/>
      <c r="E4768" s="31"/>
      <c r="G4768" s="43"/>
      <c r="H4768" s="2"/>
    </row>
    <row r="4769" spans="1:8">
      <c r="A4769" s="39">
        <v>3.54313835844917</v>
      </c>
      <c r="B4769" s="45">
        <v>10.5</v>
      </c>
      <c r="D4769" s="2"/>
      <c r="E4769" s="31"/>
      <c r="G4769" s="43"/>
      <c r="H4769" s="2"/>
    </row>
    <row r="4770" spans="1:8">
      <c r="A4770" s="39">
        <v>3.54305738387343</v>
      </c>
      <c r="B4770" s="45">
        <v>0.6</v>
      </c>
      <c r="D4770" s="2"/>
      <c r="E4770" s="31"/>
      <c r="G4770" s="43"/>
      <c r="H4770" s="2"/>
    </row>
    <row r="4771" spans="1:8">
      <c r="A4771" s="39">
        <v>3.54305738387343</v>
      </c>
      <c r="B4771" s="45">
        <v>5</v>
      </c>
      <c r="D4771" s="2"/>
      <c r="E4771" s="31"/>
      <c r="G4771" s="43"/>
      <c r="H4771" s="2"/>
    </row>
    <row r="4772" spans="1:8">
      <c r="A4772" s="39">
        <v>3.54240380383582</v>
      </c>
      <c r="B4772" s="45">
        <v>11</v>
      </c>
      <c r="D4772" s="2"/>
      <c r="E4772" s="31"/>
      <c r="G4772" s="43"/>
      <c r="H4772" s="2"/>
    </row>
    <row r="4773" spans="1:8">
      <c r="A4773" s="39">
        <v>3.54223918594563</v>
      </c>
      <c r="B4773" s="45">
        <v>10.9</v>
      </c>
      <c r="D4773" s="2"/>
      <c r="E4773" s="31"/>
      <c r="G4773" s="43"/>
      <c r="H4773" s="2"/>
    </row>
    <row r="4774" spans="1:8">
      <c r="A4774" s="39">
        <v>3.54218919430631</v>
      </c>
      <c r="B4774" s="45">
        <v>17</v>
      </c>
      <c r="D4774" s="2"/>
      <c r="E4774" s="31"/>
      <c r="G4774" s="43"/>
      <c r="H4774" s="2"/>
    </row>
    <row r="4775" spans="1:8">
      <c r="A4775" s="39">
        <v>3.54218919430631</v>
      </c>
      <c r="B4775" s="45">
        <v>10.3</v>
      </c>
      <c r="D4775" s="2"/>
      <c r="E4775" s="31"/>
      <c r="G4775" s="43"/>
      <c r="H4775" s="2"/>
    </row>
    <row r="4776" spans="1:8">
      <c r="A4776" s="39">
        <v>3.54209498836673</v>
      </c>
      <c r="B4776" s="45">
        <v>4.1</v>
      </c>
      <c r="D4776" s="2"/>
      <c r="E4776" s="31"/>
      <c r="G4776" s="43"/>
      <c r="H4776" s="2"/>
    </row>
    <row r="4777" spans="1:8">
      <c r="A4777" s="39">
        <v>3.5420830154115</v>
      </c>
      <c r="B4777" s="45">
        <v>13.1</v>
      </c>
      <c r="D4777" s="2"/>
      <c r="E4777" s="31"/>
      <c r="G4777" s="43"/>
      <c r="H4777" s="2"/>
    </row>
    <row r="4778" spans="1:8">
      <c r="A4778" s="39">
        <v>3.54162444458629</v>
      </c>
      <c r="B4778" s="45">
        <v>5.6</v>
      </c>
      <c r="D4778" s="2"/>
      <c r="E4778" s="31"/>
      <c r="G4778" s="43"/>
      <c r="H4778" s="2"/>
    </row>
    <row r="4779" spans="1:8">
      <c r="A4779" s="39">
        <v>3.54127331719771</v>
      </c>
      <c r="B4779" s="45">
        <v>19.2</v>
      </c>
      <c r="D4779" s="2"/>
      <c r="E4779" s="31"/>
      <c r="G4779" s="43"/>
      <c r="H4779" s="2"/>
    </row>
    <row r="4780" spans="1:8">
      <c r="A4780" s="39">
        <v>3.5410966437606</v>
      </c>
      <c r="B4780" s="45">
        <v>11</v>
      </c>
      <c r="D4780" s="2"/>
      <c r="E4780" s="31"/>
      <c r="G4780" s="43"/>
      <c r="H4780" s="2"/>
    </row>
    <row r="4781" spans="1:8">
      <c r="A4781" s="39">
        <v>3.54102767237384</v>
      </c>
      <c r="B4781" s="45">
        <v>4.8</v>
      </c>
      <c r="D4781" s="2"/>
      <c r="E4781" s="31"/>
      <c r="G4781" s="43"/>
      <c r="H4781" s="2"/>
    </row>
    <row r="4782" spans="1:8">
      <c r="A4782" s="39">
        <v>3.54072606276736</v>
      </c>
      <c r="B4782" s="45">
        <v>4</v>
      </c>
      <c r="D4782" s="2"/>
      <c r="E4782" s="31"/>
      <c r="G4782" s="43"/>
      <c r="H4782" s="2"/>
    </row>
    <row r="4783" spans="1:8">
      <c r="A4783" s="39">
        <v>3.54022583089776</v>
      </c>
      <c r="B4783" s="45">
        <v>6.7</v>
      </c>
      <c r="D4783" s="2"/>
      <c r="E4783" s="31"/>
      <c r="G4783" s="43"/>
      <c r="H4783" s="2"/>
    </row>
    <row r="4784" spans="1:8">
      <c r="A4784" s="39">
        <v>3.53954597994986</v>
      </c>
      <c r="B4784" s="45">
        <v>2</v>
      </c>
      <c r="D4784" s="2"/>
      <c r="E4784" s="31"/>
      <c r="G4784" s="43"/>
      <c r="H4784" s="2"/>
    </row>
    <row r="4785" spans="1:8">
      <c r="A4785" s="39">
        <v>3.53913590364778</v>
      </c>
      <c r="B4785" s="45">
        <v>11.2</v>
      </c>
      <c r="D4785" s="2"/>
      <c r="E4785" s="31"/>
      <c r="G4785" s="43"/>
      <c r="H4785" s="2"/>
    </row>
    <row r="4786" spans="1:8">
      <c r="A4786" s="39">
        <v>3.53887267845091</v>
      </c>
      <c r="B4786" s="45">
        <v>7.3</v>
      </c>
      <c r="D4786" s="2"/>
      <c r="E4786" s="31"/>
      <c r="G4786" s="43"/>
      <c r="H4786" s="2"/>
    </row>
    <row r="4787" spans="1:8">
      <c r="A4787" s="39">
        <v>3.53887267845091</v>
      </c>
      <c r="B4787" s="45">
        <v>5.9</v>
      </c>
      <c r="D4787" s="2"/>
      <c r="E4787" s="31"/>
      <c r="G4787" s="43"/>
      <c r="H4787" s="2"/>
    </row>
    <row r="4788" spans="1:8">
      <c r="A4788" s="39">
        <v>3.53885249940716</v>
      </c>
      <c r="B4788" s="45">
        <v>5.5</v>
      </c>
      <c r="D4788" s="2"/>
      <c r="E4788" s="31"/>
      <c r="G4788" s="43"/>
      <c r="H4788" s="2"/>
    </row>
    <row r="4789" spans="1:8">
      <c r="A4789" s="39">
        <v>3.53867267436831</v>
      </c>
      <c r="B4789" s="45">
        <v>5.5</v>
      </c>
      <c r="D4789" s="2"/>
      <c r="E4789" s="31"/>
      <c r="G4789" s="43"/>
      <c r="H4789" s="2"/>
    </row>
    <row r="4790" spans="1:8">
      <c r="A4790" s="39">
        <v>3.53867267436831</v>
      </c>
      <c r="B4790" s="45">
        <v>5.7</v>
      </c>
      <c r="D4790" s="2"/>
      <c r="E4790" s="31"/>
      <c r="G4790" s="43"/>
      <c r="H4790" s="2"/>
    </row>
    <row r="4791" spans="1:8">
      <c r="A4791" s="39">
        <v>3.53848232361017</v>
      </c>
      <c r="B4791" s="45">
        <v>22.05</v>
      </c>
      <c r="D4791" s="2"/>
      <c r="E4791" s="31"/>
      <c r="G4791" s="43"/>
      <c r="H4791" s="2"/>
    </row>
    <row r="4792" spans="1:8">
      <c r="A4792" s="39">
        <v>3.53844906841824</v>
      </c>
      <c r="B4792" s="45">
        <v>8</v>
      </c>
      <c r="D4792" s="2"/>
      <c r="E4792" s="31"/>
      <c r="G4792" s="43"/>
      <c r="H4792" s="2"/>
    </row>
    <row r="4793" spans="1:8">
      <c r="A4793" s="39">
        <v>3.53819937695197</v>
      </c>
      <c r="B4793" s="45">
        <v>2</v>
      </c>
      <c r="D4793" s="2"/>
      <c r="E4793" s="31"/>
      <c r="G4793" s="43"/>
      <c r="H4793" s="2"/>
    </row>
    <row r="4794" spans="1:8">
      <c r="A4794" s="39">
        <v>3.5375098622483</v>
      </c>
      <c r="B4794" s="45">
        <v>8.6</v>
      </c>
      <c r="D4794" s="2"/>
      <c r="E4794" s="31"/>
      <c r="G4794" s="43"/>
      <c r="H4794" s="2"/>
    </row>
    <row r="4795" spans="1:8">
      <c r="A4795" s="39">
        <v>3.53742005557012</v>
      </c>
      <c r="B4795" s="45">
        <v>9.2</v>
      </c>
      <c r="D4795" s="2"/>
      <c r="E4795" s="31"/>
      <c r="G4795" s="43"/>
      <c r="H4795" s="2"/>
    </row>
    <row r="4796" spans="1:8">
      <c r="A4796" s="39">
        <v>3.53730374876894</v>
      </c>
      <c r="B4796" s="45">
        <v>7.9</v>
      </c>
      <c r="D4796" s="2"/>
      <c r="E4796" s="31"/>
      <c r="G4796" s="43"/>
      <c r="H4796" s="2"/>
    </row>
    <row r="4797" spans="1:8">
      <c r="A4797" s="39">
        <v>3.53730374876894</v>
      </c>
      <c r="B4797" s="45">
        <v>7.7</v>
      </c>
      <c r="D4797" s="2"/>
      <c r="E4797" s="31"/>
      <c r="G4797" s="43"/>
      <c r="H4797" s="2"/>
    </row>
    <row r="4798" spans="1:8">
      <c r="A4798" s="39">
        <v>3.53717516353495</v>
      </c>
      <c r="B4798" s="45">
        <v>7.4</v>
      </c>
      <c r="D4798" s="2"/>
      <c r="E4798" s="31"/>
      <c r="G4798" s="43"/>
      <c r="H4798" s="2"/>
    </row>
    <row r="4799" spans="1:8">
      <c r="A4799" s="39">
        <v>3.53717516353495</v>
      </c>
      <c r="B4799" s="45">
        <v>0</v>
      </c>
      <c r="D4799" s="2"/>
      <c r="E4799" s="31"/>
      <c r="G4799" s="43"/>
      <c r="H4799" s="2"/>
    </row>
    <row r="4800" spans="1:8">
      <c r="A4800" s="39">
        <v>3.53709461358715</v>
      </c>
      <c r="B4800" s="45">
        <v>2</v>
      </c>
      <c r="D4800" s="2"/>
      <c r="E4800" s="31"/>
      <c r="G4800" s="43"/>
      <c r="H4800" s="2"/>
    </row>
    <row r="4801" spans="1:8">
      <c r="A4801" s="39">
        <v>3.53652857935287</v>
      </c>
      <c r="B4801" s="45">
        <v>2</v>
      </c>
      <c r="D4801" s="2"/>
      <c r="E4801" s="31"/>
      <c r="G4801" s="43"/>
      <c r="H4801" s="2"/>
    </row>
    <row r="4802" spans="1:8">
      <c r="A4802" s="39">
        <v>3.53617947245514</v>
      </c>
      <c r="B4802" s="45">
        <v>5.7</v>
      </c>
      <c r="D4802" s="2"/>
      <c r="E4802" s="31"/>
      <c r="G4802" s="43"/>
      <c r="H4802" s="2"/>
    </row>
    <row r="4803" spans="1:8">
      <c r="A4803" s="39">
        <v>3.53610273819808</v>
      </c>
      <c r="B4803" s="45">
        <v>8.5</v>
      </c>
      <c r="D4803" s="2"/>
      <c r="E4803" s="31"/>
      <c r="G4803" s="43"/>
      <c r="H4803" s="2"/>
    </row>
    <row r="4804" spans="1:8">
      <c r="A4804" s="39">
        <v>3.53598761173308</v>
      </c>
      <c r="B4804" s="45">
        <v>12.4</v>
      </c>
      <c r="D4804" s="2"/>
      <c r="E4804" s="31"/>
      <c r="G4804" s="43"/>
      <c r="H4804" s="2"/>
    </row>
    <row r="4805" spans="1:8">
      <c r="A4805" s="39">
        <v>3.53586800345974</v>
      </c>
      <c r="B4805" s="45">
        <v>8.2</v>
      </c>
      <c r="D4805" s="2"/>
      <c r="E4805" s="31"/>
      <c r="G4805" s="43"/>
      <c r="H4805" s="2"/>
    </row>
    <row r="4806" spans="1:8">
      <c r="A4806" s="39">
        <v>3.53550617095619</v>
      </c>
      <c r="B4806" s="45">
        <v>3</v>
      </c>
      <c r="D4806" s="2"/>
      <c r="E4806" s="31"/>
      <c r="G4806" s="43"/>
      <c r="H4806" s="2"/>
    </row>
    <row r="4807" spans="1:8">
      <c r="A4807" s="39">
        <v>3.53550617095619</v>
      </c>
      <c r="B4807" s="45">
        <v>11.5</v>
      </c>
      <c r="D4807" s="2"/>
      <c r="E4807" s="31"/>
      <c r="G4807" s="43"/>
      <c r="H4807" s="2"/>
    </row>
    <row r="4808" spans="1:8">
      <c r="A4808" s="39">
        <v>3.53418342460477</v>
      </c>
      <c r="B4808" s="45">
        <v>6.6</v>
      </c>
      <c r="D4808" s="2"/>
      <c r="E4808" s="31"/>
      <c r="G4808" s="43"/>
      <c r="H4808" s="2"/>
    </row>
    <row r="4809" spans="1:8">
      <c r="A4809" s="39">
        <v>3.53383031237981</v>
      </c>
      <c r="B4809" s="45">
        <v>8.5</v>
      </c>
      <c r="D4809" s="2"/>
      <c r="E4809" s="31"/>
      <c r="G4809" s="43"/>
      <c r="H4809" s="2"/>
    </row>
    <row r="4810" spans="1:8">
      <c r="A4810" s="39">
        <v>3.53349901742971</v>
      </c>
      <c r="B4810" s="45">
        <v>2.8</v>
      </c>
      <c r="D4810" s="2"/>
      <c r="E4810" s="31"/>
      <c r="G4810" s="43"/>
      <c r="H4810" s="2"/>
    </row>
    <row r="4811" spans="1:8">
      <c r="A4811" s="39">
        <v>3.53349901742971</v>
      </c>
      <c r="B4811" s="45">
        <v>2.3</v>
      </c>
      <c r="D4811" s="2"/>
      <c r="E4811" s="31"/>
      <c r="G4811" s="43"/>
      <c r="H4811" s="2"/>
    </row>
    <row r="4812" spans="1:8">
      <c r="A4812" s="39">
        <v>3.53344706189272</v>
      </c>
      <c r="B4812" s="45">
        <v>3.9</v>
      </c>
      <c r="D4812" s="2"/>
      <c r="E4812" s="31"/>
      <c r="G4812" s="43"/>
      <c r="H4812" s="2"/>
    </row>
    <row r="4813" spans="1:8">
      <c r="A4813" s="39">
        <v>3.53282830928706</v>
      </c>
      <c r="B4813" s="45">
        <v>10.9</v>
      </c>
      <c r="D4813" s="2"/>
      <c r="E4813" s="31"/>
      <c r="G4813" s="43"/>
      <c r="H4813" s="2"/>
    </row>
    <row r="4814" spans="1:8">
      <c r="A4814" s="39">
        <v>3.53282830928706</v>
      </c>
      <c r="B4814" s="45">
        <v>8.5</v>
      </c>
      <c r="D4814" s="2"/>
      <c r="E4814" s="31"/>
      <c r="G4814" s="43"/>
      <c r="H4814" s="2"/>
    </row>
    <row r="4815" spans="1:8">
      <c r="A4815" s="39">
        <v>3.53263414141239</v>
      </c>
      <c r="B4815" s="45">
        <v>1</v>
      </c>
      <c r="D4815" s="2"/>
      <c r="E4815" s="31"/>
      <c r="G4815" s="43"/>
      <c r="H4815" s="2"/>
    </row>
    <row r="4816" spans="1:8">
      <c r="A4816" s="39">
        <v>3.53263414141239</v>
      </c>
      <c r="B4816" s="45">
        <v>2</v>
      </c>
      <c r="D4816" s="2"/>
      <c r="E4816" s="31"/>
      <c r="G4816" s="43"/>
      <c r="H4816" s="2"/>
    </row>
    <row r="4817" spans="1:8">
      <c r="A4817" s="39">
        <v>3.5326292508715</v>
      </c>
      <c r="B4817" s="45">
        <v>13</v>
      </c>
      <c r="D4817" s="2"/>
      <c r="E4817" s="31"/>
      <c r="G4817" s="43"/>
      <c r="H4817" s="2"/>
    </row>
    <row r="4818" spans="1:8">
      <c r="A4818" s="39">
        <v>3.5326001032717</v>
      </c>
      <c r="B4818" s="45">
        <v>7.3</v>
      </c>
      <c r="D4818" s="2"/>
      <c r="E4818" s="31"/>
      <c r="G4818" s="43"/>
      <c r="H4818" s="2"/>
    </row>
    <row r="4819" spans="1:8">
      <c r="A4819" s="39">
        <v>3.53251250917115</v>
      </c>
      <c r="B4819" s="45">
        <v>7</v>
      </c>
      <c r="D4819" s="2"/>
      <c r="E4819" s="31"/>
      <c r="G4819" s="43"/>
      <c r="H4819" s="2"/>
    </row>
    <row r="4820" spans="1:8">
      <c r="A4820" s="39">
        <v>3.53213966346147</v>
      </c>
      <c r="B4820" s="45">
        <v>8</v>
      </c>
      <c r="D4820" s="2"/>
      <c r="E4820" s="31"/>
      <c r="G4820" s="43"/>
      <c r="H4820" s="2"/>
    </row>
    <row r="4821" spans="1:8">
      <c r="A4821" s="39">
        <v>3.53190177367816</v>
      </c>
      <c r="B4821" s="45">
        <v>11.5</v>
      </c>
      <c r="D4821" s="2"/>
      <c r="E4821" s="31"/>
      <c r="G4821" s="43"/>
      <c r="H4821" s="2"/>
    </row>
    <row r="4822" spans="1:8">
      <c r="A4822" s="39">
        <v>3.53169028022196</v>
      </c>
      <c r="B4822" s="45">
        <v>4</v>
      </c>
      <c r="D4822" s="2"/>
      <c r="E4822" s="31"/>
      <c r="G4822" s="43"/>
      <c r="H4822" s="2"/>
    </row>
    <row r="4823" spans="1:8">
      <c r="A4823" s="39">
        <v>3.53157707072456</v>
      </c>
      <c r="B4823" s="45">
        <v>2</v>
      </c>
      <c r="D4823" s="2"/>
      <c r="E4823" s="31"/>
      <c r="G4823" s="43"/>
      <c r="H4823" s="2"/>
    </row>
    <row r="4824" spans="1:8">
      <c r="A4824" s="39">
        <v>3.53117780402231</v>
      </c>
      <c r="B4824" s="45">
        <v>21.3</v>
      </c>
      <c r="D4824" s="2"/>
      <c r="E4824" s="31"/>
      <c r="G4824" s="43"/>
      <c r="H4824" s="2"/>
    </row>
    <row r="4825" spans="1:8">
      <c r="A4825" s="39">
        <v>3.53099384708465</v>
      </c>
      <c r="B4825" s="45">
        <v>10</v>
      </c>
      <c r="D4825" s="2"/>
      <c r="E4825" s="31"/>
      <c r="G4825" s="43"/>
      <c r="H4825" s="2"/>
    </row>
    <row r="4826" spans="1:8">
      <c r="A4826" s="39">
        <v>3.5304591207721</v>
      </c>
      <c r="B4826" s="45">
        <v>5</v>
      </c>
      <c r="D4826" s="2"/>
      <c r="E4826" s="31"/>
      <c r="G4826" s="43"/>
      <c r="H4826" s="2"/>
    </row>
    <row r="4827" spans="1:8">
      <c r="A4827" s="39">
        <v>3.53001330665018</v>
      </c>
      <c r="B4827" s="45">
        <v>9.2</v>
      </c>
      <c r="D4827" s="2"/>
      <c r="E4827" s="31"/>
      <c r="G4827" s="43"/>
      <c r="H4827" s="2"/>
    </row>
    <row r="4828" spans="1:8">
      <c r="A4828" s="39">
        <v>3.52933220308366</v>
      </c>
      <c r="B4828" s="45">
        <v>9.9</v>
      </c>
      <c r="D4828" s="2"/>
      <c r="E4828" s="31"/>
      <c r="G4828" s="43"/>
      <c r="H4828" s="2"/>
    </row>
    <row r="4829" spans="1:8">
      <c r="A4829" s="39">
        <v>3.52899186490479</v>
      </c>
      <c r="B4829" s="45">
        <v>6.4</v>
      </c>
      <c r="D4829" s="2"/>
      <c r="E4829" s="31"/>
      <c r="G4829" s="43"/>
      <c r="H4829" s="2"/>
    </row>
    <row r="4830" spans="1:8">
      <c r="A4830" s="39">
        <v>3.52899186490479</v>
      </c>
      <c r="B4830" s="45">
        <v>19.5</v>
      </c>
      <c r="D4830" s="2"/>
      <c r="E4830" s="31"/>
      <c r="G4830" s="43"/>
      <c r="H4830" s="2"/>
    </row>
    <row r="4831" spans="1:8">
      <c r="A4831" s="39">
        <v>3.52867862304605</v>
      </c>
      <c r="B4831" s="45">
        <v>19.6</v>
      </c>
      <c r="D4831" s="2"/>
      <c r="E4831" s="31"/>
      <c r="G4831" s="43"/>
      <c r="H4831" s="2"/>
    </row>
    <row r="4832" spans="1:8">
      <c r="A4832" s="39">
        <v>3.52840573237304</v>
      </c>
      <c r="B4832" s="45">
        <v>6</v>
      </c>
      <c r="D4832" s="2"/>
      <c r="E4832" s="31"/>
      <c r="G4832" s="43"/>
      <c r="H4832" s="2"/>
    </row>
    <row r="4833" spans="1:8">
      <c r="A4833" s="39">
        <v>3.52836355592188</v>
      </c>
      <c r="B4833" s="45">
        <v>5.5</v>
      </c>
      <c r="D4833" s="2"/>
      <c r="E4833" s="31"/>
      <c r="G4833" s="43"/>
      <c r="H4833" s="2"/>
    </row>
    <row r="4834" spans="1:8">
      <c r="A4834" s="39">
        <v>3.52763324939443</v>
      </c>
      <c r="B4834" s="45">
        <v>11.5</v>
      </c>
      <c r="D4834" s="2"/>
      <c r="E4834" s="31"/>
      <c r="G4834" s="43"/>
      <c r="H4834" s="2"/>
    </row>
    <row r="4835" spans="1:8">
      <c r="A4835" s="39">
        <v>3.52763324939443</v>
      </c>
      <c r="B4835" s="45">
        <v>8.5</v>
      </c>
      <c r="D4835" s="2"/>
      <c r="E4835" s="31"/>
      <c r="G4835" s="43"/>
      <c r="H4835" s="2"/>
    </row>
    <row r="4836" spans="1:8">
      <c r="A4836" s="39">
        <v>3.52737146297083</v>
      </c>
      <c r="B4836" s="45">
        <v>15.4</v>
      </c>
      <c r="D4836" s="2"/>
      <c r="E4836" s="31"/>
      <c r="G4836" s="43"/>
      <c r="H4836" s="2"/>
    </row>
    <row r="4837" spans="1:8">
      <c r="A4837" s="39">
        <v>3.52703680677368</v>
      </c>
      <c r="B4837" s="45">
        <v>6</v>
      </c>
      <c r="D4837" s="2"/>
      <c r="E4837" s="31"/>
      <c r="G4837" s="43"/>
      <c r="H4837" s="2"/>
    </row>
    <row r="4838" spans="1:8">
      <c r="A4838" s="39">
        <v>3.52703680677368</v>
      </c>
      <c r="B4838" s="45">
        <v>3.9</v>
      </c>
      <c r="D4838" s="2"/>
      <c r="E4838" s="31"/>
      <c r="G4838" s="43"/>
      <c r="H4838" s="2"/>
    </row>
    <row r="4839" spans="1:8">
      <c r="A4839" s="39">
        <v>3.52695643187166</v>
      </c>
      <c r="B4839" s="45">
        <v>4.8</v>
      </c>
      <c r="D4839" s="2"/>
      <c r="E4839" s="31"/>
      <c r="G4839" s="43"/>
      <c r="H4839" s="2"/>
    </row>
    <row r="4840" spans="1:8">
      <c r="A4840" s="39">
        <v>3.52671788293323</v>
      </c>
      <c r="B4840" s="45">
        <v>18</v>
      </c>
      <c r="D4840" s="2"/>
      <c r="E4840" s="31"/>
      <c r="G4840" s="43"/>
      <c r="H4840" s="2"/>
    </row>
    <row r="4841" spans="1:8">
      <c r="A4841" s="39">
        <v>3.52671788293323</v>
      </c>
      <c r="B4841" s="45">
        <v>3</v>
      </c>
      <c r="D4841" s="2"/>
      <c r="E4841" s="31"/>
      <c r="G4841" s="43"/>
      <c r="H4841" s="2"/>
    </row>
    <row r="4842" spans="1:8">
      <c r="A4842" s="39">
        <v>3.52625286984655</v>
      </c>
      <c r="B4842" s="45">
        <v>12.1</v>
      </c>
      <c r="D4842" s="2"/>
      <c r="E4842" s="31"/>
      <c r="G4842" s="43"/>
      <c r="H4842" s="2"/>
    </row>
    <row r="4843" spans="1:8">
      <c r="A4843" s="39">
        <v>3.52581123060909</v>
      </c>
      <c r="B4843" s="45">
        <v>5.4</v>
      </c>
      <c r="D4843" s="2"/>
      <c r="E4843" s="31"/>
      <c r="G4843" s="43"/>
      <c r="H4843" s="2"/>
    </row>
    <row r="4844" spans="1:8">
      <c r="A4844" s="39">
        <v>3.52573551146064</v>
      </c>
      <c r="B4844" s="45">
        <v>0</v>
      </c>
      <c r="D4844" s="2"/>
      <c r="E4844" s="31"/>
      <c r="G4844" s="43"/>
      <c r="H4844" s="2"/>
    </row>
    <row r="4845" spans="1:8">
      <c r="A4845" s="39">
        <v>3.52485025725651</v>
      </c>
      <c r="B4845" s="45">
        <v>4.1</v>
      </c>
      <c r="D4845" s="2"/>
      <c r="E4845" s="31"/>
      <c r="G4845" s="43"/>
      <c r="H4845" s="2"/>
    </row>
    <row r="4846" spans="1:8">
      <c r="A4846" s="39">
        <v>3.5247571428204</v>
      </c>
      <c r="B4846" s="45">
        <v>3</v>
      </c>
      <c r="D4846" s="2"/>
      <c r="E4846" s="31"/>
      <c r="G4846" s="43"/>
      <c r="H4846" s="2"/>
    </row>
    <row r="4847" spans="1:8">
      <c r="A4847" s="39">
        <v>3.5247571428204</v>
      </c>
      <c r="B4847" s="45">
        <v>10</v>
      </c>
      <c r="D4847" s="2"/>
      <c r="E4847" s="31"/>
      <c r="G4847" s="43"/>
      <c r="H4847" s="2"/>
    </row>
    <row r="4848" spans="1:8">
      <c r="A4848" s="39">
        <v>3.52452806103676</v>
      </c>
      <c r="B4848" s="45">
        <v>8</v>
      </c>
      <c r="D4848" s="2"/>
      <c r="E4848" s="31"/>
      <c r="G4848" s="43"/>
      <c r="H4848" s="2"/>
    </row>
    <row r="4849" spans="1:8">
      <c r="A4849" s="39">
        <v>3.52452806103676</v>
      </c>
      <c r="B4849" s="45">
        <v>12</v>
      </c>
      <c r="D4849" s="2"/>
      <c r="E4849" s="31"/>
      <c r="G4849" s="43"/>
      <c r="H4849" s="2"/>
    </row>
    <row r="4850" spans="1:8">
      <c r="A4850" s="39">
        <v>3.52452806103676</v>
      </c>
      <c r="B4850" s="45">
        <v>9</v>
      </c>
      <c r="D4850" s="2"/>
      <c r="E4850" s="31"/>
      <c r="G4850" s="43"/>
      <c r="H4850" s="2"/>
    </row>
    <row r="4851" spans="1:8">
      <c r="A4851" s="39">
        <v>3.52429895557494</v>
      </c>
      <c r="B4851" s="45">
        <v>2</v>
      </c>
      <c r="D4851" s="2"/>
      <c r="E4851" s="31"/>
      <c r="G4851" s="43"/>
      <c r="H4851" s="2"/>
    </row>
    <row r="4852" spans="1:8">
      <c r="A4852" s="39">
        <v>3.52429895557494</v>
      </c>
      <c r="B4852" s="45">
        <v>9.8</v>
      </c>
      <c r="D4852" s="2"/>
      <c r="E4852" s="31"/>
      <c r="G4852" s="43"/>
      <c r="H4852" s="2"/>
    </row>
    <row r="4853" spans="1:8">
      <c r="A4853" s="39">
        <v>3.52361449277525</v>
      </c>
      <c r="B4853" s="45">
        <v>5.5</v>
      </c>
      <c r="D4853" s="2"/>
      <c r="E4853" s="31"/>
      <c r="G4853" s="43"/>
      <c r="H4853" s="2"/>
    </row>
    <row r="4854" spans="1:8">
      <c r="A4854" s="39">
        <v>3.52344998274519</v>
      </c>
      <c r="B4854" s="45">
        <v>9.5</v>
      </c>
      <c r="D4854" s="2"/>
      <c r="E4854" s="31"/>
      <c r="G4854" s="43"/>
      <c r="H4854" s="2"/>
    </row>
    <row r="4855" spans="1:8">
      <c r="A4855" s="39">
        <v>3.52302440788661</v>
      </c>
      <c r="B4855" s="45">
        <v>1</v>
      </c>
      <c r="D4855" s="2"/>
      <c r="E4855" s="31"/>
      <c r="G4855" s="43"/>
      <c r="H4855" s="2"/>
    </row>
    <row r="4856" spans="1:8">
      <c r="A4856" s="39">
        <v>3.52297580005797</v>
      </c>
      <c r="B4856" s="45">
        <v>15.6</v>
      </c>
      <c r="D4856" s="2"/>
      <c r="E4856" s="31"/>
      <c r="G4856" s="43"/>
      <c r="H4856" s="2"/>
    </row>
    <row r="4857" spans="1:8">
      <c r="A4857" s="39">
        <v>3.52297580005797</v>
      </c>
      <c r="B4857" s="45">
        <v>9.8</v>
      </c>
      <c r="D4857" s="2"/>
      <c r="E4857" s="31"/>
      <c r="G4857" s="43"/>
      <c r="H4857" s="2"/>
    </row>
    <row r="4858" spans="1:8">
      <c r="A4858" s="39">
        <v>3.52279640270758</v>
      </c>
      <c r="B4858" s="45">
        <v>9.8</v>
      </c>
      <c r="D4858" s="2"/>
      <c r="E4858" s="31"/>
      <c r="G4858" s="43"/>
      <c r="H4858" s="2"/>
    </row>
    <row r="4859" spans="1:8">
      <c r="A4859" s="39">
        <v>3.52204014097731</v>
      </c>
      <c r="B4859" s="45">
        <v>10</v>
      </c>
      <c r="D4859" s="2"/>
      <c r="E4859" s="31"/>
      <c r="G4859" s="43"/>
      <c r="H4859" s="2"/>
    </row>
    <row r="4860" spans="1:8">
      <c r="A4860" s="39">
        <v>3.5215611043762</v>
      </c>
      <c r="B4860" s="45">
        <v>5.6</v>
      </c>
      <c r="D4860" s="2"/>
      <c r="E4860" s="31"/>
      <c r="G4860" s="43"/>
      <c r="H4860" s="2"/>
    </row>
    <row r="4861" spans="1:8">
      <c r="A4861" s="39">
        <v>3.52130506240342</v>
      </c>
      <c r="B4861" s="45">
        <v>5.7</v>
      </c>
      <c r="D4861" s="2"/>
      <c r="E4861" s="31"/>
      <c r="G4861" s="43"/>
      <c r="H4861" s="2"/>
    </row>
    <row r="4862" spans="1:8">
      <c r="A4862" s="39">
        <v>3.52094695144416</v>
      </c>
      <c r="B4862" s="45">
        <v>8.5</v>
      </c>
      <c r="D4862" s="2"/>
      <c r="E4862" s="31"/>
      <c r="G4862" s="43"/>
      <c r="H4862" s="2"/>
    </row>
    <row r="4863" spans="1:8">
      <c r="A4863" s="39">
        <v>3.52083566259475</v>
      </c>
      <c r="B4863" s="45">
        <v>0</v>
      </c>
      <c r="D4863" s="2"/>
      <c r="E4863" s="31"/>
      <c r="G4863" s="43"/>
      <c r="H4863" s="2"/>
    </row>
    <row r="4864" spans="1:8">
      <c r="A4864" s="39">
        <v>3.52033897751453</v>
      </c>
      <c r="B4864" s="45">
        <v>19.2</v>
      </c>
      <c r="D4864" s="2"/>
      <c r="E4864" s="31"/>
      <c r="G4864" s="43"/>
      <c r="H4864" s="2"/>
    </row>
    <row r="4865" spans="1:8">
      <c r="A4865" s="39">
        <v>3.52026213858468</v>
      </c>
      <c r="B4865" s="45">
        <v>9</v>
      </c>
      <c r="D4865" s="2"/>
      <c r="E4865" s="31"/>
      <c r="G4865" s="43"/>
      <c r="H4865" s="2"/>
    </row>
    <row r="4866" spans="1:8">
      <c r="A4866" s="39">
        <v>3.52018208255714</v>
      </c>
      <c r="B4866" s="45">
        <v>7.2</v>
      </c>
      <c r="D4866" s="2"/>
      <c r="E4866" s="31"/>
      <c r="G4866" s="43"/>
      <c r="H4866" s="2"/>
    </row>
    <row r="4867" spans="1:8">
      <c r="A4867" s="39">
        <v>3.52016079742109</v>
      </c>
      <c r="B4867" s="45">
        <v>14</v>
      </c>
      <c r="D4867" s="2"/>
      <c r="E4867" s="31"/>
      <c r="G4867" s="43"/>
      <c r="H4867" s="2"/>
    </row>
    <row r="4868" spans="1:8">
      <c r="A4868" s="39">
        <v>3.51992081162057</v>
      </c>
      <c r="B4868" s="45">
        <v>10.4</v>
      </c>
      <c r="D4868" s="2"/>
      <c r="E4868" s="31"/>
      <c r="G4868" s="43"/>
      <c r="H4868" s="2"/>
    </row>
    <row r="4869" spans="1:8">
      <c r="A4869" s="39">
        <v>3.51992081162057</v>
      </c>
      <c r="B4869" s="45">
        <v>12.6</v>
      </c>
      <c r="D4869" s="2"/>
      <c r="E4869" s="31"/>
      <c r="G4869" s="43"/>
      <c r="H4869" s="2"/>
    </row>
    <row r="4870" spans="1:8">
      <c r="A4870" s="39">
        <v>3.51950771597715</v>
      </c>
      <c r="B4870" s="45">
        <v>11.6</v>
      </c>
      <c r="D4870" s="2"/>
      <c r="E4870" s="31"/>
      <c r="G4870" s="43"/>
      <c r="H4870" s="2"/>
    </row>
    <row r="4871" spans="1:8">
      <c r="A4871" s="39">
        <v>3.51887492248193</v>
      </c>
      <c r="B4871" s="45">
        <v>11.4</v>
      </c>
      <c r="D4871" s="44"/>
      <c r="E4871" s="31"/>
      <c r="G4871" s="43"/>
      <c r="H4871" s="2"/>
    </row>
    <row r="4872" spans="1:8">
      <c r="A4872" s="39">
        <v>3.51854013286582</v>
      </c>
      <c r="B4872" s="45">
        <v>2</v>
      </c>
      <c r="D4872" s="2"/>
      <c r="E4872" s="31"/>
      <c r="G4872" s="43"/>
      <c r="H4872" s="2"/>
    </row>
    <row r="4873" spans="1:8">
      <c r="A4873" s="39">
        <v>3.51851368757035</v>
      </c>
      <c r="B4873" s="45">
        <v>26</v>
      </c>
      <c r="D4873" s="2"/>
      <c r="E4873" s="31"/>
      <c r="G4873" s="43"/>
      <c r="H4873" s="2"/>
    </row>
    <row r="4874" spans="1:8">
      <c r="A4874" s="39">
        <v>3.51709229650558</v>
      </c>
      <c r="B4874" s="45">
        <v>10.6</v>
      </c>
      <c r="D4874" s="2"/>
      <c r="E4874" s="31"/>
      <c r="G4874" s="43"/>
      <c r="H4874" s="2"/>
    </row>
    <row r="4875" spans="1:8">
      <c r="A4875" s="39">
        <v>3.51569943946991</v>
      </c>
      <c r="B4875" s="45">
        <v>10.2</v>
      </c>
      <c r="D4875" s="2"/>
      <c r="E4875" s="31"/>
      <c r="G4875" s="43"/>
      <c r="H4875" s="2"/>
    </row>
    <row r="4876" spans="1:8">
      <c r="A4876" s="39">
        <v>3.51540093917904</v>
      </c>
      <c r="B4876" s="45">
        <v>8.2</v>
      </c>
      <c r="D4876" s="2"/>
      <c r="E4876" s="31"/>
      <c r="G4876" s="43"/>
      <c r="H4876" s="2"/>
    </row>
    <row r="4877" spans="1:8">
      <c r="A4877" s="39">
        <v>3.51524052373073</v>
      </c>
      <c r="B4877" s="45">
        <v>8</v>
      </c>
      <c r="D4877" s="2"/>
      <c r="E4877" s="31"/>
      <c r="G4877" s="43"/>
      <c r="H4877" s="2"/>
    </row>
    <row r="4878" spans="1:8">
      <c r="A4878" s="39">
        <v>3.51499587744481</v>
      </c>
      <c r="B4878" s="45">
        <v>11.5</v>
      </c>
      <c r="D4878" s="2"/>
      <c r="E4878" s="31"/>
      <c r="G4878" s="43"/>
      <c r="H4878" s="2"/>
    </row>
    <row r="4879" spans="1:8">
      <c r="A4879" s="39">
        <v>3.51471647637936</v>
      </c>
      <c r="B4879" s="45">
        <v>15.4</v>
      </c>
      <c r="D4879" s="2"/>
      <c r="E4879" s="31"/>
      <c r="G4879" s="43"/>
      <c r="H4879" s="2"/>
    </row>
    <row r="4880" spans="1:8">
      <c r="A4880" s="39">
        <v>3.51471647637936</v>
      </c>
      <c r="B4880" s="45">
        <v>7</v>
      </c>
      <c r="D4880" s="2"/>
      <c r="E4880" s="31"/>
      <c r="G4880" s="43"/>
      <c r="H4880" s="2"/>
    </row>
    <row r="4881" spans="1:8">
      <c r="A4881" s="39">
        <v>3.51444232103794</v>
      </c>
      <c r="B4881" s="45">
        <v>8.9</v>
      </c>
      <c r="D4881" s="2"/>
      <c r="E4881" s="31"/>
      <c r="G4881" s="43"/>
      <c r="H4881" s="2"/>
    </row>
    <row r="4882" spans="1:8">
      <c r="A4882" s="39">
        <v>3.51444232103794</v>
      </c>
      <c r="B4882" s="45">
        <v>10.1</v>
      </c>
      <c r="D4882" s="2"/>
      <c r="E4882" s="31"/>
      <c r="G4882" s="43"/>
      <c r="H4882" s="2"/>
    </row>
    <row r="4883" spans="1:8">
      <c r="A4883" s="39">
        <v>3.51429986221867</v>
      </c>
      <c r="B4883" s="45">
        <v>16</v>
      </c>
      <c r="D4883" s="2"/>
      <c r="E4883" s="31"/>
      <c r="G4883" s="43"/>
      <c r="H4883" s="2"/>
    </row>
    <row r="4884" spans="1:8">
      <c r="A4884" s="39">
        <v>3.51429986221867</v>
      </c>
      <c r="B4884" s="45">
        <v>7.5</v>
      </c>
      <c r="D4884" s="2"/>
      <c r="E4884" s="31"/>
      <c r="G4884" s="43"/>
      <c r="H4884" s="2"/>
    </row>
    <row r="4885" spans="1:8">
      <c r="A4885" s="39">
        <v>3.51404302124406</v>
      </c>
      <c r="B4885" s="45">
        <v>6</v>
      </c>
      <c r="D4885" s="2"/>
      <c r="E4885" s="31"/>
      <c r="G4885" s="43"/>
      <c r="H4885" s="2"/>
    </row>
    <row r="4886" spans="1:8">
      <c r="A4886" s="39">
        <v>3.51404302124406</v>
      </c>
      <c r="B4886" s="45">
        <v>8.3</v>
      </c>
      <c r="D4886" s="2"/>
      <c r="E4886" s="31"/>
      <c r="G4886" s="43"/>
      <c r="H4886" s="2"/>
    </row>
    <row r="4887" spans="1:8">
      <c r="A4887" s="39">
        <v>3.51378473225896</v>
      </c>
      <c r="B4887" s="45">
        <v>2.1</v>
      </c>
      <c r="D4887" s="2"/>
      <c r="E4887" s="31"/>
      <c r="G4887" s="43"/>
      <c r="H4887" s="2"/>
    </row>
    <row r="4888" spans="1:8">
      <c r="A4888" s="39">
        <v>3.51299270214346</v>
      </c>
      <c r="B4888" s="45">
        <v>13.5</v>
      </c>
      <c r="D4888" s="2"/>
      <c r="E4888" s="31"/>
      <c r="G4888" s="43"/>
      <c r="H4888" s="2"/>
    </row>
    <row r="4889" spans="1:8">
      <c r="A4889" s="39">
        <v>3.51241954016967</v>
      </c>
      <c r="B4889" s="45">
        <v>29</v>
      </c>
      <c r="D4889" s="2"/>
      <c r="E4889" s="31"/>
      <c r="G4889" s="43"/>
      <c r="H4889" s="2"/>
    </row>
    <row r="4890" spans="1:8">
      <c r="A4890" s="39">
        <v>3.51134475427101</v>
      </c>
      <c r="B4890" s="45">
        <v>1</v>
      </c>
      <c r="D4890" s="2"/>
      <c r="E4890" s="31"/>
      <c r="G4890" s="43"/>
      <c r="H4890" s="2"/>
    </row>
    <row r="4891" spans="1:8">
      <c r="A4891" s="39">
        <v>3.51103196203063</v>
      </c>
      <c r="B4891" s="45">
        <v>4.1</v>
      </c>
      <c r="D4891" s="2"/>
      <c r="E4891" s="31"/>
      <c r="G4891" s="43"/>
      <c r="H4891" s="2"/>
    </row>
    <row r="4892" spans="1:8">
      <c r="A4892" s="39">
        <v>3.51103196203063</v>
      </c>
      <c r="B4892" s="45">
        <v>2.4</v>
      </c>
      <c r="D4892" s="2"/>
      <c r="E4892" s="31"/>
      <c r="G4892" s="43"/>
      <c r="H4892" s="2"/>
    </row>
    <row r="4893" spans="1:8">
      <c r="A4893" s="39">
        <v>3.51037838199302</v>
      </c>
      <c r="B4893" s="45">
        <v>12</v>
      </c>
      <c r="D4893" s="2"/>
      <c r="E4893" s="31"/>
      <c r="G4893" s="43"/>
      <c r="H4893" s="2"/>
    </row>
    <row r="4894" spans="1:8">
      <c r="A4894" s="39">
        <v>3.51007094326904</v>
      </c>
      <c r="B4894" s="45">
        <v>21</v>
      </c>
      <c r="D4894" s="2"/>
      <c r="E4894" s="31"/>
      <c r="G4894" s="43"/>
      <c r="H4894" s="2"/>
    </row>
    <row r="4895" spans="1:8">
      <c r="A4895" s="39">
        <v>3.50992523678157</v>
      </c>
      <c r="B4895" s="45">
        <v>8.4</v>
      </c>
      <c r="D4895" s="2"/>
      <c r="E4895" s="31"/>
      <c r="G4895" s="43"/>
      <c r="H4895" s="2"/>
    </row>
    <row r="4896" spans="1:8">
      <c r="A4896" s="39">
        <v>3.50992523678157</v>
      </c>
      <c r="B4896" s="45">
        <v>7.7</v>
      </c>
      <c r="D4896" s="2"/>
      <c r="E4896" s="31"/>
      <c r="G4896" s="43"/>
      <c r="H4896" s="2"/>
    </row>
    <row r="4897" spans="1:8">
      <c r="A4897" s="39">
        <v>3.50992523678157</v>
      </c>
      <c r="B4897" s="45">
        <v>5.2</v>
      </c>
      <c r="D4897" s="2"/>
      <c r="E4897" s="31"/>
      <c r="G4897" s="43"/>
      <c r="H4897" s="2"/>
    </row>
    <row r="4898" spans="1:8">
      <c r="A4898" s="39">
        <v>3.50972480195542</v>
      </c>
      <c r="B4898" s="45">
        <v>8.3</v>
      </c>
      <c r="D4898" s="2"/>
      <c r="E4898" s="31"/>
      <c r="G4898" s="43"/>
      <c r="H4898" s="2"/>
    </row>
    <row r="4899" spans="1:8">
      <c r="A4899" s="39">
        <v>3.5095459096223</v>
      </c>
      <c r="B4899" s="45">
        <v>2.6</v>
      </c>
      <c r="D4899" s="2"/>
      <c r="E4899" s="31"/>
      <c r="G4899" s="43"/>
      <c r="H4899" s="2"/>
    </row>
    <row r="4900" spans="1:8">
      <c r="A4900" s="39">
        <v>3.50934998068454</v>
      </c>
      <c r="B4900" s="45">
        <v>4.2</v>
      </c>
      <c r="D4900" s="2"/>
      <c r="E4900" s="31"/>
      <c r="G4900" s="43"/>
      <c r="H4900" s="2"/>
    </row>
    <row r="4901" spans="1:8">
      <c r="A4901" s="39">
        <v>3.50924077398188</v>
      </c>
      <c r="B4901" s="45">
        <v>3</v>
      </c>
      <c r="D4901" s="2"/>
      <c r="E4901" s="31"/>
      <c r="G4901" s="43"/>
      <c r="H4901" s="2"/>
    </row>
    <row r="4902" spans="1:8">
      <c r="A4902" s="39">
        <v>3.50857411099842</v>
      </c>
      <c r="B4902" s="45">
        <v>9.7</v>
      </c>
      <c r="D4902" s="2"/>
      <c r="E4902" s="31"/>
      <c r="G4902" s="43"/>
      <c r="H4902" s="2"/>
    </row>
    <row r="4903" spans="1:8">
      <c r="A4903" s="39">
        <v>3.50809717554265</v>
      </c>
      <c r="B4903" s="45">
        <v>8.3</v>
      </c>
      <c r="D4903" s="2"/>
      <c r="E4903" s="31"/>
      <c r="G4903" s="43"/>
      <c r="H4903" s="2"/>
    </row>
    <row r="4904" spans="1:8">
      <c r="A4904" s="39">
        <v>3.50716754910451</v>
      </c>
      <c r="B4904" s="45">
        <v>4</v>
      </c>
      <c r="D4904" s="2"/>
      <c r="E4904" s="31"/>
      <c r="G4904" s="43"/>
      <c r="H4904" s="2"/>
    </row>
    <row r="4905" spans="1:8">
      <c r="A4905" s="39">
        <v>3.5067895348959</v>
      </c>
      <c r="B4905" s="45">
        <v>12.1</v>
      </c>
      <c r="D4905" s="2"/>
      <c r="E4905" s="31"/>
      <c r="G4905" s="43"/>
      <c r="H4905" s="2"/>
    </row>
    <row r="4906" spans="1:8">
      <c r="A4906" s="39">
        <v>3.50662251307376</v>
      </c>
      <c r="B4906" s="45">
        <v>10.2</v>
      </c>
      <c r="D4906" s="2"/>
      <c r="E4906" s="31"/>
      <c r="G4906" s="43"/>
      <c r="H4906" s="2"/>
    </row>
    <row r="4907" spans="1:8">
      <c r="A4907" s="39">
        <v>3.50650292278314</v>
      </c>
      <c r="B4907" s="45">
        <v>1</v>
      </c>
      <c r="D4907" s="2"/>
      <c r="E4907" s="31"/>
      <c r="G4907" s="43"/>
      <c r="H4907" s="2"/>
    </row>
    <row r="4908" spans="1:8">
      <c r="A4908" s="39">
        <v>3.50650292278314</v>
      </c>
      <c r="B4908" s="45">
        <v>0</v>
      </c>
      <c r="D4908" s="2"/>
      <c r="E4908" s="31"/>
      <c r="G4908" s="43"/>
      <c r="H4908" s="2"/>
    </row>
    <row r="4909" spans="1:8">
      <c r="A4909" s="39">
        <v>3.50650292278314</v>
      </c>
      <c r="B4909" s="45">
        <v>11.5</v>
      </c>
      <c r="D4909" s="2"/>
      <c r="E4909" s="31"/>
      <c r="G4909" s="43"/>
      <c r="H4909" s="2"/>
    </row>
    <row r="4910" spans="1:8">
      <c r="A4910" s="39">
        <v>3.50608578423668</v>
      </c>
      <c r="B4910" s="45">
        <v>12.5</v>
      </c>
      <c r="D4910" s="2"/>
      <c r="E4910" s="31"/>
      <c r="G4910" s="43"/>
      <c r="H4910" s="2"/>
    </row>
    <row r="4911" spans="1:8">
      <c r="A4911" s="39">
        <v>3.50571259471783</v>
      </c>
      <c r="B4911" s="45">
        <v>20.5</v>
      </c>
      <c r="D4911" s="2"/>
      <c r="E4911" s="31"/>
      <c r="G4911" s="43"/>
      <c r="H4911" s="2"/>
    </row>
    <row r="4912" spans="1:8">
      <c r="A4912" s="39">
        <v>3.50538203357746</v>
      </c>
      <c r="B4912" s="45">
        <v>14</v>
      </c>
      <c r="D4912" s="2"/>
      <c r="E4912" s="31"/>
      <c r="G4912" s="43"/>
      <c r="H4912" s="2"/>
    </row>
    <row r="4913" spans="1:8">
      <c r="A4913" s="39">
        <v>3.50514600909328</v>
      </c>
      <c r="B4913" s="45">
        <v>11.2</v>
      </c>
      <c r="D4913" s="2"/>
      <c r="E4913" s="31"/>
      <c r="G4913" s="43"/>
      <c r="H4913" s="2"/>
    </row>
    <row r="4914" spans="1:8">
      <c r="A4914" s="39">
        <v>3.50504879800054</v>
      </c>
      <c r="B4914" s="45">
        <v>4.2</v>
      </c>
      <c r="D4914" s="2"/>
      <c r="E4914" s="31"/>
      <c r="G4914" s="43"/>
      <c r="H4914" s="2"/>
    </row>
    <row r="4915" spans="1:8">
      <c r="A4915" s="39">
        <v>3.50466981685237</v>
      </c>
      <c r="B4915" s="45">
        <v>2.6</v>
      </c>
      <c r="D4915" s="2"/>
      <c r="E4915" s="31"/>
      <c r="G4915" s="43"/>
      <c r="H4915" s="2"/>
    </row>
    <row r="4916" spans="1:8">
      <c r="A4916" s="39">
        <v>3.50449616165455</v>
      </c>
      <c r="B4916" s="45">
        <v>10</v>
      </c>
      <c r="D4916" s="2"/>
      <c r="E4916" s="31"/>
      <c r="G4916" s="43"/>
      <c r="H4916" s="2"/>
    </row>
    <row r="4917" spans="1:8">
      <c r="A4917" s="39">
        <v>3.50449616165455</v>
      </c>
      <c r="B4917" s="45">
        <v>12.5</v>
      </c>
      <c r="D4917" s="2"/>
      <c r="E4917" s="31"/>
      <c r="G4917" s="43"/>
      <c r="H4917" s="2"/>
    </row>
    <row r="4918" spans="1:8">
      <c r="A4918" s="39">
        <v>3.50444244706817</v>
      </c>
      <c r="B4918" s="45">
        <v>18</v>
      </c>
      <c r="D4918" s="2"/>
      <c r="E4918" s="31"/>
      <c r="G4918" s="43"/>
      <c r="H4918" s="2"/>
    </row>
    <row r="4919" spans="1:8">
      <c r="A4919" s="39">
        <v>3.50414937567619</v>
      </c>
      <c r="B4919" s="45">
        <v>15.1</v>
      </c>
      <c r="D4919" s="2"/>
      <c r="E4919" s="31"/>
      <c r="G4919" s="43"/>
      <c r="H4919" s="2"/>
    </row>
    <row r="4920" spans="1:8">
      <c r="A4920" s="39">
        <v>3.50414937567619</v>
      </c>
      <c r="B4920" s="45">
        <v>7.3</v>
      </c>
      <c r="D4920" s="2"/>
      <c r="E4920" s="31"/>
      <c r="G4920" s="43"/>
      <c r="H4920" s="2"/>
    </row>
    <row r="4921" spans="1:8">
      <c r="A4921" s="39">
        <v>3.5035301631378</v>
      </c>
      <c r="B4921" s="45">
        <v>18</v>
      </c>
      <c r="D4921" s="2"/>
      <c r="E4921" s="31"/>
      <c r="G4921" s="43"/>
      <c r="H4921" s="2"/>
    </row>
    <row r="4922" spans="1:8">
      <c r="A4922" s="39">
        <v>3.50318900157934</v>
      </c>
      <c r="B4922" s="45">
        <v>9</v>
      </c>
      <c r="D4922" s="2"/>
      <c r="E4922" s="31"/>
      <c r="G4922" s="43"/>
      <c r="H4922" s="2"/>
    </row>
    <row r="4923" spans="1:8">
      <c r="A4923" s="39">
        <v>3.50304140348116</v>
      </c>
      <c r="B4923" s="45">
        <v>22.6</v>
      </c>
      <c r="D4923" s="2"/>
      <c r="E4923" s="31"/>
      <c r="G4923" s="43"/>
      <c r="H4923" s="2"/>
    </row>
    <row r="4924" spans="1:8">
      <c r="A4924" s="39">
        <v>3.50274787014721</v>
      </c>
      <c r="B4924" s="45">
        <v>4.4</v>
      </c>
      <c r="D4924" s="2"/>
      <c r="E4924" s="31"/>
      <c r="G4924" s="43"/>
      <c r="H4924" s="2"/>
    </row>
    <row r="4925" spans="1:8">
      <c r="A4925" s="39">
        <v>3.50233176099284</v>
      </c>
      <c r="B4925" s="45">
        <v>10</v>
      </c>
      <c r="D4925" s="2"/>
      <c r="E4925" s="31"/>
      <c r="G4925" s="43"/>
      <c r="H4925" s="2"/>
    </row>
    <row r="4926" spans="1:8">
      <c r="A4926" s="39">
        <v>3.50186328028136</v>
      </c>
      <c r="B4926" s="45">
        <v>7.2</v>
      </c>
      <c r="D4926" s="2"/>
      <c r="E4926" s="31"/>
      <c r="G4926" s="43"/>
      <c r="H4926" s="2"/>
    </row>
    <row r="4927" spans="1:8">
      <c r="A4927" s="39">
        <v>3.50122826146651</v>
      </c>
      <c r="B4927" s="45">
        <v>7.5</v>
      </c>
      <c r="D4927" s="2"/>
      <c r="E4927" s="31"/>
      <c r="G4927" s="43"/>
      <c r="H4927" s="2"/>
    </row>
    <row r="4928" spans="1:8">
      <c r="A4928" s="39">
        <v>3.50102722038567</v>
      </c>
      <c r="B4928" s="45">
        <v>16.7</v>
      </c>
      <c r="D4928" s="2"/>
      <c r="E4928" s="31"/>
      <c r="G4928" s="43"/>
      <c r="H4928" s="2"/>
    </row>
    <row r="4929" spans="1:8">
      <c r="A4929" s="39">
        <v>3.50070475130745</v>
      </c>
      <c r="B4929" s="45">
        <v>14.1</v>
      </c>
      <c r="D4929" s="2"/>
      <c r="E4929" s="31"/>
      <c r="G4929" s="43"/>
      <c r="H4929" s="2"/>
    </row>
    <row r="4930" spans="1:8">
      <c r="A4930" s="39">
        <v>3.49989277717109</v>
      </c>
      <c r="B4930" s="45">
        <v>15.7</v>
      </c>
      <c r="D4930" s="2"/>
      <c r="E4930" s="31"/>
      <c r="G4930" s="43"/>
      <c r="H4930" s="2"/>
    </row>
    <row r="4931" spans="1:8">
      <c r="A4931" s="39">
        <v>3.49986495008948</v>
      </c>
      <c r="B4931" s="45">
        <v>5.8</v>
      </c>
      <c r="D4931" s="2"/>
      <c r="E4931" s="31"/>
      <c r="G4931" s="43"/>
      <c r="H4931" s="2"/>
    </row>
    <row r="4932" spans="1:8">
      <c r="A4932" s="39">
        <v>3.4996582947863</v>
      </c>
      <c r="B4932" s="45">
        <v>2.3</v>
      </c>
      <c r="D4932" s="2"/>
      <c r="E4932" s="31"/>
      <c r="G4932" s="43"/>
      <c r="H4932" s="2"/>
    </row>
    <row r="4933" spans="1:8">
      <c r="A4933" s="39">
        <v>3.49938446341319</v>
      </c>
      <c r="B4933" s="45">
        <v>8.8</v>
      </c>
      <c r="D4933" s="2"/>
      <c r="E4933" s="31"/>
      <c r="G4933" s="43"/>
      <c r="H4933" s="2"/>
    </row>
    <row r="4934" spans="1:8">
      <c r="A4934" s="39">
        <v>3.49926752135369</v>
      </c>
      <c r="B4934" s="45">
        <v>0</v>
      </c>
      <c r="D4934" s="2"/>
      <c r="E4934" s="31"/>
      <c r="G4934" s="43"/>
      <c r="H4934" s="2"/>
    </row>
    <row r="4935" spans="1:8">
      <c r="A4935" s="39">
        <v>3.49904827764448</v>
      </c>
      <c r="B4935" s="45">
        <v>10.5</v>
      </c>
      <c r="D4935" s="2"/>
      <c r="E4935" s="31"/>
      <c r="G4935" s="43"/>
      <c r="H4935" s="2"/>
    </row>
    <row r="4936" spans="1:8">
      <c r="A4936" s="39">
        <v>3.49897383198662</v>
      </c>
      <c r="B4936" s="45">
        <v>3</v>
      </c>
      <c r="D4936" s="2"/>
      <c r="E4936" s="31"/>
      <c r="G4936" s="43"/>
      <c r="H4936" s="2"/>
    </row>
    <row r="4937" spans="1:8">
      <c r="A4937" s="39">
        <v>3.4988139508673</v>
      </c>
      <c r="B4937" s="45">
        <v>5.6</v>
      </c>
      <c r="D4937" s="2"/>
      <c r="E4937" s="31"/>
      <c r="G4937" s="43"/>
      <c r="H4937" s="2"/>
    </row>
    <row r="4938" spans="1:8">
      <c r="A4938" s="39">
        <v>3.49874407197004</v>
      </c>
      <c r="B4938" s="45">
        <v>6</v>
      </c>
      <c r="D4938" s="2"/>
      <c r="E4938" s="31"/>
      <c r="G4938" s="43"/>
      <c r="H4938" s="2"/>
    </row>
    <row r="4939" spans="1:8">
      <c r="A4939" s="39">
        <v>3.49861394131608</v>
      </c>
      <c r="B4939" s="45">
        <v>9.9</v>
      </c>
      <c r="D4939" s="2"/>
      <c r="E4939" s="31"/>
      <c r="G4939" s="43"/>
      <c r="H4939" s="2"/>
    </row>
    <row r="4940" spans="1:8">
      <c r="A4940" s="39">
        <v>3.49834452698526</v>
      </c>
      <c r="B4940" s="45">
        <v>10.5</v>
      </c>
      <c r="D4940" s="2"/>
      <c r="E4940" s="31"/>
      <c r="G4940" s="43"/>
      <c r="H4940" s="2"/>
    </row>
    <row r="4941" spans="1:8">
      <c r="A4941" s="39">
        <v>3.49811038884219</v>
      </c>
      <c r="B4941" s="45">
        <v>8.1</v>
      </c>
      <c r="D4941" s="2"/>
      <c r="E4941" s="31"/>
      <c r="G4941" s="43"/>
      <c r="H4941" s="2"/>
    </row>
    <row r="4942" spans="1:8">
      <c r="A4942" s="39">
        <v>3.49802785005152</v>
      </c>
      <c r="B4942" s="45">
        <v>10.8</v>
      </c>
      <c r="D4942" s="2"/>
      <c r="E4942" s="31"/>
      <c r="G4942" s="43"/>
      <c r="H4942" s="2"/>
    </row>
    <row r="4943" spans="1:8">
      <c r="A4943" s="39">
        <v>3.49796036127847</v>
      </c>
      <c r="B4943" s="45">
        <v>4.7</v>
      </c>
      <c r="D4943" s="2"/>
      <c r="E4943" s="31"/>
      <c r="G4943" s="43"/>
      <c r="H4943" s="2"/>
    </row>
    <row r="4944" spans="1:8">
      <c r="A4944" s="39">
        <v>3.49785341940572</v>
      </c>
      <c r="B4944" s="45">
        <v>8.5</v>
      </c>
      <c r="D4944" s="2"/>
      <c r="E4944" s="31"/>
      <c r="G4944" s="43"/>
      <c r="H4944" s="2"/>
    </row>
    <row r="4945" spans="1:8">
      <c r="A4945" s="39">
        <v>3.49783162393968</v>
      </c>
      <c r="B4945" s="45">
        <v>0</v>
      </c>
      <c r="D4945" s="2"/>
      <c r="E4945" s="31"/>
      <c r="G4945" s="43"/>
      <c r="H4945" s="2"/>
    </row>
    <row r="4946" spans="1:8">
      <c r="A4946" s="39">
        <v>3.497466578041</v>
      </c>
      <c r="B4946" s="45">
        <v>8</v>
      </c>
      <c r="D4946" s="2"/>
      <c r="E4946" s="31"/>
      <c r="G4946" s="43"/>
      <c r="H4946" s="2"/>
    </row>
    <row r="4947" spans="1:8">
      <c r="A4947" s="39">
        <v>3.49740682681708</v>
      </c>
      <c r="B4947" s="45">
        <v>4.1</v>
      </c>
      <c r="D4947" s="2"/>
      <c r="E4947" s="31"/>
      <c r="G4947" s="43"/>
      <c r="H4947" s="2"/>
    </row>
    <row r="4948" spans="1:8">
      <c r="A4948" s="39">
        <v>3.49730678124086</v>
      </c>
      <c r="B4948" s="45">
        <v>8</v>
      </c>
      <c r="D4948" s="2"/>
      <c r="E4948" s="31"/>
      <c r="G4948" s="43"/>
      <c r="H4948" s="2"/>
    </row>
    <row r="4949" spans="1:8">
      <c r="A4949" s="39">
        <v>3.49730678124086</v>
      </c>
      <c r="B4949" s="45">
        <v>12.4</v>
      </c>
      <c r="D4949" s="2"/>
      <c r="E4949" s="31"/>
      <c r="G4949" s="43"/>
      <c r="H4949" s="2"/>
    </row>
    <row r="4950" spans="1:8">
      <c r="A4950" s="39">
        <v>3.49730678124086</v>
      </c>
      <c r="B4950" s="45">
        <v>0</v>
      </c>
      <c r="D4950" s="2"/>
      <c r="E4950" s="31"/>
      <c r="G4950" s="43"/>
      <c r="H4950" s="2"/>
    </row>
    <row r="4951" spans="1:8">
      <c r="A4951" s="39">
        <v>3.49695399708137</v>
      </c>
      <c r="B4951" s="45">
        <v>0</v>
      </c>
      <c r="D4951" s="2"/>
      <c r="E4951" s="31"/>
      <c r="G4951" s="43"/>
      <c r="H4951" s="2"/>
    </row>
    <row r="4952" spans="1:8">
      <c r="A4952" s="39">
        <v>3.49692044358756</v>
      </c>
      <c r="B4952" s="45">
        <v>6.6</v>
      </c>
      <c r="D4952" s="2"/>
      <c r="E4952" s="31"/>
      <c r="G4952" s="43"/>
      <c r="H4952" s="2"/>
    </row>
    <row r="4953" spans="1:8">
      <c r="A4953" s="39">
        <v>3.49692044358756</v>
      </c>
      <c r="B4953" s="45">
        <v>6</v>
      </c>
      <c r="D4953" s="2"/>
      <c r="E4953" s="31"/>
      <c r="G4953" s="43"/>
      <c r="H4953" s="2"/>
    </row>
    <row r="4954" spans="1:8">
      <c r="A4954" s="39">
        <v>3.49665320120325</v>
      </c>
      <c r="B4954" s="45">
        <v>10.4</v>
      </c>
      <c r="D4954" s="2"/>
      <c r="E4954" s="31"/>
      <c r="G4954" s="43"/>
      <c r="H4954" s="2"/>
    </row>
    <row r="4955" spans="1:8">
      <c r="A4955" s="39">
        <v>3.49605457475702</v>
      </c>
      <c r="B4955" s="45">
        <v>5</v>
      </c>
      <c r="D4955" s="2"/>
      <c r="E4955" s="31"/>
      <c r="G4955" s="43"/>
      <c r="H4955" s="2"/>
    </row>
    <row r="4956" spans="1:8">
      <c r="A4956" s="39">
        <v>3.49587918429596</v>
      </c>
      <c r="B4956" s="45">
        <v>7.6</v>
      </c>
      <c r="D4956" s="2"/>
      <c r="E4956" s="31"/>
      <c r="G4956" s="43"/>
      <c r="H4956" s="2"/>
    </row>
    <row r="4957" spans="1:8">
      <c r="A4957" s="39">
        <v>3.49587918429596</v>
      </c>
      <c r="B4957" s="45">
        <v>16</v>
      </c>
      <c r="D4957" s="2"/>
      <c r="E4957" s="31"/>
      <c r="G4957" s="43"/>
      <c r="H4957" s="2"/>
    </row>
    <row r="4958" spans="1:8">
      <c r="A4958" s="39">
        <v>3.49587918429596</v>
      </c>
      <c r="B4958" s="45">
        <v>21</v>
      </c>
      <c r="D4958" s="2"/>
      <c r="E4958" s="31"/>
      <c r="G4958" s="43"/>
      <c r="H4958" s="2"/>
    </row>
    <row r="4959" spans="1:8">
      <c r="A4959" s="39">
        <v>3.49554057000288</v>
      </c>
      <c r="B4959" s="45">
        <v>6</v>
      </c>
      <c r="D4959" s="2"/>
      <c r="E4959" s="31"/>
      <c r="G4959" s="43"/>
      <c r="H4959" s="2"/>
    </row>
    <row r="4960" spans="1:8">
      <c r="A4960" s="39">
        <v>3.49552791401103</v>
      </c>
      <c r="B4960" s="45">
        <v>13.2</v>
      </c>
      <c r="D4960" s="2"/>
      <c r="E4960" s="31"/>
      <c r="G4960" s="43"/>
      <c r="H4960" s="2"/>
    </row>
    <row r="4961" spans="1:8">
      <c r="A4961" s="39">
        <v>3.49510808101954</v>
      </c>
      <c r="B4961" s="45">
        <v>11.3</v>
      </c>
      <c r="D4961" s="2"/>
      <c r="E4961" s="31"/>
      <c r="G4961" s="43"/>
      <c r="H4961" s="2"/>
    </row>
    <row r="4962" spans="1:8">
      <c r="A4962" s="39">
        <v>3.49506008332659</v>
      </c>
      <c r="B4962" s="45">
        <v>8.1</v>
      </c>
      <c r="D4962" s="44"/>
      <c r="E4962" s="31"/>
      <c r="G4962" s="43"/>
      <c r="H4962" s="2"/>
    </row>
    <row r="4963" spans="1:8">
      <c r="A4963" s="39">
        <v>3.49459257871664</v>
      </c>
      <c r="B4963" s="45">
        <v>12.4</v>
      </c>
      <c r="D4963" s="2"/>
      <c r="E4963" s="31"/>
      <c r="G4963" s="43"/>
      <c r="H4963" s="2"/>
    </row>
    <row r="4964" spans="1:8">
      <c r="A4964" s="39">
        <v>3.49425573010831</v>
      </c>
      <c r="B4964" s="45">
        <v>10.4</v>
      </c>
      <c r="D4964" s="2"/>
      <c r="E4964" s="31"/>
      <c r="G4964" s="43"/>
      <c r="H4964" s="2"/>
    </row>
    <row r="4965" spans="1:8">
      <c r="A4965" s="39">
        <v>3.49388901669153</v>
      </c>
      <c r="B4965" s="45">
        <v>9.2</v>
      </c>
      <c r="D4965" s="2"/>
      <c r="E4965" s="31"/>
      <c r="G4965" s="43"/>
      <c r="H4965" s="2"/>
    </row>
    <row r="4966" spans="1:8">
      <c r="A4966" s="39">
        <v>3.49342677885151</v>
      </c>
      <c r="B4966" s="45">
        <v>2</v>
      </c>
      <c r="D4966" s="2"/>
      <c r="E4966" s="31"/>
      <c r="G4966" s="43"/>
      <c r="H4966" s="2"/>
    </row>
    <row r="4967" spans="1:8">
      <c r="A4967" s="39">
        <v>3.49281366678946</v>
      </c>
      <c r="B4967" s="45">
        <v>2.3</v>
      </c>
      <c r="D4967" s="2"/>
      <c r="E4967" s="31"/>
      <c r="G4967" s="43"/>
      <c r="H4967" s="2"/>
    </row>
    <row r="4968" spans="1:8">
      <c r="A4968" s="39">
        <v>3.49281366678946</v>
      </c>
      <c r="B4968" s="45">
        <v>10.4</v>
      </c>
      <c r="D4968" s="2"/>
      <c r="E4968" s="31"/>
      <c r="G4968" s="43"/>
      <c r="H4968" s="2"/>
    </row>
    <row r="4969" spans="1:8">
      <c r="A4969" s="39">
        <v>3.49256014842486</v>
      </c>
      <c r="B4969" s="45">
        <v>5.6</v>
      </c>
      <c r="D4969" s="2"/>
      <c r="E4969" s="31"/>
      <c r="G4969" s="43"/>
      <c r="H4969" s="2"/>
    </row>
    <row r="4970" spans="1:8">
      <c r="A4970" s="39">
        <v>3.49197118436032</v>
      </c>
      <c r="B4970" s="45">
        <v>12.3</v>
      </c>
      <c r="D4970" s="2"/>
      <c r="E4970" s="31"/>
      <c r="G4970" s="43"/>
      <c r="H4970" s="2"/>
    </row>
    <row r="4971" spans="1:8">
      <c r="A4971" s="39">
        <v>3.49142456090239</v>
      </c>
      <c r="B4971" s="45">
        <v>8.9</v>
      </c>
      <c r="D4971" s="2"/>
      <c r="E4971" s="31"/>
      <c r="G4971" s="43"/>
      <c r="H4971" s="2"/>
    </row>
    <row r="4972" spans="1:8">
      <c r="A4972" s="39">
        <v>3.49130702039305</v>
      </c>
      <c r="B4972" s="45">
        <v>16</v>
      </c>
      <c r="D4972" s="2"/>
      <c r="E4972" s="31"/>
      <c r="G4972" s="43"/>
      <c r="H4972" s="2"/>
    </row>
    <row r="4973" spans="1:8">
      <c r="A4973" s="39">
        <v>3.4907602783904</v>
      </c>
      <c r="B4973" s="45">
        <v>13.4</v>
      </c>
      <c r="D4973" s="2"/>
      <c r="E4973" s="31"/>
      <c r="G4973" s="43"/>
      <c r="H4973" s="2"/>
    </row>
    <row r="4974" spans="1:8">
      <c r="A4974" s="39">
        <v>3.4907602783904</v>
      </c>
      <c r="B4974" s="45">
        <v>8.3</v>
      </c>
      <c r="D4974" s="2"/>
      <c r="E4974" s="31"/>
      <c r="G4974" s="43"/>
      <c r="H4974" s="2"/>
    </row>
    <row r="4975" spans="1:8">
      <c r="A4975" s="39">
        <v>3.4902552165637</v>
      </c>
      <c r="B4975" s="45">
        <v>4.9</v>
      </c>
      <c r="D4975" s="2"/>
      <c r="E4975" s="31"/>
      <c r="G4975" s="43"/>
      <c r="H4975" s="2"/>
    </row>
    <row r="4976" spans="1:8">
      <c r="A4976" s="39">
        <v>3.49011740082717</v>
      </c>
      <c r="B4976" s="45">
        <v>7.6</v>
      </c>
      <c r="D4976" s="2"/>
      <c r="E4976" s="31"/>
      <c r="G4976" s="43"/>
      <c r="H4976" s="2"/>
    </row>
    <row r="4977" spans="1:8">
      <c r="A4977" s="39">
        <v>3.49011740082717</v>
      </c>
      <c r="B4977" s="45">
        <v>14.6</v>
      </c>
      <c r="D4977" s="2"/>
      <c r="E4977" s="31"/>
      <c r="G4977" s="43"/>
      <c r="H4977" s="2"/>
    </row>
    <row r="4978" spans="1:8">
      <c r="A4978" s="39">
        <v>3.48972166902798</v>
      </c>
      <c r="B4978" s="45">
        <v>18</v>
      </c>
      <c r="D4978" s="2"/>
      <c r="E4978" s="31"/>
      <c r="G4978" s="43"/>
      <c r="H4978" s="2"/>
    </row>
    <row r="4979" spans="1:8">
      <c r="A4979" s="39">
        <v>3.48939135279103</v>
      </c>
      <c r="B4979" s="45">
        <v>10.5</v>
      </c>
      <c r="D4979" s="2"/>
      <c r="E4979" s="31"/>
      <c r="G4979" s="43"/>
      <c r="H4979" s="2"/>
    </row>
    <row r="4980" spans="1:8">
      <c r="A4980" s="39">
        <v>3.48928919534743</v>
      </c>
      <c r="B4980" s="45">
        <v>1.8</v>
      </c>
      <c r="D4980" s="2"/>
      <c r="E4980" s="31"/>
      <c r="G4980" s="43"/>
      <c r="H4980" s="2"/>
    </row>
    <row r="4981" spans="1:8">
      <c r="A4981" s="39">
        <v>3.48904836752904</v>
      </c>
      <c r="B4981" s="45">
        <v>3</v>
      </c>
      <c r="D4981" s="2"/>
      <c r="E4981" s="31"/>
      <c r="G4981" s="43"/>
      <c r="H4981" s="2"/>
    </row>
    <row r="4982" spans="1:8">
      <c r="A4982" s="39">
        <v>3.48904836752904</v>
      </c>
      <c r="B4982" s="45">
        <v>11</v>
      </c>
      <c r="D4982" s="2"/>
      <c r="E4982" s="31"/>
      <c r="G4982" s="43"/>
      <c r="H4982" s="2"/>
    </row>
    <row r="4983" spans="1:8">
      <c r="A4983" s="39">
        <v>3.48898061927095</v>
      </c>
      <c r="B4983" s="45">
        <v>15.3</v>
      </c>
      <c r="D4983" s="2"/>
      <c r="E4983" s="31"/>
      <c r="G4983" s="43"/>
      <c r="H4983" s="2"/>
    </row>
    <row r="4984" spans="1:8">
      <c r="A4984" s="39">
        <v>3.4888591961622</v>
      </c>
      <c r="B4984" s="45">
        <v>1</v>
      </c>
      <c r="D4984" s="2"/>
      <c r="E4984" s="31"/>
      <c r="G4984" s="43"/>
      <c r="H4984" s="2"/>
    </row>
    <row r="4985" spans="1:8">
      <c r="A4985" s="39">
        <v>3.48881024075196</v>
      </c>
      <c r="B4985" s="45">
        <v>3.1</v>
      </c>
      <c r="D4985" s="2"/>
      <c r="E4985" s="31"/>
      <c r="G4985" s="43"/>
      <c r="H4985" s="2"/>
    </row>
    <row r="4986" spans="1:8">
      <c r="A4986" s="39">
        <v>3.48871696511076</v>
      </c>
      <c r="B4986" s="45">
        <v>12.8</v>
      </c>
      <c r="D4986" s="2"/>
      <c r="E4986" s="31"/>
      <c r="G4986" s="43"/>
      <c r="H4986" s="2"/>
    </row>
    <row r="4987" spans="1:8">
      <c r="A4987" s="39">
        <v>3.48871696511076</v>
      </c>
      <c r="B4987" s="45">
        <v>16</v>
      </c>
      <c r="D4987" s="2"/>
      <c r="E4987" s="31"/>
      <c r="G4987" s="43"/>
      <c r="H4987" s="2"/>
    </row>
    <row r="4988" spans="1:8">
      <c r="A4988" s="39">
        <v>3.48871696511076</v>
      </c>
      <c r="B4988" s="45">
        <v>8.6</v>
      </c>
      <c r="D4988" s="2"/>
      <c r="E4988" s="31"/>
      <c r="G4988" s="43"/>
      <c r="H4988" s="2"/>
    </row>
    <row r="4989" spans="1:8">
      <c r="A4989" s="39">
        <v>3.48833326985854</v>
      </c>
      <c r="B4989" s="45">
        <v>6</v>
      </c>
      <c r="D4989" s="2"/>
      <c r="E4989" s="31"/>
      <c r="G4989" s="43"/>
      <c r="H4989" s="2"/>
    </row>
    <row r="4990" spans="1:8">
      <c r="A4990" s="39">
        <v>3.48825314207761</v>
      </c>
      <c r="B4990" s="45">
        <v>11.5</v>
      </c>
      <c r="D4990" s="2"/>
      <c r="E4990" s="31"/>
      <c r="G4990" s="43"/>
      <c r="H4990" s="2"/>
    </row>
    <row r="4991" spans="1:8">
      <c r="A4991" s="39">
        <v>3.48815666071435</v>
      </c>
      <c r="B4991" s="45">
        <v>3.25</v>
      </c>
      <c r="D4991" s="2"/>
      <c r="E4991" s="31"/>
      <c r="G4991" s="43"/>
      <c r="H4991" s="2"/>
    </row>
    <row r="4992" spans="1:8">
      <c r="A4992" s="39">
        <v>3.48815666071435</v>
      </c>
      <c r="B4992" s="45">
        <v>0.6</v>
      </c>
      <c r="D4992" s="2"/>
      <c r="E4992" s="31"/>
      <c r="G4992" s="43"/>
      <c r="H4992" s="2"/>
    </row>
    <row r="4993" spans="1:8">
      <c r="A4993" s="39">
        <v>3.48800074319224</v>
      </c>
      <c r="B4993" s="45">
        <v>12.4</v>
      </c>
      <c r="D4993" s="2"/>
      <c r="E4993" s="31"/>
      <c r="G4993" s="43"/>
      <c r="H4993" s="2"/>
    </row>
    <row r="4994" spans="1:8">
      <c r="A4994" s="39">
        <v>3.48579805340278</v>
      </c>
      <c r="B4994" s="45">
        <v>16</v>
      </c>
      <c r="D4994" s="2"/>
      <c r="E4994" s="31"/>
      <c r="G4994" s="43"/>
      <c r="H4994" s="2"/>
    </row>
    <row r="4995" spans="1:8">
      <c r="A4995" s="39">
        <v>3.48554234056392</v>
      </c>
      <c r="B4995" s="45">
        <v>4.7</v>
      </c>
      <c r="D4995" s="2"/>
      <c r="E4995" s="31"/>
      <c r="G4995" s="43"/>
      <c r="H4995" s="2"/>
    </row>
    <row r="4996" spans="1:8">
      <c r="A4996" s="39">
        <v>3.48545034980081</v>
      </c>
      <c r="B4996" s="45">
        <v>8.1</v>
      </c>
      <c r="D4996" s="2"/>
      <c r="E4996" s="31"/>
      <c r="G4996" s="43"/>
      <c r="H4996" s="2"/>
    </row>
    <row r="4997" spans="1:8">
      <c r="A4997" s="39">
        <v>3.48526150686479</v>
      </c>
      <c r="B4997" s="45">
        <v>6</v>
      </c>
      <c r="D4997" s="2"/>
      <c r="E4997" s="31"/>
      <c r="G4997" s="43"/>
      <c r="H4997" s="2"/>
    </row>
    <row r="4998" spans="1:8">
      <c r="A4998" s="39">
        <v>3.48488876052631</v>
      </c>
      <c r="B4998" s="45">
        <v>7.5</v>
      </c>
      <c r="D4998" s="2"/>
      <c r="E4998" s="31"/>
      <c r="G4998" s="43"/>
      <c r="H4998" s="2"/>
    </row>
    <row r="4999" spans="1:8">
      <c r="A4999" s="39">
        <v>3.4842351804887</v>
      </c>
      <c r="B4999" s="45">
        <v>20.5</v>
      </c>
      <c r="D4999" s="2"/>
      <c r="E4999" s="31"/>
      <c r="G4999" s="43"/>
      <c r="H4999" s="2"/>
    </row>
    <row r="5000" spans="1:8">
      <c r="A5000" s="39">
        <v>3.48391763847124</v>
      </c>
      <c r="B5000" s="45">
        <v>7.5</v>
      </c>
      <c r="D5000" s="2"/>
      <c r="E5000" s="31"/>
      <c r="G5000" s="43"/>
      <c r="H5000" s="2"/>
    </row>
    <row r="5001" spans="1:8">
      <c r="A5001" s="39">
        <v>3.48391565039356</v>
      </c>
      <c r="B5001" s="45">
        <v>14.6</v>
      </c>
      <c r="D5001" s="2"/>
      <c r="E5001" s="31"/>
      <c r="G5001" s="43"/>
      <c r="H5001" s="2"/>
    </row>
    <row r="5002" spans="1:8">
      <c r="A5002" s="39">
        <v>3.48358160045109</v>
      </c>
      <c r="B5002" s="45">
        <v>8.9</v>
      </c>
      <c r="D5002" s="2"/>
      <c r="E5002" s="31"/>
      <c r="G5002" s="43"/>
      <c r="H5002" s="2"/>
    </row>
    <row r="5003" spans="1:8">
      <c r="A5003" s="39">
        <v>3.48352840309565</v>
      </c>
      <c r="B5003" s="45">
        <v>8.5</v>
      </c>
      <c r="D5003" s="2"/>
      <c r="E5003" s="31"/>
      <c r="G5003" s="43"/>
      <c r="H5003" s="2"/>
    </row>
    <row r="5004" spans="1:8">
      <c r="A5004" s="39">
        <v>3.48323761741319</v>
      </c>
      <c r="B5004" s="45">
        <v>2</v>
      </c>
      <c r="D5004" s="2"/>
      <c r="E5004" s="31"/>
      <c r="G5004" s="43"/>
      <c r="H5004" s="2"/>
    </row>
    <row r="5005" spans="1:8">
      <c r="A5005" s="39">
        <v>3.48254672479419</v>
      </c>
      <c r="B5005" s="45">
        <v>9</v>
      </c>
      <c r="D5005" s="2"/>
      <c r="E5005" s="31"/>
      <c r="G5005" s="43"/>
      <c r="H5005" s="2"/>
    </row>
    <row r="5006" spans="1:8">
      <c r="A5006" s="39">
        <v>3.48166381756738</v>
      </c>
      <c r="B5006" s="45">
        <v>1</v>
      </c>
      <c r="D5006" s="2"/>
      <c r="E5006" s="31"/>
      <c r="G5006" s="43"/>
      <c r="H5006" s="2"/>
    </row>
    <row r="5007" spans="1:8">
      <c r="A5007" s="39">
        <v>3.48122490023957</v>
      </c>
      <c r="B5007" s="45">
        <v>5.2</v>
      </c>
      <c r="D5007" s="2"/>
      <c r="E5007" s="31"/>
      <c r="G5007" s="43"/>
      <c r="H5007" s="2"/>
    </row>
    <row r="5008" spans="1:8">
      <c r="A5008" s="39">
        <v>3.47966012022544</v>
      </c>
      <c r="B5008" s="45">
        <v>0</v>
      </c>
      <c r="D5008" s="2"/>
      <c r="E5008" s="31"/>
      <c r="G5008" s="43"/>
      <c r="H5008" s="2"/>
    </row>
    <row r="5009" spans="1:8">
      <c r="A5009" s="39">
        <v>3.47959863118522</v>
      </c>
      <c r="B5009" s="45">
        <v>0</v>
      </c>
      <c r="D5009" s="2"/>
      <c r="E5009" s="31"/>
      <c r="G5009" s="43"/>
      <c r="H5009" s="2"/>
    </row>
    <row r="5010" spans="1:8">
      <c r="A5010" s="39">
        <v>3.47959863118522</v>
      </c>
      <c r="B5010" s="45">
        <v>7</v>
      </c>
      <c r="D5010" s="2"/>
      <c r="E5010" s="31"/>
      <c r="G5010" s="43"/>
      <c r="H5010" s="2"/>
    </row>
    <row r="5011" spans="1:8">
      <c r="A5011" s="39">
        <v>3.4793432591863</v>
      </c>
      <c r="B5011" s="45">
        <v>26</v>
      </c>
      <c r="D5011" s="2"/>
      <c r="E5011" s="31"/>
      <c r="G5011" s="43"/>
      <c r="H5011" s="2"/>
    </row>
    <row r="5012" spans="1:8">
      <c r="A5012" s="39">
        <v>3.47835296015023</v>
      </c>
      <c r="B5012" s="45">
        <v>12.3</v>
      </c>
      <c r="D5012" s="2"/>
      <c r="E5012" s="31"/>
      <c r="G5012" s="43"/>
      <c r="H5012" s="2"/>
    </row>
    <row r="5013" spans="1:8">
      <c r="A5013" s="39">
        <v>3.47806612826997</v>
      </c>
      <c r="B5013" s="45">
        <v>4.2</v>
      </c>
      <c r="D5013" s="2"/>
      <c r="E5013" s="31"/>
      <c r="G5013" s="43"/>
      <c r="H5013" s="2"/>
    </row>
    <row r="5014" spans="1:8">
      <c r="A5014" s="39">
        <v>3.47806612826997</v>
      </c>
      <c r="B5014" s="45">
        <v>4.2</v>
      </c>
      <c r="D5014" s="2"/>
      <c r="E5014" s="31"/>
      <c r="G5014" s="43"/>
      <c r="H5014" s="2"/>
    </row>
    <row r="5015" spans="1:8">
      <c r="A5015" s="39">
        <v>3.47806612826997</v>
      </c>
      <c r="B5015" s="45">
        <v>4</v>
      </c>
      <c r="D5015" s="2"/>
      <c r="E5015" s="31"/>
      <c r="G5015" s="43"/>
      <c r="H5015" s="2"/>
    </row>
    <row r="5016" spans="1:8">
      <c r="A5016" s="39">
        <v>3.47806612826997</v>
      </c>
      <c r="B5016" s="45">
        <v>5</v>
      </c>
      <c r="D5016" s="2"/>
      <c r="E5016" s="31"/>
      <c r="G5016" s="43"/>
      <c r="H5016" s="2"/>
    </row>
    <row r="5017" spans="1:8">
      <c r="A5017" s="39">
        <v>3.47741523944844</v>
      </c>
      <c r="B5017" s="45">
        <v>9.2</v>
      </c>
      <c r="D5017" s="2"/>
      <c r="E5017" s="31"/>
      <c r="G5017" s="43"/>
      <c r="H5017" s="2"/>
    </row>
    <row r="5018" spans="1:8">
      <c r="A5018" s="39">
        <v>3.47723200720864</v>
      </c>
      <c r="B5018" s="45">
        <v>21</v>
      </c>
      <c r="D5018" s="2"/>
      <c r="E5018" s="31"/>
      <c r="G5018" s="43"/>
      <c r="H5018" s="2"/>
    </row>
    <row r="5019" spans="1:8">
      <c r="A5019" s="39">
        <v>3.47704580007501</v>
      </c>
      <c r="B5019" s="45">
        <v>9.2</v>
      </c>
      <c r="D5019" s="2"/>
      <c r="E5019" s="31"/>
      <c r="G5019" s="43"/>
      <c r="H5019" s="2"/>
    </row>
    <row r="5020" spans="1:8">
      <c r="A5020" s="39">
        <v>3.47702312130707</v>
      </c>
      <c r="B5020" s="45">
        <v>1</v>
      </c>
      <c r="D5020" s="2"/>
      <c r="E5020" s="31"/>
      <c r="G5020" s="43"/>
      <c r="H5020" s="2"/>
    </row>
    <row r="5021" spans="1:8">
      <c r="A5021" s="39">
        <v>3.4768015896276</v>
      </c>
      <c r="B5021" s="45">
        <v>3</v>
      </c>
      <c r="D5021" s="2"/>
      <c r="E5021" s="31"/>
      <c r="G5021" s="43"/>
      <c r="H5021" s="2"/>
    </row>
    <row r="5022" spans="1:8">
      <c r="A5022" s="39">
        <v>3.47638655959703</v>
      </c>
      <c r="B5022" s="45">
        <v>9.3</v>
      </c>
      <c r="D5022" s="2"/>
      <c r="E5022" s="31"/>
      <c r="G5022" s="43"/>
      <c r="H5022" s="2"/>
    </row>
    <row r="5023" spans="1:8">
      <c r="A5023" s="39">
        <v>3.47595964495725</v>
      </c>
      <c r="B5023" s="45">
        <v>4</v>
      </c>
      <c r="D5023" s="2"/>
      <c r="E5023" s="31"/>
      <c r="G5023" s="43"/>
      <c r="H5023" s="2"/>
    </row>
    <row r="5024" spans="1:8">
      <c r="A5024" s="39">
        <v>3.4757386399998</v>
      </c>
      <c r="B5024" s="45">
        <v>3.1</v>
      </c>
      <c r="D5024" s="2"/>
      <c r="E5024" s="31"/>
      <c r="G5024" s="43"/>
      <c r="H5024" s="2"/>
    </row>
    <row r="5025" spans="1:8">
      <c r="A5025" s="39">
        <v>3.47536786129692</v>
      </c>
      <c r="B5025" s="45">
        <v>1</v>
      </c>
      <c r="D5025" s="2"/>
      <c r="E5025" s="31"/>
      <c r="G5025" s="43"/>
      <c r="H5025" s="2"/>
    </row>
    <row r="5026" spans="1:8">
      <c r="A5026" s="39">
        <v>3.47508505996219</v>
      </c>
      <c r="B5026" s="45">
        <v>10.5</v>
      </c>
      <c r="D5026" s="2"/>
      <c r="E5026" s="31"/>
      <c r="G5026" s="43"/>
      <c r="H5026" s="2"/>
    </row>
    <row r="5027" spans="1:8">
      <c r="A5027" s="39">
        <v>3.47501763399766</v>
      </c>
      <c r="B5027" s="45">
        <v>3</v>
      </c>
      <c r="D5027" s="2"/>
      <c r="E5027" s="31"/>
      <c r="G5027" s="43"/>
      <c r="H5027" s="2"/>
    </row>
    <row r="5028" spans="1:8">
      <c r="A5028" s="39">
        <v>3.47446843897257</v>
      </c>
      <c r="B5028" s="45">
        <v>0</v>
      </c>
      <c r="D5028" s="2"/>
      <c r="E5028" s="31"/>
      <c r="G5028" s="43"/>
      <c r="H5028" s="2"/>
    </row>
    <row r="5029" spans="1:8">
      <c r="A5029" s="39">
        <v>3.47377789988697</v>
      </c>
      <c r="B5029" s="45">
        <v>9.5</v>
      </c>
      <c r="D5029" s="2"/>
      <c r="E5029" s="31"/>
      <c r="G5029" s="43"/>
      <c r="H5029" s="2"/>
    </row>
    <row r="5030" spans="1:8">
      <c r="A5030" s="39">
        <v>3.47278215593826</v>
      </c>
      <c r="B5030" s="45">
        <v>10.6</v>
      </c>
      <c r="D5030" s="2"/>
      <c r="E5030" s="31"/>
      <c r="G5030" s="43"/>
      <c r="H5030" s="2"/>
    </row>
    <row r="5031" spans="1:8">
      <c r="A5031" s="39">
        <v>3.47261238242074</v>
      </c>
      <c r="B5031" s="45">
        <v>8.7</v>
      </c>
      <c r="D5031" s="2"/>
      <c r="E5031" s="31"/>
      <c r="G5031" s="43"/>
      <c r="H5031" s="2"/>
    </row>
    <row r="5032" spans="1:8">
      <c r="A5032" s="39">
        <v>3.47247073981176</v>
      </c>
      <c r="B5032" s="45">
        <v>11</v>
      </c>
      <c r="D5032" s="2"/>
      <c r="E5032" s="31"/>
      <c r="G5032" s="43"/>
      <c r="H5032" s="2"/>
    </row>
    <row r="5033" spans="1:8">
      <c r="A5033" s="39">
        <v>3.47227978279892</v>
      </c>
      <c r="B5033" s="45">
        <v>7</v>
      </c>
      <c r="D5033" s="2"/>
      <c r="E5033" s="31"/>
      <c r="G5033" s="43"/>
      <c r="H5033" s="2"/>
    </row>
    <row r="5034" spans="1:8">
      <c r="A5034" s="39">
        <v>3.47181715977415</v>
      </c>
      <c r="B5034" s="45">
        <v>13</v>
      </c>
      <c r="D5034" s="2"/>
      <c r="E5034" s="31"/>
      <c r="G5034" s="43"/>
      <c r="H5034" s="2"/>
    </row>
    <row r="5035" spans="1:8">
      <c r="A5035" s="39">
        <v>3.47116357973654</v>
      </c>
      <c r="B5035" s="45">
        <v>12.7</v>
      </c>
      <c r="D5035" s="2"/>
      <c r="E5035" s="31"/>
      <c r="G5035" s="43"/>
      <c r="H5035" s="2"/>
    </row>
    <row r="5036" spans="1:8">
      <c r="A5036" s="39">
        <v>3.47103574951214</v>
      </c>
      <c r="B5036" s="45">
        <v>5.2</v>
      </c>
      <c r="D5036" s="2"/>
      <c r="E5036" s="31"/>
      <c r="G5036" s="43"/>
      <c r="H5036" s="2"/>
    </row>
    <row r="5037" spans="1:8">
      <c r="A5037" s="39">
        <v>3.47089825127566</v>
      </c>
      <c r="B5037" s="45">
        <v>3.5</v>
      </c>
      <c r="D5037" s="2"/>
      <c r="E5037" s="31"/>
      <c r="G5037" s="43"/>
      <c r="H5037" s="2"/>
    </row>
    <row r="5038" spans="1:8">
      <c r="A5038" s="39">
        <v>3.47087074967516</v>
      </c>
      <c r="B5038" s="45">
        <v>5</v>
      </c>
      <c r="D5038" s="2"/>
      <c r="E5038" s="31"/>
      <c r="G5038" s="43"/>
      <c r="H5038" s="2"/>
    </row>
    <row r="5039" spans="1:8">
      <c r="A5039" s="39">
        <v>3.47087074967516</v>
      </c>
      <c r="B5039" s="45">
        <v>8.1</v>
      </c>
      <c r="D5039" s="2"/>
      <c r="E5039" s="31"/>
      <c r="G5039" s="43"/>
      <c r="H5039" s="2"/>
    </row>
    <row r="5040" spans="1:8">
      <c r="A5040" s="39">
        <v>3.47022639439987</v>
      </c>
      <c r="B5040" s="45">
        <v>12</v>
      </c>
      <c r="D5040" s="2"/>
      <c r="E5040" s="31"/>
      <c r="G5040" s="43"/>
      <c r="H5040" s="2"/>
    </row>
    <row r="5041" spans="1:8">
      <c r="A5041" s="39">
        <v>3.47022639439987</v>
      </c>
      <c r="B5041" s="45">
        <v>12.6</v>
      </c>
      <c r="D5041" s="2"/>
      <c r="E5041" s="31"/>
      <c r="G5041" s="43"/>
      <c r="H5041" s="2"/>
    </row>
    <row r="5042" spans="1:8">
      <c r="A5042" s="39">
        <v>3.46996790783783</v>
      </c>
      <c r="B5042" s="45">
        <v>14.2</v>
      </c>
      <c r="D5042" s="2"/>
      <c r="E5042" s="31"/>
      <c r="G5042" s="43"/>
      <c r="H5042" s="2"/>
    </row>
    <row r="5043" spans="1:8">
      <c r="A5043" s="39">
        <v>3.46996790783783</v>
      </c>
      <c r="B5043" s="45">
        <v>10.7</v>
      </c>
      <c r="D5043" s="2"/>
      <c r="E5043" s="31"/>
      <c r="G5043" s="43"/>
      <c r="H5043" s="2"/>
    </row>
    <row r="5044" spans="1:8">
      <c r="A5044" s="39">
        <v>3.46911380280698</v>
      </c>
      <c r="B5044" s="45">
        <v>5</v>
      </c>
      <c r="D5044" s="2"/>
      <c r="E5044" s="31"/>
      <c r="G5044" s="43"/>
      <c r="H5044" s="2"/>
    </row>
    <row r="5045" spans="1:8">
      <c r="A5045" s="39">
        <v>3.46907190502645</v>
      </c>
      <c r="B5045" s="45">
        <v>12</v>
      </c>
      <c r="D5045" s="44"/>
      <c r="E5045" s="31"/>
      <c r="G5045" s="43"/>
      <c r="H5045" s="2"/>
    </row>
    <row r="5046" spans="1:8">
      <c r="A5046" s="39">
        <v>3.46854925958611</v>
      </c>
      <c r="B5046" s="45">
        <v>22</v>
      </c>
      <c r="D5046" s="2"/>
      <c r="E5046" s="31"/>
      <c r="G5046" s="43"/>
      <c r="H5046" s="2"/>
    </row>
    <row r="5047" spans="1:8">
      <c r="A5047" s="39">
        <v>3.46817602106177</v>
      </c>
      <c r="B5047" s="45">
        <v>11.8</v>
      </c>
      <c r="D5047" s="2"/>
      <c r="E5047" s="31"/>
      <c r="G5047" s="43"/>
      <c r="H5047" s="2"/>
    </row>
    <row r="5048" spans="1:8">
      <c r="A5048" s="39">
        <v>3.46750271956282</v>
      </c>
      <c r="B5048" s="45">
        <v>8.5</v>
      </c>
      <c r="D5048" s="2"/>
      <c r="E5048" s="31"/>
      <c r="G5048" s="43"/>
      <c r="H5048" s="2"/>
    </row>
    <row r="5049" spans="1:8">
      <c r="A5049" s="39">
        <v>3.46750271956282</v>
      </c>
      <c r="B5049" s="45">
        <v>11.3</v>
      </c>
      <c r="D5049" s="2"/>
      <c r="E5049" s="31"/>
      <c r="G5049" s="43"/>
      <c r="H5049" s="2"/>
    </row>
    <row r="5050" spans="1:8">
      <c r="A5050" s="39">
        <v>3.46750271956282</v>
      </c>
      <c r="B5050" s="45">
        <v>13</v>
      </c>
      <c r="D5050" s="2"/>
      <c r="E5050" s="31"/>
      <c r="G5050" s="43"/>
      <c r="H5050" s="2"/>
    </row>
    <row r="5051" spans="1:8">
      <c r="A5051" s="39">
        <v>3.46723030755516</v>
      </c>
      <c r="B5051" s="45">
        <v>6</v>
      </c>
      <c r="D5051" s="2"/>
      <c r="E5051" s="31"/>
      <c r="G5051" s="43"/>
      <c r="H5051" s="2"/>
    </row>
    <row r="5052" spans="1:8">
      <c r="A5052" s="39">
        <v>3.4663736380534</v>
      </c>
      <c r="B5052" s="45">
        <v>1</v>
      </c>
      <c r="D5052" s="2"/>
      <c r="E5052" s="31"/>
      <c r="G5052" s="43"/>
      <c r="H5052" s="2"/>
    </row>
    <row r="5053" spans="1:8">
      <c r="A5053" s="39">
        <v>3.46623088274925</v>
      </c>
      <c r="B5053" s="45">
        <v>2.6</v>
      </c>
      <c r="D5053" s="2"/>
      <c r="E5053" s="31"/>
      <c r="G5053" s="43"/>
      <c r="H5053" s="2"/>
    </row>
    <row r="5054" spans="1:8">
      <c r="A5054" s="39">
        <v>3.46547421572904</v>
      </c>
      <c r="B5054" s="45">
        <v>11</v>
      </c>
      <c r="D5054" s="2"/>
      <c r="E5054" s="31"/>
      <c r="G5054" s="43"/>
      <c r="H5054" s="2"/>
    </row>
    <row r="5055" spans="1:8">
      <c r="A5055" s="39">
        <v>3.46504268627334</v>
      </c>
      <c r="B5055" s="45">
        <v>13</v>
      </c>
      <c r="D5055" s="2"/>
      <c r="E5055" s="31"/>
      <c r="G5055" s="43"/>
      <c r="H5055" s="2"/>
    </row>
    <row r="5056" spans="1:8">
      <c r="A5056" s="39">
        <v>3.46462777936046</v>
      </c>
      <c r="B5056" s="45">
        <v>6.2</v>
      </c>
      <c r="D5056" s="2"/>
      <c r="E5056" s="31"/>
      <c r="G5056" s="43"/>
      <c r="H5056" s="2"/>
    </row>
    <row r="5057" spans="1:8">
      <c r="A5057" s="39">
        <v>3.46462777936046</v>
      </c>
      <c r="B5057" s="45">
        <v>20.8</v>
      </c>
      <c r="D5057" s="2"/>
      <c r="E5057" s="31"/>
      <c r="G5057" s="43"/>
      <c r="H5057" s="2"/>
    </row>
    <row r="5058" spans="1:8">
      <c r="A5058" s="39">
        <v>3.46436541988108</v>
      </c>
      <c r="B5058" s="45">
        <v>9.4</v>
      </c>
      <c r="D5058" s="2"/>
      <c r="E5058" s="31"/>
      <c r="G5058" s="43"/>
      <c r="H5058" s="2"/>
    </row>
    <row r="5059" spans="1:8">
      <c r="A5059" s="39">
        <v>3.4642463946973</v>
      </c>
      <c r="B5059" s="45">
        <v>3</v>
      </c>
      <c r="D5059" s="2"/>
      <c r="E5059" s="31"/>
      <c r="G5059" s="43"/>
      <c r="H5059" s="2"/>
    </row>
    <row r="5060" spans="1:8">
      <c r="A5060" s="39">
        <v>3.46397419932285</v>
      </c>
      <c r="B5060" s="45">
        <v>10.3</v>
      </c>
      <c r="D5060" s="2"/>
      <c r="E5060" s="31"/>
      <c r="G5060" s="43"/>
      <c r="H5060" s="2"/>
    </row>
    <row r="5061" spans="1:8">
      <c r="A5061" s="39">
        <v>3.46386074468345</v>
      </c>
      <c r="B5061" s="45">
        <v>12.2</v>
      </c>
      <c r="D5061" s="2"/>
      <c r="E5061" s="31"/>
      <c r="G5061" s="43"/>
      <c r="H5061" s="2"/>
    </row>
    <row r="5062" spans="1:8">
      <c r="A5062" s="39">
        <v>3.46364740930405</v>
      </c>
      <c r="B5062" s="45">
        <v>10.6</v>
      </c>
      <c r="D5062" s="44"/>
      <c r="E5062" s="31"/>
      <c r="G5062" s="43"/>
      <c r="H5062" s="2"/>
    </row>
    <row r="5063" spans="1:8">
      <c r="A5063" s="39">
        <v>3.46332061928524</v>
      </c>
      <c r="B5063" s="45">
        <v>15.5</v>
      </c>
      <c r="D5063" s="2"/>
      <c r="E5063" s="31"/>
      <c r="G5063" s="43"/>
      <c r="H5063" s="2"/>
    </row>
    <row r="5064" spans="1:8">
      <c r="A5064" s="39">
        <v>3.46222872556163</v>
      </c>
      <c r="B5064" s="45">
        <v>9.7</v>
      </c>
      <c r="D5064" s="2"/>
      <c r="E5064" s="31"/>
      <c r="G5064" s="43"/>
      <c r="H5064" s="2"/>
    </row>
    <row r="5065" spans="1:8">
      <c r="A5065" s="39">
        <v>3.46211630757127</v>
      </c>
      <c r="B5065" s="45">
        <v>15.1</v>
      </c>
      <c r="D5065" s="2"/>
      <c r="E5065" s="31"/>
      <c r="G5065" s="43"/>
      <c r="H5065" s="2"/>
    </row>
    <row r="5066" spans="1:8">
      <c r="A5066" s="39">
        <v>3.46201284080366</v>
      </c>
      <c r="B5066" s="45">
        <v>5.4</v>
      </c>
      <c r="D5066" s="2"/>
      <c r="E5066" s="31"/>
      <c r="G5066" s="43"/>
      <c r="H5066" s="2"/>
    </row>
    <row r="5067" spans="1:8">
      <c r="A5067" s="39">
        <v>3.46144300607232</v>
      </c>
      <c r="B5067" s="45">
        <v>16</v>
      </c>
      <c r="D5067" s="2"/>
      <c r="E5067" s="31"/>
      <c r="G5067" s="43"/>
      <c r="H5067" s="2"/>
    </row>
    <row r="5068" spans="1:8">
      <c r="A5068" s="39">
        <v>3.46104574204657</v>
      </c>
      <c r="B5068" s="45">
        <v>15.6</v>
      </c>
      <c r="D5068" s="2"/>
      <c r="E5068" s="31"/>
      <c r="G5068" s="43"/>
      <c r="H5068" s="2"/>
    </row>
    <row r="5069" spans="1:8">
      <c r="A5069" s="39">
        <v>3.46082160151141</v>
      </c>
      <c r="B5069" s="45">
        <v>19.3</v>
      </c>
      <c r="D5069" s="2"/>
      <c r="E5069" s="31"/>
      <c r="G5069" s="43"/>
      <c r="H5069" s="2"/>
    </row>
    <row r="5070" spans="1:8">
      <c r="A5070" s="39">
        <v>3.46064391520429</v>
      </c>
      <c r="B5070" s="45">
        <v>7.2</v>
      </c>
      <c r="D5070" s="2"/>
      <c r="E5070" s="31"/>
      <c r="G5070" s="43"/>
      <c r="H5070" s="2"/>
    </row>
    <row r="5071" spans="1:8">
      <c r="A5071" s="39">
        <v>3.46034199138735</v>
      </c>
      <c r="B5071" s="45">
        <v>26.2</v>
      </c>
      <c r="D5071" s="2"/>
      <c r="E5071" s="31"/>
      <c r="G5071" s="43"/>
      <c r="H5071" s="2"/>
    </row>
    <row r="5072" spans="1:8">
      <c r="A5072" s="39">
        <v>3.46007768178293</v>
      </c>
      <c r="B5072" s="45">
        <v>0</v>
      </c>
      <c r="D5072" s="2"/>
      <c r="E5072" s="31"/>
      <c r="G5072" s="43"/>
      <c r="H5072" s="2"/>
    </row>
    <row r="5073" spans="1:8">
      <c r="A5073" s="39">
        <v>3.45988153153725</v>
      </c>
      <c r="B5073" s="45">
        <v>3.5</v>
      </c>
      <c r="D5073" s="2"/>
      <c r="E5073" s="31"/>
      <c r="G5073" s="43"/>
      <c r="H5073" s="2"/>
    </row>
    <row r="5074" spans="1:8">
      <c r="A5074" s="39">
        <v>3.45874555902199</v>
      </c>
      <c r="B5074" s="45">
        <v>4.4</v>
      </c>
      <c r="D5074" s="2"/>
      <c r="E5074" s="31"/>
      <c r="G5074" s="43"/>
      <c r="H5074" s="2"/>
    </row>
    <row r="5075" spans="1:8">
      <c r="A5075" s="39">
        <v>3.45874555902199</v>
      </c>
      <c r="B5075" s="45">
        <v>5.2</v>
      </c>
      <c r="D5075" s="2"/>
      <c r="E5075" s="31"/>
      <c r="G5075" s="43"/>
      <c r="H5075" s="2"/>
    </row>
    <row r="5076" spans="1:8">
      <c r="A5076" s="39">
        <v>3.45871091543608</v>
      </c>
      <c r="B5076" s="45">
        <v>9.9</v>
      </c>
      <c r="D5076" s="2"/>
      <c r="E5076" s="31"/>
      <c r="G5076" s="43"/>
      <c r="H5076" s="2"/>
    </row>
    <row r="5077" spans="1:8">
      <c r="A5077" s="39">
        <v>3.4577647138174</v>
      </c>
      <c r="B5077" s="45">
        <v>6</v>
      </c>
      <c r="D5077" s="2"/>
      <c r="E5077" s="31"/>
      <c r="G5077" s="43"/>
      <c r="H5077" s="2"/>
    </row>
    <row r="5078" spans="1:8">
      <c r="A5078" s="39">
        <v>3.45752698875047</v>
      </c>
      <c r="B5078" s="45">
        <v>12.5</v>
      </c>
      <c r="D5078" s="2"/>
      <c r="E5078" s="31"/>
      <c r="G5078" s="43"/>
      <c r="H5078" s="2"/>
    </row>
    <row r="5079" spans="1:8">
      <c r="A5079" s="39">
        <v>3.45720320069588</v>
      </c>
      <c r="B5079" s="45">
        <v>11</v>
      </c>
      <c r="D5079" s="2"/>
      <c r="E5079" s="31"/>
      <c r="G5079" s="43"/>
      <c r="H5079" s="2"/>
    </row>
    <row r="5080" spans="1:8">
      <c r="A5080" s="39">
        <v>3.45566017587089</v>
      </c>
      <c r="B5080" s="45">
        <v>5</v>
      </c>
      <c r="D5080" s="2"/>
      <c r="E5080" s="31"/>
      <c r="G5080" s="43"/>
      <c r="H5080" s="2"/>
    </row>
    <row r="5081" spans="1:8">
      <c r="A5081" s="39">
        <v>3.45566017587089</v>
      </c>
      <c r="B5081" s="45">
        <v>2</v>
      </c>
      <c r="D5081" s="2"/>
      <c r="E5081" s="31"/>
      <c r="G5081" s="43"/>
      <c r="H5081" s="2"/>
    </row>
    <row r="5082" spans="1:8">
      <c r="A5082" s="39">
        <v>3.45538329258183</v>
      </c>
      <c r="B5082" s="45">
        <v>17</v>
      </c>
      <c r="D5082" s="2"/>
      <c r="E5082" s="31"/>
      <c r="G5082" s="43"/>
      <c r="H5082" s="2"/>
    </row>
    <row r="5083" spans="1:8">
      <c r="A5083" s="39">
        <v>3.45478919118385</v>
      </c>
      <c r="B5083" s="45">
        <v>10</v>
      </c>
      <c r="D5083" s="2"/>
      <c r="E5083" s="31"/>
      <c r="G5083" s="43"/>
      <c r="H5083" s="2"/>
    </row>
    <row r="5084" spans="1:8">
      <c r="A5084" s="39">
        <v>3.45468114783682</v>
      </c>
      <c r="B5084" s="45">
        <v>13.4</v>
      </c>
      <c r="D5084" s="2"/>
      <c r="E5084" s="31"/>
      <c r="G5084" s="43"/>
      <c r="H5084" s="2"/>
    </row>
    <row r="5085" spans="1:8">
      <c r="A5085" s="39">
        <v>3.45412572758943</v>
      </c>
      <c r="B5085" s="45">
        <v>5.7</v>
      </c>
      <c r="D5085" s="2"/>
      <c r="E5085" s="31"/>
      <c r="G5085" s="43"/>
      <c r="H5085" s="2"/>
    </row>
    <row r="5086" spans="1:8">
      <c r="A5086" s="39">
        <v>3.45290586918476</v>
      </c>
      <c r="B5086" s="45">
        <v>5</v>
      </c>
      <c r="D5086" s="2"/>
      <c r="E5086" s="31"/>
      <c r="G5086" s="43"/>
      <c r="H5086" s="2"/>
    </row>
    <row r="5087" spans="1:8">
      <c r="A5087" s="39">
        <v>3.45290586918476</v>
      </c>
      <c r="B5087" s="45">
        <v>11</v>
      </c>
      <c r="D5087" s="2"/>
      <c r="E5087" s="31"/>
      <c r="G5087" s="43"/>
      <c r="H5087" s="2"/>
    </row>
    <row r="5088" spans="1:8">
      <c r="A5088" s="39">
        <v>3.4523788572101</v>
      </c>
      <c r="B5088" s="45">
        <v>11.6</v>
      </c>
      <c r="D5088" s="2"/>
      <c r="E5088" s="31"/>
      <c r="G5088" s="43"/>
      <c r="H5088" s="2"/>
    </row>
    <row r="5089" spans="1:8">
      <c r="A5089" s="39">
        <v>3.4522097586459</v>
      </c>
      <c r="B5089" s="45">
        <v>7</v>
      </c>
      <c r="D5089" s="2"/>
      <c r="E5089" s="31"/>
      <c r="G5089" s="43"/>
      <c r="H5089" s="2"/>
    </row>
    <row r="5090" spans="1:8">
      <c r="A5090" s="39">
        <v>3.4522097586459</v>
      </c>
      <c r="B5090" s="45">
        <v>3.3</v>
      </c>
      <c r="D5090" s="2"/>
      <c r="E5090" s="31"/>
      <c r="G5090" s="43"/>
      <c r="H5090" s="2"/>
    </row>
    <row r="5091" spans="1:8">
      <c r="A5091" s="39">
        <v>3.45198288086376</v>
      </c>
      <c r="B5091" s="45">
        <v>0</v>
      </c>
      <c r="D5091" s="2"/>
      <c r="E5091" s="31"/>
      <c r="G5091" s="43"/>
      <c r="H5091" s="2"/>
    </row>
    <row r="5092" spans="1:8">
      <c r="A5092" s="39">
        <v>3.45167529518499</v>
      </c>
      <c r="B5092" s="45">
        <v>9.5</v>
      </c>
      <c r="D5092" s="2"/>
      <c r="E5092" s="31"/>
      <c r="G5092" s="43"/>
      <c r="H5092" s="2"/>
    </row>
    <row r="5093" spans="1:8">
      <c r="A5093" s="39">
        <v>3.45090259857069</v>
      </c>
      <c r="B5093" s="45">
        <v>9</v>
      </c>
      <c r="D5093" s="2"/>
      <c r="E5093" s="31"/>
      <c r="G5093" s="43"/>
      <c r="H5093" s="2"/>
    </row>
    <row r="5094" spans="1:8">
      <c r="A5094" s="39">
        <v>3.45085549668764</v>
      </c>
      <c r="B5094" s="45">
        <v>3</v>
      </c>
      <c r="D5094" s="2"/>
      <c r="E5094" s="31"/>
      <c r="G5094" s="43"/>
      <c r="H5094" s="2"/>
    </row>
    <row r="5095" spans="1:8">
      <c r="A5095" s="39">
        <v>3.45048674136146</v>
      </c>
      <c r="B5095" s="45">
        <v>6</v>
      </c>
      <c r="D5095" s="2"/>
      <c r="E5095" s="31"/>
      <c r="G5095" s="43"/>
      <c r="H5095" s="2"/>
    </row>
    <row r="5096" spans="1:8">
      <c r="A5096" s="39">
        <v>3.44956460910966</v>
      </c>
      <c r="B5096" s="45">
        <v>10.4</v>
      </c>
      <c r="D5096" s="2"/>
      <c r="E5096" s="31"/>
      <c r="G5096" s="43"/>
      <c r="H5096" s="2"/>
    </row>
    <row r="5097" spans="1:8">
      <c r="A5097" s="39">
        <v>3.44932475959216</v>
      </c>
      <c r="B5097" s="45">
        <v>6.5</v>
      </c>
      <c r="D5097" s="2"/>
      <c r="E5097" s="31"/>
      <c r="G5097" s="43"/>
      <c r="H5097" s="2"/>
    </row>
    <row r="5098" spans="1:8">
      <c r="A5098" s="39">
        <v>3.44865027759238</v>
      </c>
      <c r="B5098" s="45">
        <v>15.2</v>
      </c>
      <c r="D5098" s="2"/>
      <c r="E5098" s="31"/>
      <c r="G5098" s="43"/>
      <c r="H5098" s="2"/>
    </row>
    <row r="5099" spans="1:8">
      <c r="A5099" s="39">
        <v>3.44865027759238</v>
      </c>
      <c r="B5099" s="45">
        <v>17</v>
      </c>
      <c r="D5099" s="2"/>
      <c r="E5099" s="31"/>
      <c r="G5099" s="43"/>
      <c r="H5099" s="2"/>
    </row>
    <row r="5100" spans="1:8">
      <c r="A5100" s="39">
        <v>3.44757555237908</v>
      </c>
      <c r="B5100" s="45">
        <v>9</v>
      </c>
      <c r="D5100" s="2"/>
      <c r="E5100" s="31"/>
      <c r="G5100" s="43"/>
      <c r="H5100" s="2"/>
    </row>
    <row r="5101" spans="1:8">
      <c r="A5101" s="39">
        <v>3.44757555237908</v>
      </c>
      <c r="B5101" s="45">
        <v>1</v>
      </c>
      <c r="D5101" s="2"/>
      <c r="E5101" s="31"/>
      <c r="G5101" s="43"/>
      <c r="H5101" s="2"/>
    </row>
    <row r="5102" spans="1:8">
      <c r="A5102" s="39">
        <v>3.4473036745945</v>
      </c>
      <c r="B5102" s="45">
        <v>17.5</v>
      </c>
      <c r="D5102" s="2"/>
      <c r="E5102" s="31"/>
      <c r="G5102" s="43"/>
      <c r="H5102" s="2"/>
    </row>
    <row r="5103" spans="1:8">
      <c r="A5103" s="39">
        <v>3.44701141569768</v>
      </c>
      <c r="B5103" s="45">
        <v>1.9</v>
      </c>
      <c r="D5103" s="2"/>
      <c r="E5103" s="31"/>
      <c r="G5103" s="43"/>
      <c r="H5103" s="2"/>
    </row>
    <row r="5104" spans="1:8">
      <c r="A5104" s="39">
        <v>3.44701141569768</v>
      </c>
      <c r="B5104" s="45">
        <v>3</v>
      </c>
      <c r="D5104" s="2"/>
      <c r="E5104" s="31"/>
      <c r="G5104" s="43"/>
      <c r="H5104" s="2"/>
    </row>
    <row r="5105" spans="1:8">
      <c r="A5105" s="39">
        <v>3.44684775513348</v>
      </c>
      <c r="B5105" s="45">
        <v>12</v>
      </c>
      <c r="D5105" s="2"/>
      <c r="E5105" s="31"/>
      <c r="G5105" s="43"/>
      <c r="H5105" s="2"/>
    </row>
    <row r="5106" spans="1:8">
      <c r="A5106" s="39">
        <v>3.44684775513348</v>
      </c>
      <c r="B5106" s="45">
        <v>13</v>
      </c>
      <c r="D5106" s="2"/>
      <c r="E5106" s="31"/>
      <c r="G5106" s="43"/>
      <c r="H5106" s="2"/>
    </row>
    <row r="5107" spans="1:8">
      <c r="A5107" s="39">
        <v>3.44574364999956</v>
      </c>
      <c r="B5107" s="45">
        <v>12.5</v>
      </c>
      <c r="D5107" s="2"/>
      <c r="E5107" s="31"/>
      <c r="G5107" s="43"/>
      <c r="H5107" s="2"/>
    </row>
    <row r="5108" spans="1:8">
      <c r="A5108" s="39">
        <v>3.44533198767039</v>
      </c>
      <c r="B5108" s="45">
        <v>10</v>
      </c>
      <c r="D5108" s="2"/>
      <c r="E5108" s="31"/>
      <c r="G5108" s="43"/>
      <c r="H5108" s="2"/>
    </row>
    <row r="5109" spans="1:8">
      <c r="A5109" s="39">
        <v>3.44508946899253</v>
      </c>
      <c r="B5109" s="45">
        <v>9.4</v>
      </c>
      <c r="D5109" s="2"/>
      <c r="E5109" s="31"/>
      <c r="G5109" s="43"/>
      <c r="H5109" s="2"/>
    </row>
    <row r="5110" spans="1:8">
      <c r="A5110" s="39">
        <v>3.44508946899253</v>
      </c>
      <c r="B5110" s="45">
        <v>6.4</v>
      </c>
      <c r="D5110" s="2"/>
      <c r="E5110" s="31"/>
      <c r="G5110" s="43"/>
      <c r="H5110" s="2"/>
    </row>
    <row r="5111" spans="1:8">
      <c r="A5111" s="39">
        <v>3.44460451047705</v>
      </c>
      <c r="B5111" s="45">
        <v>11.2</v>
      </c>
      <c r="D5111" s="2"/>
      <c r="E5111" s="31"/>
      <c r="G5111" s="43"/>
      <c r="H5111" s="2"/>
    </row>
    <row r="5112" spans="1:8">
      <c r="A5112" s="39">
        <v>3.44421680801187</v>
      </c>
      <c r="B5112" s="45">
        <v>11.8</v>
      </c>
      <c r="D5112" s="2"/>
      <c r="E5112" s="31"/>
      <c r="G5112" s="43"/>
      <c r="H5112" s="2"/>
    </row>
    <row r="5113" spans="1:8">
      <c r="A5113" s="39">
        <v>3.4428478824125</v>
      </c>
      <c r="B5113" s="45">
        <v>12.4</v>
      </c>
      <c r="D5113" s="2"/>
      <c r="E5113" s="31"/>
      <c r="G5113" s="43"/>
      <c r="H5113" s="2"/>
    </row>
    <row r="5114" spans="1:8">
      <c r="A5114" s="39">
        <v>3.44274822490683</v>
      </c>
      <c r="B5114" s="45">
        <v>19.2</v>
      </c>
      <c r="D5114" s="2"/>
      <c r="E5114" s="31"/>
      <c r="G5114" s="43"/>
      <c r="H5114" s="2"/>
    </row>
    <row r="5115" spans="1:8">
      <c r="A5115" s="39">
        <v>3.44252898885857</v>
      </c>
      <c r="B5115" s="45">
        <v>4.6</v>
      </c>
      <c r="D5115" s="2"/>
      <c r="E5115" s="31"/>
      <c r="G5115" s="43"/>
      <c r="H5115" s="2"/>
    </row>
    <row r="5116" spans="1:8">
      <c r="A5116" s="39">
        <v>3.44240605808178</v>
      </c>
      <c r="B5116" s="45">
        <v>16</v>
      </c>
      <c r="D5116" s="2"/>
      <c r="E5116" s="31"/>
      <c r="G5116" s="43"/>
      <c r="H5116" s="2"/>
    </row>
    <row r="5117" spans="1:8">
      <c r="A5117" s="39">
        <v>3.44240605808178</v>
      </c>
      <c r="B5117" s="45">
        <v>8.7</v>
      </c>
      <c r="D5117" s="2"/>
      <c r="E5117" s="31"/>
      <c r="G5117" s="43"/>
      <c r="H5117" s="2"/>
    </row>
    <row r="5118" spans="1:8">
      <c r="A5118" s="39">
        <v>3.44225391335241</v>
      </c>
      <c r="B5118" s="45">
        <v>10.3</v>
      </c>
      <c r="D5118" s="2"/>
      <c r="E5118" s="31"/>
      <c r="G5118" s="43"/>
      <c r="H5118" s="2"/>
    </row>
    <row r="5119" spans="1:8">
      <c r="A5119" s="39">
        <v>3.44208923529589</v>
      </c>
      <c r="B5119" s="45">
        <v>7</v>
      </c>
      <c r="D5119" s="2"/>
      <c r="E5119" s="31"/>
      <c r="G5119" s="43"/>
      <c r="H5119" s="2"/>
    </row>
    <row r="5120" spans="1:8">
      <c r="A5120" s="39">
        <v>3.44208923529589</v>
      </c>
      <c r="B5120" s="45">
        <v>7</v>
      </c>
      <c r="D5120" s="2"/>
      <c r="E5120" s="31"/>
      <c r="G5120" s="43"/>
      <c r="H5120" s="2"/>
    </row>
    <row r="5121" spans="1:8">
      <c r="A5121" s="39">
        <v>3.44191726260294</v>
      </c>
      <c r="B5121" s="45">
        <v>3</v>
      </c>
      <c r="D5121" s="2"/>
      <c r="E5121" s="31"/>
      <c r="G5121" s="43"/>
      <c r="H5121" s="2"/>
    </row>
    <row r="5122" spans="1:8">
      <c r="A5122" s="39">
        <v>3.44191726260294</v>
      </c>
      <c r="B5122" s="45">
        <v>9.1</v>
      </c>
      <c r="D5122" s="2"/>
      <c r="E5122" s="31"/>
      <c r="G5122" s="43"/>
      <c r="H5122" s="2"/>
    </row>
    <row r="5123" spans="1:8">
      <c r="A5123" s="39">
        <v>3.44175247804417</v>
      </c>
      <c r="B5123" s="45">
        <v>3</v>
      </c>
      <c r="D5123" s="2"/>
      <c r="E5123" s="31"/>
      <c r="G5123" s="43"/>
      <c r="H5123" s="2"/>
    </row>
    <row r="5124" spans="1:8">
      <c r="A5124" s="39">
        <v>3.44169460170368</v>
      </c>
      <c r="B5124" s="45">
        <v>3.2</v>
      </c>
      <c r="D5124" s="2"/>
      <c r="E5124" s="31"/>
      <c r="G5124" s="43"/>
      <c r="H5124" s="2"/>
    </row>
    <row r="5125" spans="1:8">
      <c r="A5125" s="39">
        <v>3.441243961104</v>
      </c>
      <c r="B5125" s="45">
        <v>15.8</v>
      </c>
      <c r="D5125" s="2"/>
      <c r="E5125" s="31"/>
      <c r="G5125" s="43"/>
      <c r="H5125" s="2"/>
    </row>
    <row r="5126" spans="1:8">
      <c r="A5126" s="39">
        <v>3.44112186480836</v>
      </c>
      <c r="B5126" s="45">
        <v>17</v>
      </c>
      <c r="D5126" s="2"/>
      <c r="E5126" s="31"/>
      <c r="G5126" s="43"/>
      <c r="H5126" s="2"/>
    </row>
    <row r="5127" spans="1:8">
      <c r="A5127" s="39">
        <v>3.44112186480836</v>
      </c>
      <c r="B5127" s="45">
        <v>23</v>
      </c>
      <c r="D5127" s="2"/>
      <c r="E5127" s="31"/>
      <c r="G5127" s="43"/>
      <c r="H5127" s="2"/>
    </row>
    <row r="5128" spans="1:8">
      <c r="A5128" s="39">
        <v>3.44109889800657</v>
      </c>
      <c r="B5128" s="45">
        <v>6.4</v>
      </c>
      <c r="D5128" s="2"/>
      <c r="E5128" s="31"/>
      <c r="G5128" s="43"/>
      <c r="H5128" s="2"/>
    </row>
    <row r="5129" spans="1:8">
      <c r="A5129" s="39">
        <v>3.44029757992314</v>
      </c>
      <c r="B5129" s="45">
        <v>14.1</v>
      </c>
      <c r="D5129" s="2"/>
      <c r="E5129" s="31"/>
      <c r="G5129" s="43"/>
      <c r="H5129" s="2"/>
    </row>
    <row r="5130" spans="1:8">
      <c r="A5130" s="39">
        <v>3.44028460222964</v>
      </c>
      <c r="B5130" s="45">
        <v>12.5</v>
      </c>
      <c r="D5130" s="2"/>
      <c r="E5130" s="31"/>
      <c r="G5130" s="43"/>
      <c r="H5130" s="2"/>
    </row>
    <row r="5131" spans="1:8">
      <c r="A5131" s="39">
        <v>3.44022489918599</v>
      </c>
      <c r="B5131" s="45">
        <v>3.3</v>
      </c>
      <c r="D5131" s="2"/>
      <c r="E5131" s="31"/>
      <c r="G5131" s="43"/>
      <c r="H5131" s="2"/>
    </row>
    <row r="5132" spans="1:8">
      <c r="A5132" s="39">
        <v>3.43932362887706</v>
      </c>
      <c r="B5132" s="45">
        <v>8</v>
      </c>
      <c r="D5132" s="2"/>
      <c r="E5132" s="31"/>
      <c r="G5132" s="43"/>
      <c r="H5132" s="2"/>
    </row>
    <row r="5133" spans="1:8">
      <c r="A5133" s="39">
        <v>3.43913815789374</v>
      </c>
      <c r="B5133" s="45">
        <v>17</v>
      </c>
      <c r="D5133" s="2"/>
      <c r="E5133" s="31"/>
      <c r="G5133" s="43"/>
      <c r="H5133" s="2"/>
    </row>
    <row r="5134" spans="1:8">
      <c r="A5134" s="39">
        <v>3.43901117873303</v>
      </c>
      <c r="B5134" s="45">
        <v>4.4</v>
      </c>
      <c r="D5134" s="2"/>
      <c r="E5134" s="31"/>
      <c r="G5134" s="43"/>
      <c r="H5134" s="2"/>
    </row>
    <row r="5135" spans="1:8">
      <c r="A5135" s="39">
        <v>3.43858143081436</v>
      </c>
      <c r="B5135" s="45">
        <v>8.6</v>
      </c>
      <c r="D5135" s="2"/>
      <c r="E5135" s="31"/>
      <c r="G5135" s="43"/>
      <c r="H5135" s="2"/>
    </row>
    <row r="5136" spans="1:8">
      <c r="A5136" s="39">
        <v>3.43852572095151</v>
      </c>
      <c r="B5136" s="45">
        <v>8</v>
      </c>
      <c r="D5136" s="2"/>
      <c r="E5136" s="31"/>
      <c r="G5136" s="43"/>
      <c r="H5136" s="2"/>
    </row>
    <row r="5137" spans="1:8">
      <c r="A5137" s="39">
        <v>3.43836265552448</v>
      </c>
      <c r="B5137" s="45">
        <v>7.6</v>
      </c>
      <c r="D5137" s="2"/>
      <c r="E5137" s="31"/>
      <c r="G5137" s="43"/>
      <c r="H5137" s="2"/>
    </row>
    <row r="5138" spans="1:8">
      <c r="A5138" s="39">
        <v>3.43805721573697</v>
      </c>
      <c r="B5138" s="45">
        <v>10</v>
      </c>
      <c r="D5138" s="2"/>
      <c r="E5138" s="31"/>
      <c r="G5138" s="43"/>
      <c r="H5138" s="2"/>
    </row>
    <row r="5139" spans="1:8">
      <c r="A5139" s="39">
        <v>3.43760405468281</v>
      </c>
      <c r="B5139" s="45">
        <v>10</v>
      </c>
      <c r="D5139" s="2"/>
      <c r="E5139" s="31"/>
      <c r="G5139" s="43"/>
      <c r="H5139" s="2"/>
    </row>
    <row r="5140" spans="1:8">
      <c r="A5140" s="39">
        <v>3.43760405468281</v>
      </c>
      <c r="B5140" s="45">
        <v>12.5</v>
      </c>
      <c r="D5140" s="2"/>
      <c r="E5140" s="31"/>
      <c r="G5140" s="43"/>
      <c r="H5140" s="2"/>
    </row>
    <row r="5141" spans="1:8">
      <c r="A5141" s="39">
        <v>3.43737218001502</v>
      </c>
      <c r="B5141" s="45">
        <v>11.8</v>
      </c>
      <c r="D5141" s="2"/>
      <c r="E5141" s="31"/>
      <c r="G5141" s="43"/>
      <c r="H5141" s="2"/>
    </row>
    <row r="5142" spans="1:8">
      <c r="A5142" s="39">
        <v>3.43714898697733</v>
      </c>
      <c r="B5142" s="45">
        <v>15.7</v>
      </c>
      <c r="D5142" s="2"/>
      <c r="E5142" s="31"/>
      <c r="G5142" s="43"/>
      <c r="H5142" s="2"/>
    </row>
    <row r="5143" spans="1:8">
      <c r="A5143" s="39">
        <v>3.43669270134977</v>
      </c>
      <c r="B5143" s="45">
        <v>12.6</v>
      </c>
      <c r="D5143" s="2"/>
      <c r="E5143" s="31"/>
      <c r="G5143" s="43"/>
      <c r="H5143" s="2"/>
    </row>
    <row r="5144" spans="1:8">
      <c r="A5144" s="39">
        <v>3.43652383774331</v>
      </c>
      <c r="B5144" s="45">
        <v>18</v>
      </c>
      <c r="D5144" s="2"/>
      <c r="E5144" s="31"/>
      <c r="G5144" s="43"/>
      <c r="H5144" s="2"/>
    </row>
    <row r="5145" spans="1:8">
      <c r="A5145" s="39">
        <v>3.43644070881932</v>
      </c>
      <c r="B5145" s="45">
        <v>7</v>
      </c>
      <c r="D5145" s="2"/>
      <c r="E5145" s="31"/>
      <c r="G5145" s="43"/>
      <c r="H5145" s="2"/>
    </row>
    <row r="5146" spans="1:8">
      <c r="A5146" s="39">
        <v>3.43613620783921</v>
      </c>
      <c r="B5146" s="45">
        <v>5.2</v>
      </c>
      <c r="D5146" s="2"/>
      <c r="E5146" s="31"/>
      <c r="G5146" s="43"/>
      <c r="H5146" s="2"/>
    </row>
    <row r="5147" spans="1:8">
      <c r="A5147" s="39">
        <v>3.43571071831463</v>
      </c>
      <c r="B5147" s="45">
        <v>6.7</v>
      </c>
      <c r="D5147" s="2"/>
      <c r="E5147" s="31"/>
      <c r="G5147" s="43"/>
      <c r="H5147" s="2"/>
    </row>
    <row r="5148" spans="1:8">
      <c r="A5148" s="39">
        <v>3.43531846956985</v>
      </c>
      <c r="B5148" s="45">
        <v>9</v>
      </c>
      <c r="D5148" s="2"/>
      <c r="E5148" s="31"/>
      <c r="G5148" s="43"/>
      <c r="H5148" s="2"/>
    </row>
    <row r="5149" spans="1:8">
      <c r="A5149" s="39">
        <v>3.4351842476135</v>
      </c>
      <c r="B5149" s="45">
        <v>12.1</v>
      </c>
      <c r="D5149" s="2"/>
      <c r="E5149" s="31"/>
      <c r="G5149" s="43"/>
      <c r="H5149" s="2"/>
    </row>
    <row r="5150" spans="1:8">
      <c r="A5150" s="39">
        <v>3.43451094611456</v>
      </c>
      <c r="B5150" s="45">
        <v>11</v>
      </c>
      <c r="D5150" s="2"/>
      <c r="E5150" s="31"/>
      <c r="G5150" s="43"/>
      <c r="H5150" s="2"/>
    </row>
    <row r="5151" spans="1:8">
      <c r="A5151" s="39">
        <v>3.43450073130049</v>
      </c>
      <c r="B5151" s="45">
        <v>4.5</v>
      </c>
      <c r="D5151" s="2"/>
      <c r="E5151" s="31"/>
      <c r="G5151" s="43"/>
      <c r="H5151" s="2"/>
    </row>
    <row r="5152" spans="1:8">
      <c r="A5152" s="39">
        <v>3.43408624455727</v>
      </c>
      <c r="B5152" s="45">
        <v>11.5</v>
      </c>
      <c r="D5152" s="2"/>
      <c r="E5152" s="31"/>
      <c r="G5152" s="43"/>
      <c r="H5152" s="2"/>
    </row>
    <row r="5153" spans="1:8">
      <c r="A5153" s="39">
        <v>3.43296487538357</v>
      </c>
      <c r="B5153" s="45">
        <v>9.9</v>
      </c>
      <c r="D5153" s="2"/>
      <c r="E5153" s="31"/>
      <c r="G5153" s="43"/>
      <c r="H5153" s="2"/>
    </row>
    <row r="5154" spans="1:8">
      <c r="A5154" s="39">
        <v>3.43259681540901</v>
      </c>
      <c r="B5154" s="45">
        <v>4.4</v>
      </c>
      <c r="D5154" s="2"/>
      <c r="E5154" s="31"/>
      <c r="G5154" s="43"/>
      <c r="H5154" s="2"/>
    </row>
    <row r="5155" spans="1:8">
      <c r="A5155" s="39">
        <v>3.43258094041723</v>
      </c>
      <c r="B5155" s="45">
        <v>7</v>
      </c>
      <c r="D5155" s="2"/>
      <c r="E5155" s="31"/>
      <c r="G5155" s="43"/>
      <c r="H5155" s="2"/>
    </row>
    <row r="5156" spans="1:8">
      <c r="A5156" s="39">
        <v>3.43249104161772</v>
      </c>
      <c r="B5156" s="45">
        <v>2</v>
      </c>
      <c r="D5156" s="2"/>
      <c r="E5156" s="31"/>
      <c r="G5156" s="43"/>
      <c r="H5156" s="2"/>
    </row>
    <row r="5157" spans="1:8">
      <c r="A5157" s="39">
        <v>3.4322918102216</v>
      </c>
      <c r="B5157" s="45">
        <v>6.5</v>
      </c>
      <c r="D5157" s="2"/>
      <c r="E5157" s="31"/>
      <c r="G5157" s="43"/>
      <c r="H5157" s="2"/>
    </row>
    <row r="5158" spans="1:8">
      <c r="A5158" s="39">
        <v>3.4322918102216</v>
      </c>
      <c r="B5158" s="45">
        <v>8</v>
      </c>
      <c r="D5158" s="2"/>
      <c r="E5158" s="31"/>
      <c r="G5158" s="43"/>
      <c r="H5158" s="2"/>
    </row>
    <row r="5159" spans="1:8">
      <c r="A5159" s="39">
        <v>3.43148821435931</v>
      </c>
      <c r="B5159" s="45">
        <v>21</v>
      </c>
      <c r="D5159" s="2"/>
      <c r="E5159" s="31"/>
      <c r="G5159" s="43"/>
      <c r="H5159" s="2"/>
    </row>
    <row r="5160" spans="1:8">
      <c r="A5160" s="39">
        <v>3.43129519744245</v>
      </c>
      <c r="B5160" s="45">
        <v>9.2</v>
      </c>
      <c r="D5160" s="2"/>
      <c r="E5160" s="31"/>
      <c r="G5160" s="43"/>
      <c r="H5160" s="2"/>
    </row>
    <row r="5161" spans="1:8">
      <c r="A5161" s="39">
        <v>3.43129519744245</v>
      </c>
      <c r="B5161" s="45">
        <v>26</v>
      </c>
      <c r="D5161" s="2"/>
      <c r="E5161" s="31"/>
      <c r="G5161" s="43"/>
      <c r="H5161" s="2"/>
    </row>
    <row r="5162" spans="1:8">
      <c r="A5162" s="39">
        <v>3.43078446370008</v>
      </c>
      <c r="B5162" s="45">
        <v>8</v>
      </c>
      <c r="D5162" s="2"/>
      <c r="E5162" s="31"/>
      <c r="G5162" s="43"/>
      <c r="H5162" s="2"/>
    </row>
    <row r="5163" spans="1:8">
      <c r="A5163" s="39">
        <v>3.43067486870386</v>
      </c>
      <c r="B5163" s="45">
        <v>5.7</v>
      </c>
      <c r="D5163" s="2"/>
      <c r="E5163" s="31"/>
      <c r="G5163" s="43"/>
      <c r="H5163" s="2"/>
    </row>
    <row r="5164" spans="1:8">
      <c r="A5164" s="39">
        <v>3.43039674507931</v>
      </c>
      <c r="B5164" s="45">
        <v>19</v>
      </c>
      <c r="D5164" s="2"/>
      <c r="E5164" s="31"/>
      <c r="G5164" s="43"/>
      <c r="H5164" s="2"/>
    </row>
    <row r="5165" spans="1:8">
      <c r="A5165" s="39">
        <v>3.42998676779213</v>
      </c>
      <c r="B5165" s="45">
        <v>5.7</v>
      </c>
      <c r="D5165" s="2"/>
      <c r="E5165" s="31"/>
      <c r="G5165" s="43"/>
      <c r="H5165" s="2"/>
    </row>
    <row r="5166" spans="1:8">
      <c r="A5166" s="39">
        <v>3.42868087729201</v>
      </c>
      <c r="B5166" s="45">
        <v>15.6</v>
      </c>
      <c r="D5166" s="44"/>
      <c r="E5166" s="31"/>
      <c r="G5166" s="43"/>
      <c r="H5166" s="2"/>
    </row>
    <row r="5167" spans="1:8">
      <c r="A5167" s="39">
        <v>3.42867321172242</v>
      </c>
      <c r="B5167" s="45">
        <v>10</v>
      </c>
      <c r="D5167" s="2"/>
      <c r="E5167" s="31"/>
      <c r="G5167" s="43"/>
      <c r="H5167" s="2"/>
    </row>
    <row r="5168" spans="1:8">
      <c r="A5168" s="39">
        <v>3.42845123262406</v>
      </c>
      <c r="B5168" s="45">
        <v>3.5</v>
      </c>
      <c r="D5168" s="2"/>
      <c r="E5168" s="31"/>
      <c r="G5168" s="43"/>
      <c r="H5168" s="2"/>
    </row>
    <row r="5169" spans="1:8">
      <c r="A5169" s="39">
        <v>3.42769847810625</v>
      </c>
      <c r="B5169" s="45">
        <v>12.8</v>
      </c>
      <c r="D5169" s="2"/>
      <c r="E5169" s="31"/>
      <c r="G5169" s="43"/>
      <c r="H5169" s="2"/>
    </row>
    <row r="5170" spans="1:8">
      <c r="A5170" s="39">
        <v>3.42712188011805</v>
      </c>
      <c r="B5170" s="45">
        <v>12</v>
      </c>
      <c r="D5170" s="2"/>
      <c r="E5170" s="31"/>
      <c r="G5170" s="43"/>
      <c r="H5170" s="2"/>
    </row>
    <row r="5171" spans="1:8">
      <c r="A5171" s="39">
        <v>3.4269270726288</v>
      </c>
      <c r="B5171" s="45">
        <v>3.1</v>
      </c>
      <c r="D5171" s="2"/>
      <c r="E5171" s="31"/>
      <c r="G5171" s="43"/>
      <c r="H5171" s="2"/>
    </row>
    <row r="5172" spans="1:8">
      <c r="A5172" s="39">
        <v>3.4267990557819</v>
      </c>
      <c r="B5172" s="45">
        <v>7.5</v>
      </c>
      <c r="D5172" s="2"/>
      <c r="E5172" s="31"/>
      <c r="G5172" s="43"/>
      <c r="H5172" s="2"/>
    </row>
    <row r="5173" spans="1:8">
      <c r="A5173" s="39">
        <v>3.42569010345015</v>
      </c>
      <c r="B5173" s="45">
        <v>7.7</v>
      </c>
      <c r="D5173" s="2"/>
      <c r="E5173" s="31"/>
      <c r="G5173" s="43"/>
      <c r="H5173" s="2"/>
    </row>
    <row r="5174" spans="1:8">
      <c r="A5174" s="39">
        <v>3.42541297710397</v>
      </c>
      <c r="B5174" s="45">
        <v>6</v>
      </c>
      <c r="D5174" s="2"/>
      <c r="E5174" s="31"/>
      <c r="G5174" s="43"/>
      <c r="H5174" s="2"/>
    </row>
    <row r="5175" spans="1:8">
      <c r="A5175" s="39">
        <v>3.42501383776566</v>
      </c>
      <c r="B5175" s="45">
        <v>5.4</v>
      </c>
      <c r="D5175" s="2"/>
      <c r="E5175" s="31"/>
      <c r="G5175" s="43"/>
      <c r="H5175" s="2"/>
    </row>
    <row r="5176" spans="1:8">
      <c r="A5176" s="39">
        <v>3.42497321436249</v>
      </c>
      <c r="B5176" s="45">
        <v>11.1</v>
      </c>
      <c r="D5176" s="2"/>
      <c r="E5176" s="31"/>
      <c r="G5176" s="43"/>
      <c r="H5176" s="2"/>
    </row>
    <row r="5177" spans="1:8">
      <c r="A5177" s="39">
        <v>3.42475939706636</v>
      </c>
      <c r="B5177" s="45">
        <v>10.9</v>
      </c>
      <c r="D5177" s="2"/>
      <c r="E5177" s="31"/>
      <c r="G5177" s="43"/>
      <c r="H5177" s="2"/>
    </row>
    <row r="5178" spans="1:8">
      <c r="A5178" s="39">
        <v>3.42436738682102</v>
      </c>
      <c r="B5178" s="45">
        <v>11.05</v>
      </c>
      <c r="D5178" s="2"/>
      <c r="E5178" s="31"/>
      <c r="G5178" s="43"/>
      <c r="H5178" s="2"/>
    </row>
    <row r="5179" spans="1:8">
      <c r="A5179" s="39">
        <v>3.42368292402133</v>
      </c>
      <c r="B5179" s="45">
        <v>5.5</v>
      </c>
      <c r="D5179" s="2"/>
      <c r="E5179" s="31"/>
      <c r="G5179" s="43"/>
      <c r="H5179" s="2"/>
    </row>
    <row r="5180" spans="1:8">
      <c r="A5180" s="39">
        <v>3.42368292402133</v>
      </c>
      <c r="B5180" s="45">
        <v>11.1</v>
      </c>
      <c r="D5180" s="2"/>
      <c r="E5180" s="31"/>
      <c r="G5180" s="43"/>
      <c r="H5180" s="2"/>
    </row>
    <row r="5181" spans="1:8">
      <c r="A5181" s="39">
        <v>3.42353281418063</v>
      </c>
      <c r="B5181" s="45">
        <v>23</v>
      </c>
      <c r="D5181" s="2"/>
      <c r="E5181" s="31"/>
      <c r="G5181" s="43"/>
      <c r="H5181" s="2"/>
    </row>
    <row r="5182" spans="1:8">
      <c r="A5182" s="39">
        <v>3.42353281418063</v>
      </c>
      <c r="B5182" s="45">
        <v>11</v>
      </c>
      <c r="D5182" s="2"/>
      <c r="E5182" s="31"/>
      <c r="G5182" s="43"/>
      <c r="H5182" s="2"/>
    </row>
    <row r="5183" spans="1:8">
      <c r="A5183" s="39">
        <v>3.42283044602888</v>
      </c>
      <c r="B5183" s="45">
        <v>4.2</v>
      </c>
      <c r="D5183" s="2"/>
      <c r="E5183" s="31"/>
      <c r="G5183" s="43"/>
      <c r="H5183" s="2"/>
    </row>
    <row r="5184" spans="1:8">
      <c r="A5184" s="39">
        <v>3.42279865695354</v>
      </c>
      <c r="B5184" s="45">
        <v>6.7</v>
      </c>
      <c r="D5184" s="2"/>
      <c r="E5184" s="31"/>
      <c r="G5184" s="43"/>
      <c r="H5184" s="2"/>
    </row>
    <row r="5185" spans="1:8">
      <c r="A5185" s="39">
        <v>3.42278019467677</v>
      </c>
      <c r="B5185" s="45">
        <v>11.1</v>
      </c>
      <c r="D5185" s="2"/>
      <c r="E5185" s="31"/>
      <c r="G5185" s="43"/>
      <c r="H5185" s="2"/>
    </row>
    <row r="5186" spans="1:8">
      <c r="A5186" s="39">
        <v>3.42231399842196</v>
      </c>
      <c r="B5186" s="45">
        <v>13.2</v>
      </c>
      <c r="D5186" s="2"/>
      <c r="E5186" s="31"/>
      <c r="G5186" s="43"/>
      <c r="H5186" s="2"/>
    </row>
    <row r="5187" spans="1:8">
      <c r="A5187" s="39">
        <v>3.42230194416014</v>
      </c>
      <c r="B5187" s="45">
        <v>11.2</v>
      </c>
      <c r="D5187" s="2"/>
      <c r="E5187" s="31"/>
      <c r="G5187" s="43"/>
      <c r="H5187" s="2"/>
    </row>
    <row r="5188" spans="1:8">
      <c r="A5188" s="39">
        <v>3.42181828689713</v>
      </c>
      <c r="B5188" s="45">
        <v>12.6</v>
      </c>
      <c r="D5188" s="2"/>
      <c r="E5188" s="31"/>
      <c r="G5188" s="43"/>
      <c r="H5188" s="2"/>
    </row>
    <row r="5189" spans="1:8">
      <c r="A5189" s="39">
        <v>3.42171821763461</v>
      </c>
      <c r="B5189" s="45">
        <v>14</v>
      </c>
      <c r="D5189" s="2"/>
      <c r="E5189" s="31"/>
      <c r="G5189" s="43"/>
      <c r="H5189" s="2"/>
    </row>
    <row r="5190" spans="1:8">
      <c r="A5190" s="39">
        <v>3.42132524029009</v>
      </c>
      <c r="B5190" s="45">
        <v>20</v>
      </c>
      <c r="D5190" s="2"/>
      <c r="E5190" s="31"/>
      <c r="G5190" s="43"/>
      <c r="H5190" s="2"/>
    </row>
    <row r="5191" spans="1:8">
      <c r="A5191" s="39">
        <v>3.42059776309675</v>
      </c>
      <c r="B5191" s="45">
        <v>7.5</v>
      </c>
      <c r="D5191" s="2"/>
      <c r="E5191" s="31"/>
      <c r="G5191" s="43"/>
      <c r="H5191" s="2"/>
    </row>
    <row r="5192" spans="1:8">
      <c r="A5192" s="39">
        <v>3.41957614722323</v>
      </c>
      <c r="B5192" s="45">
        <v>11.9</v>
      </c>
      <c r="D5192" s="2"/>
      <c r="E5192" s="31"/>
      <c r="G5192" s="43"/>
      <c r="H5192" s="2"/>
    </row>
    <row r="5193" spans="1:8">
      <c r="A5193" s="39">
        <v>3.41914318847292</v>
      </c>
      <c r="B5193" s="45">
        <v>8</v>
      </c>
      <c r="D5193" s="2"/>
      <c r="E5193" s="31"/>
      <c r="G5193" s="43"/>
      <c r="H5193" s="2"/>
    </row>
    <row r="5194" spans="1:8">
      <c r="A5194" s="39">
        <v>3.41902501163884</v>
      </c>
      <c r="B5194" s="45">
        <v>2</v>
      </c>
      <c r="D5194" s="2"/>
      <c r="E5194" s="31"/>
      <c r="G5194" s="43"/>
      <c r="H5194" s="2"/>
    </row>
    <row r="5195" spans="1:8">
      <c r="A5195" s="39">
        <v>3.41902501163884</v>
      </c>
      <c r="B5195" s="45">
        <v>2</v>
      </c>
      <c r="D5195" s="2"/>
      <c r="E5195" s="31"/>
      <c r="G5195" s="43"/>
      <c r="H5195" s="2"/>
    </row>
    <row r="5196" spans="1:8">
      <c r="A5196" s="39">
        <v>3.41811695183412</v>
      </c>
      <c r="B5196" s="45">
        <v>8.2</v>
      </c>
      <c r="D5196" s="2"/>
      <c r="E5196" s="31"/>
      <c r="G5196" s="43"/>
      <c r="H5196" s="2"/>
    </row>
    <row r="5197" spans="1:8">
      <c r="A5197" s="39">
        <v>3.41790431797976</v>
      </c>
      <c r="B5197" s="45">
        <v>10</v>
      </c>
      <c r="D5197" s="2"/>
      <c r="E5197" s="31"/>
      <c r="G5197" s="43"/>
      <c r="H5197" s="2"/>
    </row>
    <row r="5198" spans="1:8">
      <c r="A5198" s="39">
        <v>3.41709477325877</v>
      </c>
      <c r="B5198" s="45">
        <v>6</v>
      </c>
      <c r="D5198" s="2"/>
      <c r="E5198" s="31"/>
      <c r="G5198" s="43"/>
      <c r="H5198" s="2"/>
    </row>
    <row r="5199" spans="1:8">
      <c r="A5199" s="39">
        <v>3.41626026841518</v>
      </c>
      <c r="B5199" s="45">
        <v>1</v>
      </c>
      <c r="D5199" s="2"/>
      <c r="E5199" s="31"/>
      <c r="G5199" s="43"/>
      <c r="H5199" s="2"/>
    </row>
    <row r="5200" spans="1:8">
      <c r="A5200" s="39">
        <v>3.41626026841518</v>
      </c>
      <c r="B5200" s="45">
        <v>4</v>
      </c>
      <c r="D5200" s="2"/>
      <c r="E5200" s="31"/>
      <c r="G5200" s="43"/>
      <c r="H5200" s="2"/>
    </row>
    <row r="5201" spans="1:8">
      <c r="A5201" s="39">
        <v>3.41498520264517</v>
      </c>
      <c r="B5201" s="45">
        <v>5.5</v>
      </c>
      <c r="D5201" s="2"/>
      <c r="E5201" s="31"/>
      <c r="G5201" s="43"/>
      <c r="H5201" s="2"/>
    </row>
    <row r="5202" spans="1:8">
      <c r="A5202" s="39">
        <v>3.41459819853801</v>
      </c>
      <c r="B5202" s="45">
        <v>11.5</v>
      </c>
      <c r="D5202" s="2"/>
      <c r="E5202" s="31"/>
      <c r="G5202" s="43"/>
      <c r="H5202" s="2"/>
    </row>
    <row r="5203" spans="1:8">
      <c r="A5203" s="39">
        <v>3.41420714324097</v>
      </c>
      <c r="B5203" s="45">
        <v>6.7</v>
      </c>
      <c r="D5203" s="2"/>
      <c r="E5203" s="31"/>
      <c r="G5203" s="43"/>
      <c r="H5203" s="2"/>
    </row>
    <row r="5204" spans="1:8">
      <c r="A5204" s="39">
        <v>3.41351366366617</v>
      </c>
      <c r="B5204" s="45">
        <v>17.2</v>
      </c>
      <c r="D5204" s="2"/>
      <c r="E5204" s="31"/>
      <c r="G5204" s="43"/>
      <c r="H5204" s="2"/>
    </row>
    <row r="5205" spans="1:8">
      <c r="A5205" s="39">
        <v>3.41336908183616</v>
      </c>
      <c r="B5205" s="45">
        <v>7.9</v>
      </c>
      <c r="D5205" s="2"/>
      <c r="E5205" s="31"/>
      <c r="G5205" s="43"/>
      <c r="H5205" s="2"/>
    </row>
    <row r="5206" spans="1:8">
      <c r="A5206" s="39">
        <v>3.41297938380399</v>
      </c>
      <c r="B5206" s="45">
        <v>10.5</v>
      </c>
      <c r="D5206" s="2"/>
      <c r="E5206" s="31"/>
      <c r="G5206" s="43"/>
      <c r="H5206" s="2"/>
    </row>
    <row r="5207" spans="1:8">
      <c r="A5207" s="39">
        <v>3.41094539365151</v>
      </c>
      <c r="B5207" s="45">
        <v>7</v>
      </c>
      <c r="D5207" s="2"/>
      <c r="E5207" s="31"/>
      <c r="G5207" s="43"/>
      <c r="H5207" s="2"/>
    </row>
    <row r="5208" spans="1:8">
      <c r="A5208" s="39">
        <v>3.41060945394356</v>
      </c>
      <c r="B5208" s="45">
        <v>12</v>
      </c>
      <c r="D5208" s="2"/>
      <c r="E5208" s="31"/>
      <c r="G5208" s="43"/>
      <c r="H5208" s="2"/>
    </row>
    <row r="5209" spans="1:8">
      <c r="A5209" s="39">
        <v>3.41027209215256</v>
      </c>
      <c r="B5209" s="45">
        <v>9.3</v>
      </c>
      <c r="D5209" s="2"/>
      <c r="E5209" s="31"/>
      <c r="G5209" s="43"/>
      <c r="H5209" s="2"/>
    </row>
    <row r="5210" spans="1:8">
      <c r="A5210" s="39">
        <v>3.41016513570356</v>
      </c>
      <c r="B5210" s="45">
        <v>8</v>
      </c>
      <c r="D5210" s="2"/>
      <c r="E5210" s="31"/>
      <c r="G5210" s="43"/>
      <c r="H5210" s="2"/>
    </row>
    <row r="5211" spans="1:8">
      <c r="A5211" s="39">
        <v>3.40993255407357</v>
      </c>
      <c r="B5211" s="45">
        <v>12.5</v>
      </c>
      <c r="D5211" s="2"/>
      <c r="E5211" s="31"/>
      <c r="G5211" s="43"/>
      <c r="H5211" s="2"/>
    </row>
    <row r="5212" spans="1:8">
      <c r="A5212" s="39">
        <v>3.40972705620138</v>
      </c>
      <c r="B5212" s="45">
        <v>12.4</v>
      </c>
      <c r="D5212" s="2"/>
      <c r="E5212" s="31"/>
      <c r="G5212" s="43"/>
      <c r="H5212" s="2"/>
    </row>
    <row r="5213" spans="1:8">
      <c r="A5213" s="39">
        <v>3.40972705620138</v>
      </c>
      <c r="B5213" s="45">
        <v>0</v>
      </c>
      <c r="D5213" s="2"/>
      <c r="E5213" s="31"/>
      <c r="G5213" s="43"/>
      <c r="H5213" s="2"/>
    </row>
    <row r="5214" spans="1:8">
      <c r="A5214" s="39">
        <v>3.40946157367845</v>
      </c>
      <c r="B5214" s="45">
        <v>8</v>
      </c>
      <c r="D5214" s="2"/>
      <c r="E5214" s="31"/>
      <c r="G5214" s="43"/>
      <c r="H5214" s="2"/>
    </row>
    <row r="5215" spans="1:8">
      <c r="A5215" s="39">
        <v>3.40930920522796</v>
      </c>
      <c r="B5215" s="45">
        <v>11.3</v>
      </c>
      <c r="D5215" s="2"/>
      <c r="E5215" s="31"/>
      <c r="G5215" s="43"/>
      <c r="H5215" s="2"/>
    </row>
    <row r="5216" spans="1:8">
      <c r="A5216" s="39">
        <v>3.40885822119579</v>
      </c>
      <c r="B5216" s="45">
        <v>10</v>
      </c>
      <c r="D5216" s="2"/>
      <c r="E5216" s="31"/>
      <c r="G5216" s="43"/>
      <c r="H5216" s="2"/>
    </row>
    <row r="5217" spans="1:8">
      <c r="A5217" s="39">
        <v>3.40862474242828</v>
      </c>
      <c r="B5217" s="45">
        <v>11.4</v>
      </c>
      <c r="D5217" s="2"/>
      <c r="E5217" s="31"/>
      <c r="G5217" s="43"/>
      <c r="H5217" s="2"/>
    </row>
    <row r="5218" spans="1:8">
      <c r="A5218" s="39">
        <v>3.40862474242828</v>
      </c>
      <c r="B5218" s="45">
        <v>15.3</v>
      </c>
      <c r="D5218" s="2"/>
      <c r="E5218" s="31"/>
      <c r="G5218" s="43"/>
      <c r="H5218" s="2"/>
    </row>
    <row r="5219" spans="1:8">
      <c r="A5219" s="39">
        <v>3.4079111869705</v>
      </c>
      <c r="B5219" s="45">
        <v>8.6</v>
      </c>
      <c r="D5219" s="2"/>
      <c r="E5219" s="31"/>
      <c r="G5219" s="43"/>
      <c r="H5219" s="2"/>
    </row>
    <row r="5220" spans="1:8">
      <c r="A5220" s="39">
        <v>3.40725581682891</v>
      </c>
      <c r="B5220" s="45">
        <v>13.6</v>
      </c>
      <c r="D5220" s="2"/>
      <c r="E5220" s="31"/>
      <c r="G5220" s="43"/>
      <c r="H5220" s="2"/>
    </row>
    <row r="5221" spans="1:8">
      <c r="A5221" s="39">
        <v>3.40685694128659</v>
      </c>
      <c r="B5221" s="45">
        <v>4.4</v>
      </c>
      <c r="D5221" s="2"/>
      <c r="E5221" s="31"/>
      <c r="G5221" s="43"/>
      <c r="H5221" s="2"/>
    </row>
    <row r="5222" spans="1:8">
      <c r="A5222" s="39">
        <v>3.40645915601334</v>
      </c>
      <c r="B5222" s="45">
        <v>6.8</v>
      </c>
      <c r="D5222" s="2"/>
      <c r="E5222" s="31"/>
      <c r="G5222" s="43"/>
      <c r="H5222" s="2"/>
    </row>
    <row r="5223" spans="1:8">
      <c r="A5223" s="39">
        <v>3.4061123423218</v>
      </c>
      <c r="B5223" s="45">
        <v>0</v>
      </c>
      <c r="D5223" s="2"/>
      <c r="E5223" s="31"/>
      <c r="G5223" s="43"/>
      <c r="H5223" s="2"/>
    </row>
    <row r="5224" spans="1:8">
      <c r="A5224" s="39">
        <v>3.40609110938022</v>
      </c>
      <c r="B5224" s="45">
        <v>2</v>
      </c>
      <c r="D5224" s="2"/>
      <c r="E5224" s="31"/>
      <c r="G5224" s="43"/>
      <c r="H5224" s="2"/>
    </row>
    <row r="5225" spans="1:8">
      <c r="A5225" s="39">
        <v>3.40580557597573</v>
      </c>
      <c r="B5225" s="45">
        <v>20.3</v>
      </c>
      <c r="D5225" s="2"/>
      <c r="E5225" s="31"/>
      <c r="G5225" s="43"/>
      <c r="H5225" s="2"/>
    </row>
    <row r="5226" spans="1:8">
      <c r="A5226" s="39">
        <v>3.40580557597573</v>
      </c>
      <c r="B5226" s="45">
        <v>6.1</v>
      </c>
      <c r="D5226" s="2"/>
      <c r="E5226" s="31"/>
      <c r="G5226" s="43"/>
      <c r="H5226" s="2"/>
    </row>
    <row r="5227" spans="1:8">
      <c r="A5227" s="39">
        <v>3.40449841590051</v>
      </c>
      <c r="B5227" s="45">
        <v>8</v>
      </c>
      <c r="D5227" s="2"/>
      <c r="E5227" s="31"/>
      <c r="G5227" s="43"/>
      <c r="H5227" s="2"/>
    </row>
    <row r="5228" spans="1:8">
      <c r="A5228" s="39">
        <v>3.40421237866206</v>
      </c>
      <c r="B5228" s="45">
        <v>17</v>
      </c>
      <c r="D5228" s="2"/>
      <c r="E5228" s="31"/>
      <c r="G5228" s="43"/>
      <c r="H5228" s="2"/>
    </row>
    <row r="5229" spans="1:8">
      <c r="A5229" s="39">
        <v>3.40418485849013</v>
      </c>
      <c r="B5229" s="45">
        <v>7.5</v>
      </c>
      <c r="D5229" s="2"/>
      <c r="E5229" s="31"/>
      <c r="G5229" s="43"/>
      <c r="H5229" s="2"/>
    </row>
    <row r="5230" spans="1:8">
      <c r="A5230" s="39">
        <v>3.40386578764987</v>
      </c>
      <c r="B5230" s="45">
        <v>11</v>
      </c>
      <c r="D5230" s="2"/>
      <c r="E5230" s="31"/>
      <c r="G5230" s="43"/>
      <c r="H5230" s="2"/>
    </row>
    <row r="5231" spans="1:8">
      <c r="A5231" s="39">
        <v>3.40383350283049</v>
      </c>
      <c r="B5231" s="45">
        <v>2.3</v>
      </c>
      <c r="D5231" s="2"/>
      <c r="E5231" s="31"/>
      <c r="G5231" s="43"/>
      <c r="H5231" s="2"/>
    </row>
    <row r="5232" spans="1:8">
      <c r="A5232" s="39">
        <v>3.40342667706492</v>
      </c>
      <c r="B5232" s="45">
        <v>9.7</v>
      </c>
      <c r="D5232" s="2"/>
      <c r="E5232" s="31"/>
      <c r="G5232" s="43"/>
      <c r="H5232" s="2"/>
    </row>
    <row r="5233" spans="1:8">
      <c r="A5233" s="39">
        <v>3.40317992039784</v>
      </c>
      <c r="B5233" s="45">
        <v>5.8</v>
      </c>
      <c r="D5233" s="2"/>
      <c r="E5233" s="31"/>
      <c r="G5233" s="43"/>
      <c r="H5233" s="2"/>
    </row>
    <row r="5234" spans="1:8">
      <c r="A5234" s="39">
        <v>3.40317992039784</v>
      </c>
      <c r="B5234" s="45">
        <v>13.5</v>
      </c>
      <c r="D5234" s="2"/>
      <c r="E5234" s="31"/>
      <c r="G5234" s="43"/>
      <c r="H5234" s="2"/>
    </row>
    <row r="5235" spans="1:8">
      <c r="A5235" s="39">
        <v>3.40317992039784</v>
      </c>
      <c r="B5235" s="45">
        <v>15</v>
      </c>
      <c r="D5235" s="2"/>
      <c r="E5235" s="31"/>
      <c r="G5235" s="43"/>
      <c r="H5235" s="2"/>
    </row>
    <row r="5236" spans="1:8">
      <c r="A5236" s="39">
        <v>3.4031490400308</v>
      </c>
      <c r="B5236" s="45">
        <v>5.5</v>
      </c>
      <c r="D5236" s="2"/>
      <c r="E5236" s="31"/>
      <c r="G5236" s="43"/>
      <c r="H5236" s="2"/>
    </row>
    <row r="5237" spans="1:8">
      <c r="A5237" s="39">
        <v>3.40280664147909</v>
      </c>
      <c r="B5237" s="45">
        <v>6.1</v>
      </c>
      <c r="D5237" s="2"/>
      <c r="E5237" s="31"/>
      <c r="G5237" s="43"/>
      <c r="H5237" s="2"/>
    </row>
    <row r="5238" spans="1:8">
      <c r="A5238" s="39">
        <v>3.40277033488837</v>
      </c>
      <c r="B5238" s="45">
        <v>4.5</v>
      </c>
      <c r="D5238" s="2"/>
      <c r="E5238" s="31"/>
      <c r="G5238" s="43"/>
      <c r="H5238" s="2"/>
    </row>
    <row r="5239" spans="1:8">
      <c r="A5239" s="39">
        <v>3.40260893879556</v>
      </c>
      <c r="B5239" s="45">
        <v>6.1</v>
      </c>
      <c r="D5239" s="2"/>
      <c r="E5239" s="31"/>
      <c r="G5239" s="43"/>
      <c r="H5239" s="2"/>
    </row>
    <row r="5240" spans="1:8">
      <c r="A5240" s="39">
        <v>3.40188409575008</v>
      </c>
      <c r="B5240" s="45">
        <v>17</v>
      </c>
      <c r="D5240" s="2"/>
      <c r="E5240" s="31"/>
      <c r="G5240" s="43"/>
      <c r="H5240" s="2"/>
    </row>
    <row r="5241" spans="1:8">
      <c r="A5241" s="39">
        <v>3.40172239140225</v>
      </c>
      <c r="B5241" s="45">
        <v>7.4</v>
      </c>
      <c r="D5241" s="2"/>
      <c r="E5241" s="31"/>
      <c r="G5241" s="43"/>
      <c r="H5241" s="2"/>
    </row>
    <row r="5242" spans="1:8">
      <c r="A5242" s="39">
        <v>3.40084587116734</v>
      </c>
      <c r="B5242" s="45">
        <v>7</v>
      </c>
      <c r="D5242" s="2"/>
      <c r="E5242" s="31"/>
      <c r="G5242" s="43"/>
      <c r="H5242" s="2"/>
    </row>
    <row r="5243" spans="1:8">
      <c r="A5243" s="39">
        <v>3.40084587116734</v>
      </c>
      <c r="B5243" s="45">
        <v>11.2</v>
      </c>
      <c r="D5243" s="2"/>
      <c r="E5243" s="31"/>
      <c r="G5243" s="43"/>
      <c r="H5243" s="2"/>
    </row>
    <row r="5244" spans="1:8">
      <c r="A5244" s="39">
        <v>3.40057693567487</v>
      </c>
      <c r="B5244" s="45">
        <v>3.9</v>
      </c>
      <c r="D5244" s="2"/>
      <c r="E5244" s="31"/>
      <c r="G5244" s="43"/>
      <c r="H5244" s="2"/>
    </row>
    <row r="5245" spans="1:8">
      <c r="A5245" s="39">
        <v>3.40031526735203</v>
      </c>
      <c r="B5245" s="45">
        <v>12.9</v>
      </c>
      <c r="D5245" s="2"/>
      <c r="E5245" s="31"/>
      <c r="G5245" s="43"/>
      <c r="H5245" s="2"/>
    </row>
    <row r="5246" spans="1:8">
      <c r="A5246" s="39">
        <v>3.39992335563726</v>
      </c>
      <c r="B5246" s="45">
        <v>13</v>
      </c>
      <c r="D5246" s="2"/>
      <c r="E5246" s="31"/>
      <c r="G5246" s="43"/>
      <c r="H5246" s="2"/>
    </row>
    <row r="5247" spans="1:8">
      <c r="A5247" s="39">
        <v>3.39981638605133</v>
      </c>
      <c r="B5247" s="45">
        <v>7.5</v>
      </c>
      <c r="D5247" s="2"/>
      <c r="E5247" s="31"/>
      <c r="G5247" s="43"/>
      <c r="H5247" s="2"/>
    </row>
    <row r="5248" spans="1:8">
      <c r="A5248" s="39">
        <v>3.39961170532692</v>
      </c>
      <c r="B5248" s="45">
        <v>9</v>
      </c>
      <c r="D5248" s="2"/>
      <c r="E5248" s="31"/>
      <c r="G5248" s="43"/>
      <c r="H5248" s="2"/>
    </row>
    <row r="5249" spans="1:8">
      <c r="A5249" s="39">
        <v>3.39896274806878</v>
      </c>
      <c r="B5249" s="45">
        <v>2.9</v>
      </c>
      <c r="D5249" s="2"/>
      <c r="E5249" s="31"/>
      <c r="G5249" s="43"/>
      <c r="H5249" s="2"/>
    </row>
    <row r="5250" spans="1:8">
      <c r="A5250" s="39">
        <v>3.39891696372698</v>
      </c>
      <c r="B5250" s="45">
        <v>6.8</v>
      </c>
      <c r="D5250" s="2"/>
      <c r="E5250" s="31"/>
      <c r="G5250" s="43"/>
      <c r="H5250" s="2"/>
    </row>
    <row r="5251" spans="1:8">
      <c r="A5251" s="39">
        <v>3.39890814330181</v>
      </c>
      <c r="B5251" s="45">
        <v>11.5</v>
      </c>
      <c r="D5251" s="2"/>
      <c r="E5251" s="31"/>
      <c r="G5251" s="43"/>
      <c r="H5251" s="2"/>
    </row>
    <row r="5252" spans="1:8">
      <c r="A5252" s="39">
        <v>3.39861619556204</v>
      </c>
      <c r="B5252" s="45">
        <v>9.5</v>
      </c>
      <c r="D5252" s="2"/>
      <c r="E5252" s="31"/>
      <c r="G5252" s="43"/>
      <c r="H5252" s="2"/>
    </row>
    <row r="5253" spans="1:8">
      <c r="A5253" s="39">
        <v>3.39852024744877</v>
      </c>
      <c r="B5253" s="45">
        <v>7.2</v>
      </c>
      <c r="D5253" s="2"/>
      <c r="E5253" s="31"/>
      <c r="G5253" s="43"/>
      <c r="H5253" s="2"/>
    </row>
    <row r="5254" spans="1:8">
      <c r="A5254" s="39">
        <v>3.39815266517157</v>
      </c>
      <c r="B5254" s="45">
        <v>9</v>
      </c>
      <c r="D5254" s="2"/>
      <c r="E5254" s="31"/>
      <c r="G5254" s="43"/>
      <c r="H5254" s="2"/>
    </row>
    <row r="5255" spans="1:8">
      <c r="A5255" s="39">
        <v>3.39680606217368</v>
      </c>
      <c r="B5255" s="45">
        <v>10.1</v>
      </c>
      <c r="D5255" s="2"/>
      <c r="E5255" s="31"/>
      <c r="G5255" s="43"/>
      <c r="H5255" s="2"/>
    </row>
    <row r="5256" spans="1:8">
      <c r="A5256" s="39">
        <v>3.39665545544922</v>
      </c>
      <c r="B5256" s="45">
        <v>15.5</v>
      </c>
      <c r="D5256" s="2"/>
      <c r="E5256" s="31"/>
      <c r="G5256" s="43"/>
      <c r="H5256" s="2"/>
    </row>
    <row r="5257" spans="1:8">
      <c r="A5257" s="39">
        <v>3.39662974518749</v>
      </c>
      <c r="B5257" s="45">
        <v>2</v>
      </c>
      <c r="D5257" s="2"/>
      <c r="E5257" s="31"/>
      <c r="G5257" s="43"/>
      <c r="H5257" s="2"/>
    </row>
    <row r="5258" spans="1:8">
      <c r="A5258" s="39">
        <v>3.39621869675392</v>
      </c>
      <c r="B5258" s="45">
        <v>5.9</v>
      </c>
      <c r="D5258" s="2"/>
      <c r="E5258" s="31"/>
      <c r="G5258" s="43"/>
      <c r="H5258" s="2"/>
    </row>
    <row r="5259" spans="1:8">
      <c r="A5259" s="39">
        <v>3.3960670326407</v>
      </c>
      <c r="B5259" s="45">
        <v>7</v>
      </c>
      <c r="D5259" s="2"/>
      <c r="E5259" s="31"/>
      <c r="G5259" s="43"/>
      <c r="H5259" s="2"/>
    </row>
    <row r="5260" spans="1:8">
      <c r="A5260" s="39">
        <v>3.39443155610199</v>
      </c>
      <c r="B5260" s="45">
        <v>10.7</v>
      </c>
      <c r="D5260" s="2"/>
      <c r="E5260" s="31"/>
      <c r="G5260" s="43"/>
      <c r="H5260" s="2"/>
    </row>
    <row r="5261" spans="1:8">
      <c r="A5261" s="39">
        <v>3.39278192810218</v>
      </c>
      <c r="B5261" s="45">
        <v>11</v>
      </c>
      <c r="D5261" s="2"/>
      <c r="E5261" s="31"/>
      <c r="G5261" s="43"/>
      <c r="H5261" s="2"/>
    </row>
    <row r="5262" spans="1:8">
      <c r="A5262" s="39">
        <v>3.39262100745651</v>
      </c>
      <c r="B5262" s="45">
        <v>8.3</v>
      </c>
      <c r="D5262" s="2"/>
      <c r="E5262" s="31"/>
      <c r="G5262" s="43"/>
      <c r="H5262" s="2"/>
    </row>
    <row r="5263" spans="1:8">
      <c r="A5263" s="39">
        <v>3.39257608507583</v>
      </c>
      <c r="B5263" s="45">
        <v>8.6</v>
      </c>
      <c r="D5263" s="2"/>
      <c r="E5263" s="31"/>
      <c r="G5263" s="43"/>
      <c r="H5263" s="2"/>
    </row>
    <row r="5264" spans="1:8">
      <c r="A5264" s="39">
        <v>3.39226296171393</v>
      </c>
      <c r="B5264" s="45">
        <v>13.5</v>
      </c>
      <c r="D5264" s="2"/>
      <c r="E5264" s="31"/>
      <c r="G5264" s="43"/>
      <c r="H5264" s="2"/>
    </row>
    <row r="5265" spans="1:8">
      <c r="A5265" s="39">
        <v>3.39223593460073</v>
      </c>
      <c r="B5265" s="45">
        <v>8.4</v>
      </c>
      <c r="D5265" s="2"/>
      <c r="E5265" s="31"/>
      <c r="G5265" s="43"/>
      <c r="H5265" s="2"/>
    </row>
    <row r="5266" spans="1:8">
      <c r="A5266" s="39">
        <v>3.39197834129391</v>
      </c>
      <c r="B5266" s="45">
        <v>8.4</v>
      </c>
      <c r="D5266" s="2"/>
      <c r="E5266" s="31"/>
      <c r="G5266" s="43"/>
      <c r="H5266" s="2"/>
    </row>
    <row r="5267" spans="1:8">
      <c r="A5267" s="39">
        <v>3.39187252305072</v>
      </c>
      <c r="B5267" s="45">
        <v>22</v>
      </c>
      <c r="D5267" s="2"/>
      <c r="E5267" s="31"/>
      <c r="G5267" s="43"/>
      <c r="H5267" s="2"/>
    </row>
    <row r="5268" spans="1:8">
      <c r="A5268" s="39">
        <v>3.39172158513216</v>
      </c>
      <c r="B5268" s="45">
        <v>14</v>
      </c>
      <c r="D5268" s="2"/>
      <c r="E5268" s="31"/>
      <c r="G5268" s="43"/>
      <c r="H5268" s="2"/>
    </row>
    <row r="5269" spans="1:8">
      <c r="A5269" s="39">
        <v>3.39172158513216</v>
      </c>
      <c r="B5269" s="45">
        <v>15.5</v>
      </c>
      <c r="D5269" s="2"/>
      <c r="E5269" s="31"/>
      <c r="G5269" s="43"/>
      <c r="H5269" s="2"/>
    </row>
    <row r="5270" spans="1:8">
      <c r="A5270" s="39">
        <v>3.39153516446834</v>
      </c>
      <c r="B5270" s="45">
        <v>5</v>
      </c>
      <c r="D5270" s="2"/>
      <c r="E5270" s="31"/>
      <c r="G5270" s="43"/>
      <c r="H5270" s="2"/>
    </row>
    <row r="5271" spans="1:8">
      <c r="A5271" s="39">
        <v>3.39082216280781</v>
      </c>
      <c r="B5271" s="45">
        <v>3.4</v>
      </c>
      <c r="D5271" s="2"/>
      <c r="E5271" s="31"/>
      <c r="G5271" s="43"/>
      <c r="H5271" s="2"/>
    </row>
    <row r="5272" spans="1:8">
      <c r="A5272" s="39">
        <v>3.39082216280781</v>
      </c>
      <c r="B5272" s="45">
        <v>3.8</v>
      </c>
      <c r="D5272" s="2"/>
      <c r="E5272" s="31"/>
      <c r="G5272" s="43"/>
      <c r="H5272" s="2"/>
    </row>
    <row r="5273" spans="1:8">
      <c r="A5273" s="39">
        <v>3.3903428647552</v>
      </c>
      <c r="B5273" s="45">
        <v>11</v>
      </c>
      <c r="D5273" s="2"/>
      <c r="E5273" s="31"/>
      <c r="G5273" s="43"/>
      <c r="H5273" s="2"/>
    </row>
    <row r="5274" spans="1:8">
      <c r="A5274" s="39">
        <v>3.39011965507314</v>
      </c>
      <c r="B5274" s="45">
        <v>6.5</v>
      </c>
      <c r="D5274" s="2"/>
      <c r="E5274" s="31"/>
      <c r="G5274" s="43"/>
      <c r="H5274" s="2"/>
    </row>
    <row r="5275" spans="1:8">
      <c r="A5275" s="39">
        <v>3.39007956997715</v>
      </c>
      <c r="B5275" s="45">
        <v>8.9</v>
      </c>
      <c r="D5275" s="2"/>
      <c r="E5275" s="31"/>
      <c r="G5275" s="43"/>
      <c r="H5275" s="2"/>
    </row>
    <row r="5276" spans="1:8">
      <c r="A5276" s="39">
        <v>3.3899669254653</v>
      </c>
      <c r="B5276" s="45">
        <v>6</v>
      </c>
      <c r="D5276" s="2"/>
      <c r="E5276" s="31"/>
      <c r="G5276" s="43"/>
      <c r="H5276" s="2"/>
    </row>
    <row r="5277" spans="1:8">
      <c r="A5277" s="39">
        <v>3.389353014543</v>
      </c>
      <c r="B5277" s="45">
        <v>3</v>
      </c>
      <c r="D5277" s="2"/>
      <c r="E5277" s="31"/>
      <c r="G5277" s="43"/>
      <c r="H5277" s="2"/>
    </row>
    <row r="5278" spans="1:8">
      <c r="A5278" s="39">
        <v>3.38931624378302</v>
      </c>
      <c r="B5278" s="45">
        <v>7.5</v>
      </c>
      <c r="D5278" s="2"/>
      <c r="E5278" s="31"/>
      <c r="G5278" s="43"/>
      <c r="H5278" s="2"/>
    </row>
    <row r="5279" spans="1:8">
      <c r="A5279" s="39">
        <v>3.38877532123743</v>
      </c>
      <c r="B5279" s="45">
        <v>9.9</v>
      </c>
      <c r="D5279" s="2"/>
      <c r="E5279" s="31"/>
      <c r="G5279" s="43"/>
      <c r="H5279" s="2"/>
    </row>
    <row r="5280" spans="1:8">
      <c r="A5280" s="39">
        <v>3.38809085843774</v>
      </c>
      <c r="B5280" s="45">
        <v>1.6</v>
      </c>
      <c r="D5280" s="2"/>
      <c r="E5280" s="31"/>
      <c r="G5280" s="43"/>
      <c r="H5280" s="2"/>
    </row>
    <row r="5281" spans="1:8">
      <c r="A5281" s="39">
        <v>3.3872244735104</v>
      </c>
      <c r="B5281" s="45">
        <v>5</v>
      </c>
      <c r="D5281" s="2"/>
      <c r="E5281" s="31"/>
      <c r="G5281" s="43"/>
      <c r="H5281" s="2"/>
    </row>
    <row r="5282" spans="1:8">
      <c r="A5282" s="39">
        <v>3.3872244735104</v>
      </c>
      <c r="B5282" s="45">
        <v>6.3</v>
      </c>
      <c r="D5282" s="2"/>
      <c r="E5282" s="31"/>
      <c r="G5282" s="43"/>
      <c r="H5282" s="2"/>
    </row>
    <row r="5283" spans="1:8">
      <c r="A5283" s="39">
        <v>3.3868517548851</v>
      </c>
      <c r="B5283" s="45">
        <v>10.5</v>
      </c>
      <c r="D5283" s="2"/>
      <c r="E5283" s="31"/>
      <c r="G5283" s="43"/>
      <c r="H5283" s="2"/>
    </row>
    <row r="5284" spans="1:8">
      <c r="A5284" s="39">
        <v>3.38574442150997</v>
      </c>
      <c r="B5284" s="45">
        <v>10</v>
      </c>
      <c r="D5284" s="2"/>
      <c r="E5284" s="31"/>
      <c r="G5284" s="43"/>
      <c r="H5284" s="2"/>
    </row>
    <row r="5285" spans="1:8">
      <c r="A5285" s="39">
        <v>3.38554046482474</v>
      </c>
      <c r="B5285" s="45">
        <v>5.8</v>
      </c>
      <c r="D5285" s="2"/>
      <c r="E5285" s="31"/>
      <c r="G5285" s="43"/>
      <c r="H5285" s="2"/>
    </row>
    <row r="5286" spans="1:8">
      <c r="A5286" s="39">
        <v>3.3854256288617</v>
      </c>
      <c r="B5286" s="45">
        <v>19.2</v>
      </c>
      <c r="D5286" s="2"/>
      <c r="E5286" s="31"/>
      <c r="G5286" s="43"/>
      <c r="H5286" s="2"/>
    </row>
    <row r="5287" spans="1:8">
      <c r="A5287" s="39">
        <v>3.38535993669163</v>
      </c>
      <c r="B5287" s="45">
        <v>18</v>
      </c>
      <c r="D5287" s="2"/>
      <c r="E5287" s="31"/>
      <c r="G5287" s="43"/>
      <c r="H5287" s="2"/>
    </row>
    <row r="5288" spans="1:8">
      <c r="A5288" s="39">
        <v>3.38486478692537</v>
      </c>
      <c r="B5288" s="45">
        <v>9.9</v>
      </c>
      <c r="D5288" s="2"/>
      <c r="E5288" s="31"/>
      <c r="G5288" s="43"/>
      <c r="H5288" s="2"/>
    </row>
    <row r="5289" spans="1:8">
      <c r="A5289" s="39">
        <v>3.3842571920124</v>
      </c>
      <c r="B5289" s="45">
        <v>7</v>
      </c>
      <c r="D5289" s="2"/>
      <c r="E5289" s="31"/>
      <c r="G5289" s="43"/>
      <c r="H5289" s="2"/>
    </row>
    <row r="5290" spans="1:8">
      <c r="A5290" s="39">
        <v>3.38401333369374</v>
      </c>
      <c r="B5290" s="45">
        <v>22</v>
      </c>
      <c r="D5290" s="2"/>
      <c r="E5290" s="31"/>
      <c r="G5290" s="43"/>
      <c r="H5290" s="2"/>
    </row>
    <row r="5291" spans="1:8">
      <c r="A5291" s="39">
        <v>3.38358717442753</v>
      </c>
      <c r="B5291" s="45">
        <v>7.9</v>
      </c>
      <c r="D5291" s="2"/>
      <c r="E5291" s="31"/>
      <c r="G5291" s="43"/>
      <c r="H5291" s="2"/>
    </row>
    <row r="5292" spans="1:8">
      <c r="A5292" s="39">
        <v>3.38262620107495</v>
      </c>
      <c r="B5292" s="45">
        <v>4.9</v>
      </c>
      <c r="D5292" s="2"/>
      <c r="E5292" s="31"/>
      <c r="G5292" s="43"/>
      <c r="H5292" s="2"/>
    </row>
    <row r="5293" spans="1:8">
      <c r="A5293" s="39">
        <v>3.38134600303002</v>
      </c>
      <c r="B5293" s="45">
        <v>7</v>
      </c>
      <c r="D5293" s="2"/>
      <c r="E5293" s="31"/>
      <c r="G5293" s="43"/>
      <c r="H5293" s="2"/>
    </row>
    <row r="5294" spans="1:8">
      <c r="A5294" s="39">
        <v>3.38132012769796</v>
      </c>
      <c r="B5294" s="45">
        <v>22</v>
      </c>
      <c r="D5294" s="2"/>
      <c r="E5294" s="31"/>
      <c r="G5294" s="43"/>
      <c r="H5294" s="2"/>
    </row>
    <row r="5295" spans="1:8">
      <c r="A5295" s="39">
        <v>3.38061820578443</v>
      </c>
      <c r="B5295" s="45">
        <v>4.8</v>
      </c>
      <c r="D5295" s="2"/>
      <c r="E5295" s="31"/>
      <c r="G5295" s="43"/>
      <c r="H5295" s="2"/>
    </row>
    <row r="5296" spans="1:8">
      <c r="A5296" s="39">
        <v>3.38031595450902</v>
      </c>
      <c r="B5296" s="45">
        <v>9.5</v>
      </c>
      <c r="D5296" s="2"/>
      <c r="E5296" s="31"/>
      <c r="G5296" s="43"/>
      <c r="H5296" s="2"/>
    </row>
    <row r="5297" spans="1:8">
      <c r="A5297" s="39">
        <v>3.37966237447141</v>
      </c>
      <c r="B5297" s="45">
        <v>5.4</v>
      </c>
      <c r="D5297" s="2"/>
      <c r="E5297" s="31"/>
      <c r="G5297" s="43"/>
      <c r="H5297" s="2"/>
    </row>
    <row r="5298" spans="1:8">
      <c r="A5298" s="39">
        <v>3.37966237447141</v>
      </c>
      <c r="B5298" s="45">
        <v>20.1</v>
      </c>
      <c r="D5298" s="2"/>
      <c r="E5298" s="31"/>
      <c r="G5298" s="43"/>
      <c r="H5298" s="2"/>
    </row>
    <row r="5299" spans="1:8">
      <c r="A5299" s="39">
        <v>3.37966237447141</v>
      </c>
      <c r="B5299" s="45">
        <v>7.3</v>
      </c>
      <c r="D5299" s="2"/>
      <c r="E5299" s="31"/>
      <c r="G5299" s="43"/>
      <c r="H5299" s="2"/>
    </row>
    <row r="5300" spans="1:8">
      <c r="A5300" s="39">
        <v>3.3790087944338</v>
      </c>
      <c r="B5300" s="45">
        <v>9.5</v>
      </c>
      <c r="D5300" s="2"/>
      <c r="E5300" s="31"/>
      <c r="G5300" s="43"/>
      <c r="H5300" s="2"/>
    </row>
    <row r="5301" spans="1:8">
      <c r="A5301" s="39">
        <v>3.3788945289842</v>
      </c>
      <c r="B5301" s="45">
        <v>7.3</v>
      </c>
      <c r="D5301" s="2"/>
      <c r="E5301" s="31"/>
      <c r="G5301" s="43"/>
      <c r="H5301" s="2"/>
    </row>
    <row r="5302" spans="1:8">
      <c r="A5302" s="39">
        <v>3.37862692170218</v>
      </c>
      <c r="B5302" s="45">
        <v>9</v>
      </c>
      <c r="D5302" s="2"/>
      <c r="E5302" s="31"/>
      <c r="G5302" s="43"/>
      <c r="H5302" s="2"/>
    </row>
    <row r="5303" spans="1:8">
      <c r="A5303" s="39">
        <v>3.37862692170218</v>
      </c>
      <c r="B5303" s="45">
        <v>10.2</v>
      </c>
      <c r="D5303" s="2"/>
      <c r="E5303" s="31"/>
      <c r="G5303" s="43"/>
      <c r="H5303" s="2"/>
    </row>
    <row r="5304" spans="1:8">
      <c r="A5304" s="39">
        <v>3.37850484457365</v>
      </c>
      <c r="B5304" s="45">
        <v>9.1</v>
      </c>
      <c r="D5304" s="2"/>
      <c r="E5304" s="31"/>
      <c r="G5304" s="43"/>
      <c r="H5304" s="2"/>
    </row>
    <row r="5305" spans="1:8">
      <c r="A5305" s="39">
        <v>3.37841878965869</v>
      </c>
      <c r="B5305" s="45">
        <v>10.6</v>
      </c>
      <c r="D5305" s="2"/>
      <c r="E5305" s="31"/>
      <c r="G5305" s="43"/>
      <c r="H5305" s="2"/>
    </row>
    <row r="5306" spans="1:8">
      <c r="A5306" s="39">
        <v>3.37807679071484</v>
      </c>
      <c r="B5306" s="45">
        <v>4.1</v>
      </c>
      <c r="D5306" s="2"/>
      <c r="E5306" s="31"/>
      <c r="G5306" s="43"/>
      <c r="H5306" s="2"/>
    </row>
    <row r="5307" spans="1:8">
      <c r="A5307" s="39">
        <v>3.37807679071484</v>
      </c>
      <c r="B5307" s="45">
        <v>4</v>
      </c>
      <c r="D5307" s="2"/>
      <c r="E5307" s="31"/>
      <c r="G5307" s="43"/>
      <c r="H5307" s="2"/>
    </row>
    <row r="5308" spans="1:8">
      <c r="A5308" s="39">
        <v>3.37806067869943</v>
      </c>
      <c r="B5308" s="45">
        <v>7.3</v>
      </c>
      <c r="D5308" s="2"/>
      <c r="E5308" s="31"/>
      <c r="G5308" s="43"/>
      <c r="H5308" s="2"/>
    </row>
    <row r="5309" spans="1:8">
      <c r="A5309" s="39">
        <v>3.37804034728621</v>
      </c>
      <c r="B5309" s="45">
        <v>10.2</v>
      </c>
      <c r="D5309" s="2"/>
      <c r="E5309" s="31"/>
      <c r="G5309" s="43"/>
      <c r="H5309" s="2"/>
    </row>
    <row r="5310" spans="1:8">
      <c r="A5310" s="39">
        <v>3.37800316425855</v>
      </c>
      <c r="B5310" s="45">
        <v>7.5</v>
      </c>
      <c r="D5310" s="2"/>
      <c r="E5310" s="31"/>
      <c r="G5310" s="43"/>
      <c r="H5310" s="2"/>
    </row>
    <row r="5311" spans="1:8">
      <c r="A5311" s="39">
        <v>3.37782133431206</v>
      </c>
      <c r="B5311" s="45">
        <v>4.7</v>
      </c>
      <c r="D5311" s="2"/>
      <c r="E5311" s="31"/>
      <c r="G5311" s="43"/>
      <c r="H5311" s="2"/>
    </row>
    <row r="5312" spans="1:8">
      <c r="A5312" s="39">
        <v>3.37733082794253</v>
      </c>
      <c r="B5312" s="45">
        <v>6</v>
      </c>
      <c r="D5312" s="2"/>
      <c r="E5312" s="31"/>
      <c r="G5312" s="43"/>
      <c r="H5312" s="2"/>
    </row>
    <row r="5313" spans="1:8">
      <c r="A5313" s="39">
        <v>3.37729941359933</v>
      </c>
      <c r="B5313" s="45">
        <v>5.4</v>
      </c>
      <c r="D5313" s="2"/>
      <c r="E5313" s="31"/>
      <c r="G5313" s="43"/>
      <c r="H5313" s="2"/>
    </row>
    <row r="5314" spans="1:8">
      <c r="A5314" s="39">
        <v>3.37645499084311</v>
      </c>
      <c r="B5314" s="45">
        <v>7.5</v>
      </c>
      <c r="D5314" s="2"/>
      <c r="E5314" s="31"/>
      <c r="G5314" s="43"/>
      <c r="H5314" s="2"/>
    </row>
    <row r="5315" spans="1:8">
      <c r="A5315" s="39">
        <v>3.37549417710951</v>
      </c>
      <c r="B5315" s="45">
        <v>17.9</v>
      </c>
      <c r="D5315" s="2"/>
      <c r="E5315" s="31"/>
      <c r="G5315" s="43"/>
      <c r="H5315" s="2"/>
    </row>
    <row r="5316" spans="1:8">
      <c r="A5316" s="39">
        <v>3.37480583763741</v>
      </c>
      <c r="B5316" s="45">
        <v>1</v>
      </c>
      <c r="D5316" s="2"/>
      <c r="E5316" s="31"/>
      <c r="G5316" s="43"/>
      <c r="H5316" s="2"/>
    </row>
    <row r="5317" spans="1:8">
      <c r="A5317" s="39">
        <v>3.37463256096947</v>
      </c>
      <c r="B5317" s="45">
        <v>13</v>
      </c>
      <c r="D5317" s="2"/>
      <c r="E5317" s="31"/>
      <c r="G5317" s="43"/>
      <c r="H5317" s="2"/>
    </row>
    <row r="5318" spans="1:8">
      <c r="A5318" s="39">
        <v>3.374283472423</v>
      </c>
      <c r="B5318" s="45">
        <v>5.2</v>
      </c>
      <c r="D5318" s="2"/>
      <c r="E5318" s="31"/>
      <c r="G5318" s="43"/>
      <c r="H5318" s="2"/>
    </row>
    <row r="5319" spans="1:8">
      <c r="A5319" s="39">
        <v>3.37406803057408</v>
      </c>
      <c r="B5319" s="45">
        <v>10.5</v>
      </c>
      <c r="D5319" s="2"/>
      <c r="E5319" s="31"/>
      <c r="G5319" s="43"/>
      <c r="H5319" s="2"/>
    </row>
    <row r="5320" spans="1:8">
      <c r="A5320" s="39">
        <v>3.37397744090175</v>
      </c>
      <c r="B5320" s="45">
        <v>2</v>
      </c>
      <c r="D5320" s="2"/>
      <c r="E5320" s="31"/>
      <c r="G5320" s="43"/>
      <c r="H5320" s="2"/>
    </row>
    <row r="5321" spans="1:8">
      <c r="A5321" s="39">
        <v>3.37378015413293</v>
      </c>
      <c r="B5321" s="45">
        <v>4.5</v>
      </c>
      <c r="D5321" s="2"/>
      <c r="E5321" s="31"/>
      <c r="G5321" s="43"/>
      <c r="H5321" s="2"/>
    </row>
    <row r="5322" spans="1:8">
      <c r="A5322" s="39">
        <v>3.37373313864512</v>
      </c>
      <c r="B5322" s="45">
        <v>6.9</v>
      </c>
      <c r="D5322" s="2"/>
      <c r="E5322" s="31"/>
      <c r="G5322" s="43"/>
      <c r="H5322" s="2"/>
    </row>
    <row r="5323" spans="1:8">
      <c r="A5323" s="39">
        <v>3.37283371632077</v>
      </c>
      <c r="B5323" s="45">
        <v>4.5</v>
      </c>
      <c r="D5323" s="2"/>
      <c r="E5323" s="31"/>
      <c r="G5323" s="43"/>
      <c r="H5323" s="2"/>
    </row>
    <row r="5324" spans="1:8">
      <c r="A5324" s="39">
        <v>3.37258426833614</v>
      </c>
      <c r="B5324" s="45">
        <v>10.5</v>
      </c>
      <c r="D5324" s="2"/>
      <c r="E5324" s="31"/>
      <c r="G5324" s="43"/>
      <c r="H5324" s="2"/>
    </row>
    <row r="5325" spans="1:8">
      <c r="A5325" s="39">
        <v>3.37237315898478</v>
      </c>
      <c r="B5325" s="45">
        <v>11</v>
      </c>
      <c r="D5325" s="2"/>
      <c r="E5325" s="31"/>
      <c r="G5325" s="43"/>
      <c r="H5325" s="2"/>
    </row>
    <row r="5326" spans="1:8">
      <c r="A5326" s="39">
        <v>3.37237315898478</v>
      </c>
      <c r="B5326" s="45">
        <v>12</v>
      </c>
      <c r="D5326" s="2"/>
      <c r="E5326" s="31"/>
      <c r="G5326" s="43"/>
      <c r="H5326" s="2"/>
    </row>
    <row r="5327" spans="1:8">
      <c r="A5327" s="39">
        <v>3.37097928844563</v>
      </c>
      <c r="B5327" s="45">
        <v>1.2</v>
      </c>
      <c r="D5327" s="2"/>
      <c r="E5327" s="31"/>
      <c r="G5327" s="43"/>
      <c r="H5327" s="2"/>
    </row>
    <row r="5328" spans="1:8">
      <c r="A5328" s="39">
        <v>3.37054034855497</v>
      </c>
      <c r="B5328" s="45">
        <v>10</v>
      </c>
      <c r="D5328" s="2"/>
      <c r="E5328" s="31"/>
      <c r="G5328" s="43"/>
      <c r="H5328" s="2"/>
    </row>
    <row r="5329" spans="1:8">
      <c r="A5329" s="39">
        <v>3.37051225394489</v>
      </c>
      <c r="B5329" s="45">
        <v>0</v>
      </c>
      <c r="D5329" s="2"/>
      <c r="E5329" s="31"/>
      <c r="G5329" s="43"/>
      <c r="H5329" s="2"/>
    </row>
    <row r="5330" spans="1:8">
      <c r="A5330" s="39">
        <v>3.37013544934771</v>
      </c>
      <c r="B5330" s="45">
        <v>6</v>
      </c>
      <c r="D5330" s="2"/>
      <c r="E5330" s="31"/>
      <c r="G5330" s="43"/>
      <c r="H5330" s="2"/>
    </row>
    <row r="5331" spans="1:8">
      <c r="A5331" s="39">
        <v>3.36989940802127</v>
      </c>
      <c r="B5331" s="45">
        <v>12</v>
      </c>
      <c r="D5331" s="2"/>
      <c r="E5331" s="31"/>
      <c r="G5331" s="43"/>
      <c r="H5331" s="2"/>
    </row>
    <row r="5332" spans="1:8">
      <c r="A5332" s="39">
        <v>3.36970124710051</v>
      </c>
      <c r="B5332" s="45">
        <v>12</v>
      </c>
      <c r="D5332" s="2"/>
      <c r="E5332" s="31"/>
      <c r="G5332" s="43"/>
      <c r="H5332" s="2"/>
    </row>
    <row r="5333" spans="1:8">
      <c r="A5333" s="39">
        <v>3.36894688236943</v>
      </c>
      <c r="B5333" s="45">
        <v>3.2</v>
      </c>
      <c r="D5333" s="2"/>
      <c r="E5333" s="31"/>
      <c r="G5333" s="43"/>
      <c r="H5333" s="2"/>
    </row>
    <row r="5334" spans="1:8">
      <c r="A5334" s="39">
        <v>3.36785409771908</v>
      </c>
      <c r="B5334" s="45">
        <v>3.5</v>
      </c>
      <c r="D5334" s="2"/>
      <c r="E5334" s="31"/>
      <c r="G5334" s="43"/>
      <c r="H5334" s="2"/>
    </row>
    <row r="5335" spans="1:8">
      <c r="A5335" s="39">
        <v>3.36755697444721</v>
      </c>
      <c r="B5335" s="45">
        <v>6.2</v>
      </c>
      <c r="D5335" s="2"/>
      <c r="E5335" s="31"/>
      <c r="G5335" s="43"/>
      <c r="H5335" s="2"/>
    </row>
    <row r="5336" spans="1:8">
      <c r="A5336" s="39">
        <v>3.3672478521719</v>
      </c>
      <c r="B5336" s="45">
        <v>9</v>
      </c>
      <c r="D5336" s="2"/>
      <c r="E5336" s="31"/>
      <c r="G5336" s="43"/>
      <c r="H5336" s="2"/>
    </row>
    <row r="5337" spans="1:8">
      <c r="A5337" s="39">
        <v>3.36695923896237</v>
      </c>
      <c r="B5337" s="45">
        <v>12.8</v>
      </c>
      <c r="D5337" s="2"/>
      <c r="E5337" s="31"/>
      <c r="G5337" s="43"/>
      <c r="H5337" s="2"/>
    </row>
    <row r="5338" spans="1:8">
      <c r="A5338" s="39">
        <v>3.36695923896237</v>
      </c>
      <c r="B5338" s="45">
        <v>14</v>
      </c>
      <c r="D5338" s="2"/>
      <c r="E5338" s="31"/>
      <c r="G5338" s="43"/>
      <c r="H5338" s="2"/>
    </row>
    <row r="5339" spans="1:8">
      <c r="A5339" s="39">
        <v>3.36695923896237</v>
      </c>
      <c r="B5339" s="45">
        <v>10.6</v>
      </c>
      <c r="D5339" s="2"/>
      <c r="E5339" s="31"/>
      <c r="G5339" s="43"/>
      <c r="H5339" s="2"/>
    </row>
    <row r="5340" spans="1:8">
      <c r="A5340" s="39">
        <v>3.36674315371102</v>
      </c>
      <c r="B5340" s="45">
        <v>9.9</v>
      </c>
      <c r="D5340" s="2"/>
      <c r="E5340" s="31"/>
      <c r="G5340" s="43"/>
      <c r="H5340" s="2"/>
    </row>
    <row r="5341" spans="1:8">
      <c r="A5341" s="39">
        <v>3.36662845494384</v>
      </c>
      <c r="B5341" s="45">
        <v>3.3</v>
      </c>
      <c r="D5341" s="2"/>
      <c r="E5341" s="31"/>
      <c r="G5341" s="43"/>
      <c r="H5341" s="2"/>
    </row>
    <row r="5342" spans="1:8">
      <c r="A5342" s="39">
        <v>3.36662845494384</v>
      </c>
      <c r="B5342" s="45">
        <v>9.1</v>
      </c>
      <c r="D5342" s="2"/>
      <c r="E5342" s="31"/>
      <c r="G5342" s="43"/>
      <c r="H5342" s="2"/>
    </row>
    <row r="5343" spans="1:8">
      <c r="A5343" s="39">
        <v>3.36563833772595</v>
      </c>
      <c r="B5343" s="45">
        <v>6.9</v>
      </c>
      <c r="D5343" s="2"/>
      <c r="E5343" s="31"/>
      <c r="G5343" s="43"/>
      <c r="H5343" s="2"/>
    </row>
    <row r="5344" spans="1:8">
      <c r="A5344" s="39">
        <v>3.36550358604816</v>
      </c>
      <c r="B5344" s="45">
        <v>3</v>
      </c>
      <c r="D5344" s="2"/>
      <c r="E5344" s="31"/>
      <c r="G5344" s="43"/>
      <c r="H5344" s="2"/>
    </row>
    <row r="5345" spans="1:8">
      <c r="A5345" s="39">
        <v>3.36533565239258</v>
      </c>
      <c r="B5345" s="45">
        <v>6</v>
      </c>
      <c r="D5345" s="2"/>
      <c r="E5345" s="31"/>
      <c r="G5345" s="43"/>
      <c r="H5345" s="2"/>
    </row>
    <row r="5346" spans="1:8">
      <c r="A5346" s="39">
        <v>3.36530949640271</v>
      </c>
      <c r="B5346" s="45">
        <v>9.5</v>
      </c>
      <c r="D5346" s="2"/>
      <c r="E5346" s="31"/>
      <c r="G5346" s="43"/>
      <c r="H5346" s="2"/>
    </row>
    <row r="5347" spans="1:8">
      <c r="A5347" s="39">
        <v>3.3651608917233</v>
      </c>
      <c r="B5347" s="45">
        <v>20.8</v>
      </c>
      <c r="D5347" s="2"/>
      <c r="E5347" s="31"/>
      <c r="G5347" s="43"/>
      <c r="H5347" s="2"/>
    </row>
    <row r="5348" spans="1:8">
      <c r="A5348" s="39">
        <v>3.3647389154016</v>
      </c>
      <c r="B5348" s="45">
        <v>9.3</v>
      </c>
      <c r="D5348" s="2"/>
      <c r="E5348" s="31"/>
      <c r="G5348" s="43"/>
      <c r="H5348" s="2"/>
    </row>
    <row r="5349" spans="1:8">
      <c r="A5349" s="39">
        <v>3.36443360407147</v>
      </c>
      <c r="B5349" s="45">
        <v>9.7</v>
      </c>
      <c r="D5349" s="2"/>
      <c r="E5349" s="31"/>
      <c r="G5349" s="43"/>
      <c r="H5349" s="2"/>
    </row>
    <row r="5350" spans="1:8">
      <c r="A5350" s="39">
        <v>3.36373004204636</v>
      </c>
      <c r="B5350" s="45">
        <v>9.5</v>
      </c>
      <c r="D5350" s="2"/>
      <c r="E5350" s="31"/>
      <c r="G5350" s="43"/>
      <c r="H5350" s="2"/>
    </row>
    <row r="5351" spans="1:8">
      <c r="A5351" s="39">
        <v>3.36340673402339</v>
      </c>
      <c r="B5351" s="45">
        <v>8.7</v>
      </c>
      <c r="D5351" s="2"/>
      <c r="E5351" s="31"/>
      <c r="G5351" s="43"/>
      <c r="H5351" s="2"/>
    </row>
    <row r="5352" spans="1:8">
      <c r="A5352" s="39">
        <v>3.36208127204974</v>
      </c>
      <c r="B5352" s="45">
        <v>5.4</v>
      </c>
      <c r="D5352" s="2"/>
      <c r="E5352" s="31"/>
      <c r="G5352" s="43"/>
      <c r="H5352" s="2"/>
    </row>
    <row r="5353" spans="1:8">
      <c r="A5353" s="39">
        <v>3.36208127204974</v>
      </c>
      <c r="B5353" s="45">
        <v>2.5</v>
      </c>
      <c r="D5353" s="2"/>
      <c r="E5353" s="31"/>
      <c r="G5353" s="43"/>
      <c r="H5353" s="2"/>
    </row>
    <row r="5354" spans="1:8">
      <c r="A5354" s="39">
        <v>3.36122946361421</v>
      </c>
      <c r="B5354" s="45">
        <v>10.7</v>
      </c>
      <c r="D5354" s="2"/>
      <c r="E5354" s="31"/>
      <c r="G5354" s="43"/>
      <c r="H5354" s="2"/>
    </row>
    <row r="5355" spans="1:8">
      <c r="A5355" s="39">
        <v>3.36071234645037</v>
      </c>
      <c r="B5355" s="45">
        <v>12.8</v>
      </c>
      <c r="D5355" s="2"/>
      <c r="E5355" s="31"/>
      <c r="G5355" s="43"/>
      <c r="H5355" s="2"/>
    </row>
    <row r="5356" spans="1:8">
      <c r="A5356" s="39">
        <v>3.36044778123069</v>
      </c>
      <c r="B5356" s="45">
        <v>11</v>
      </c>
      <c r="D5356" s="2"/>
      <c r="E5356" s="31"/>
      <c r="G5356" s="43"/>
      <c r="H5356" s="2"/>
    </row>
    <row r="5357" spans="1:8">
      <c r="A5357" s="39">
        <v>3.3595120856622</v>
      </c>
      <c r="B5357" s="45">
        <v>5.9</v>
      </c>
      <c r="D5357" s="2"/>
      <c r="E5357" s="31"/>
      <c r="G5357" s="43"/>
      <c r="H5357" s="2"/>
    </row>
    <row r="5358" spans="1:8">
      <c r="A5358" s="39">
        <v>3.3595120856622</v>
      </c>
      <c r="B5358" s="45">
        <v>7.1</v>
      </c>
      <c r="D5358" s="2"/>
      <c r="E5358" s="31"/>
      <c r="G5358" s="43"/>
      <c r="H5358" s="2"/>
    </row>
    <row r="5359" spans="1:8">
      <c r="A5359" s="39">
        <v>3.3595120856622</v>
      </c>
      <c r="B5359" s="45">
        <v>7</v>
      </c>
      <c r="D5359" s="2"/>
      <c r="E5359" s="31"/>
      <c r="G5359" s="43"/>
      <c r="H5359" s="2"/>
    </row>
    <row r="5360" spans="1:8">
      <c r="A5360" s="39">
        <v>3.35940139330556</v>
      </c>
      <c r="B5360" s="45">
        <v>10</v>
      </c>
      <c r="D5360" s="2"/>
      <c r="E5360" s="31"/>
      <c r="G5360" s="43"/>
      <c r="H5360" s="2"/>
    </row>
    <row r="5361" spans="1:8">
      <c r="A5361" s="39">
        <v>3.3586018672605</v>
      </c>
      <c r="B5361" s="45">
        <v>8.2</v>
      </c>
      <c r="D5361" s="2"/>
      <c r="E5361" s="31"/>
      <c r="G5361" s="43"/>
      <c r="H5361" s="2"/>
    </row>
    <row r="5362" spans="1:8">
      <c r="A5362" s="39">
        <v>3.35829814580037</v>
      </c>
      <c r="B5362" s="45">
        <v>11</v>
      </c>
      <c r="D5362" s="2"/>
      <c r="E5362" s="31"/>
      <c r="G5362" s="43"/>
      <c r="H5362" s="2"/>
    </row>
    <row r="5363" spans="1:8">
      <c r="A5363" s="39">
        <v>3.35803472446929</v>
      </c>
      <c r="B5363" s="45">
        <v>25</v>
      </c>
      <c r="D5363" s="2"/>
      <c r="E5363" s="31"/>
      <c r="G5363" s="43"/>
      <c r="H5363" s="2"/>
    </row>
    <row r="5364" spans="1:8">
      <c r="A5364" s="39">
        <v>3.35803472446929</v>
      </c>
      <c r="B5364" s="45">
        <v>4.2</v>
      </c>
      <c r="D5364" s="2"/>
      <c r="E5364" s="31"/>
      <c r="G5364" s="43"/>
      <c r="H5364" s="2"/>
    </row>
    <row r="5365" spans="1:8">
      <c r="A5365" s="39">
        <v>3.35775457523491</v>
      </c>
      <c r="B5365" s="45">
        <v>1</v>
      </c>
      <c r="D5365" s="2"/>
      <c r="E5365" s="31"/>
      <c r="G5365" s="43"/>
      <c r="H5365" s="2"/>
    </row>
    <row r="5366" spans="1:8">
      <c r="A5366" s="39">
        <v>3.35744065319273</v>
      </c>
      <c r="B5366" s="45">
        <v>25</v>
      </c>
      <c r="D5366" s="2"/>
      <c r="E5366" s="31"/>
      <c r="G5366" s="43"/>
      <c r="H5366" s="2"/>
    </row>
    <row r="5367" spans="1:8">
      <c r="A5367" s="39">
        <v>3.35730724727594</v>
      </c>
      <c r="B5367" s="45">
        <v>13</v>
      </c>
      <c r="D5367" s="2"/>
      <c r="E5367" s="31"/>
      <c r="G5367" s="43"/>
      <c r="H5367" s="2"/>
    </row>
    <row r="5368" spans="1:8">
      <c r="A5368" s="39">
        <v>3.35729003245195</v>
      </c>
      <c r="B5368" s="45">
        <v>4.1</v>
      </c>
      <c r="D5368" s="2"/>
      <c r="E5368" s="31"/>
      <c r="G5368" s="43"/>
      <c r="H5368" s="2"/>
    </row>
    <row r="5369" spans="1:8">
      <c r="A5369" s="39">
        <v>3.35678707315512</v>
      </c>
      <c r="B5369" s="45">
        <v>14.7</v>
      </c>
      <c r="D5369" s="2"/>
      <c r="E5369" s="31"/>
      <c r="G5369" s="43"/>
      <c r="H5369" s="2"/>
    </row>
    <row r="5370" spans="1:8">
      <c r="A5370" s="39">
        <v>3.35669442179527</v>
      </c>
      <c r="B5370" s="45">
        <v>17</v>
      </c>
      <c r="D5370" s="2"/>
      <c r="E5370" s="31"/>
      <c r="G5370" s="43"/>
      <c r="H5370" s="2"/>
    </row>
    <row r="5371" spans="1:8">
      <c r="A5371" s="39">
        <v>3.35587309943423</v>
      </c>
      <c r="B5371" s="45">
        <v>5</v>
      </c>
      <c r="D5371" s="2"/>
      <c r="E5371" s="31"/>
      <c r="G5371" s="43"/>
      <c r="H5371" s="2"/>
    </row>
    <row r="5372" spans="1:8">
      <c r="A5372" s="39">
        <v>3.35587309943423</v>
      </c>
      <c r="B5372" s="45">
        <v>6.5</v>
      </c>
      <c r="D5372" s="2"/>
      <c r="E5372" s="31"/>
      <c r="G5372" s="43"/>
      <c r="H5372" s="2"/>
    </row>
    <row r="5373" spans="1:8">
      <c r="A5373" s="39">
        <v>3.35574469215807</v>
      </c>
      <c r="B5373" s="45">
        <v>17</v>
      </c>
      <c r="D5373" s="2"/>
      <c r="E5373" s="31"/>
      <c r="G5373" s="43"/>
      <c r="H5373" s="2"/>
    </row>
    <row r="5374" spans="1:8">
      <c r="A5374" s="39">
        <v>3.35518011917284</v>
      </c>
      <c r="B5374" s="45">
        <v>6.7</v>
      </c>
      <c r="D5374" s="2"/>
      <c r="E5374" s="31"/>
      <c r="G5374" s="43"/>
      <c r="H5374" s="2"/>
    </row>
    <row r="5375" spans="1:8">
      <c r="A5375" s="39">
        <v>3.35475797385018</v>
      </c>
      <c r="B5375" s="45">
        <v>6.5</v>
      </c>
      <c r="D5375" s="2"/>
      <c r="E5375" s="31"/>
      <c r="G5375" s="43"/>
      <c r="H5375" s="2"/>
    </row>
    <row r="5376" spans="1:8">
      <c r="A5376" s="39">
        <v>3.35455218125321</v>
      </c>
      <c r="B5376" s="45">
        <v>8.7</v>
      </c>
      <c r="D5376" s="2"/>
      <c r="E5376" s="31"/>
      <c r="G5376" s="43"/>
      <c r="H5376" s="2"/>
    </row>
    <row r="5377" spans="1:8">
      <c r="A5377" s="39">
        <v>3.35439733850257</v>
      </c>
      <c r="B5377" s="45">
        <v>10.5</v>
      </c>
      <c r="D5377" s="2"/>
      <c r="E5377" s="31"/>
      <c r="G5377" s="43"/>
      <c r="H5377" s="2"/>
    </row>
    <row r="5378" spans="1:8">
      <c r="A5378" s="39">
        <v>3.35438806774019</v>
      </c>
      <c r="B5378" s="45">
        <v>4.4</v>
      </c>
      <c r="D5378" s="2"/>
      <c r="E5378" s="31"/>
      <c r="G5378" s="43"/>
      <c r="H5378" s="2"/>
    </row>
    <row r="5379" spans="1:8">
      <c r="A5379" s="39">
        <v>3.35379700049761</v>
      </c>
      <c r="B5379" s="45">
        <v>8.4</v>
      </c>
      <c r="D5379" s="2"/>
      <c r="E5379" s="31"/>
      <c r="G5379" s="43"/>
      <c r="H5379" s="2"/>
    </row>
    <row r="5380" spans="1:8">
      <c r="A5380" s="39">
        <v>3.35371476624125</v>
      </c>
      <c r="B5380" s="45">
        <v>3</v>
      </c>
      <c r="D5380" s="2"/>
      <c r="E5380" s="31"/>
      <c r="G5380" s="43"/>
      <c r="H5380" s="2"/>
    </row>
    <row r="5381" spans="1:8">
      <c r="A5381" s="39">
        <v>3.3530414647423</v>
      </c>
      <c r="B5381" s="45">
        <v>17</v>
      </c>
      <c r="D5381" s="2"/>
      <c r="E5381" s="31"/>
      <c r="G5381" s="43"/>
      <c r="H5381" s="2"/>
    </row>
    <row r="5382" spans="1:8">
      <c r="A5382" s="39">
        <v>3.35263480059197</v>
      </c>
      <c r="B5382" s="45">
        <v>0.7</v>
      </c>
      <c r="D5382" s="2"/>
      <c r="E5382" s="31"/>
      <c r="G5382" s="43"/>
      <c r="H5382" s="2"/>
    </row>
    <row r="5383" spans="1:8">
      <c r="A5383" s="39">
        <v>3.35263480059197</v>
      </c>
      <c r="B5383" s="45">
        <v>12.7</v>
      </c>
      <c r="D5383" s="2"/>
      <c r="E5383" s="31"/>
      <c r="G5383" s="43"/>
      <c r="H5383" s="2"/>
    </row>
    <row r="5384" spans="1:8">
      <c r="A5384" s="39">
        <v>3.35223411320626</v>
      </c>
      <c r="B5384" s="45">
        <v>8.9</v>
      </c>
      <c r="D5384" s="2"/>
      <c r="E5384" s="31"/>
      <c r="G5384" s="43"/>
      <c r="H5384" s="2"/>
    </row>
    <row r="5385" spans="1:8">
      <c r="A5385" s="39">
        <v>3.35221490692255</v>
      </c>
      <c r="B5385" s="45">
        <v>2.5</v>
      </c>
      <c r="D5385" s="2"/>
      <c r="E5385" s="31"/>
      <c r="G5385" s="43"/>
      <c r="H5385" s="2"/>
    </row>
    <row r="5386" spans="1:8">
      <c r="A5386" s="39">
        <v>3.35214700286067</v>
      </c>
      <c r="B5386" s="45">
        <v>8.3</v>
      </c>
      <c r="D5386" s="2"/>
      <c r="E5386" s="31"/>
      <c r="G5386" s="43"/>
      <c r="H5386" s="2"/>
    </row>
    <row r="5387" spans="1:8">
      <c r="A5387" s="39">
        <v>3.35214700286067</v>
      </c>
      <c r="B5387" s="45">
        <v>0</v>
      </c>
      <c r="D5387" s="2"/>
      <c r="E5387" s="31"/>
      <c r="G5387" s="43"/>
      <c r="H5387" s="2"/>
    </row>
    <row r="5388" spans="1:8">
      <c r="A5388" s="39">
        <v>3.35214700286067</v>
      </c>
      <c r="B5388" s="45">
        <v>0</v>
      </c>
      <c r="D5388" s="2"/>
      <c r="E5388" s="31"/>
      <c r="G5388" s="43"/>
      <c r="H5388" s="2"/>
    </row>
    <row r="5389" spans="1:8">
      <c r="A5389" s="39">
        <v>3.35112986725479</v>
      </c>
      <c r="B5389" s="45">
        <v>8.3</v>
      </c>
      <c r="D5389" s="2"/>
      <c r="E5389" s="31"/>
      <c r="G5389" s="43"/>
      <c r="H5389" s="2"/>
    </row>
    <row r="5390" spans="1:8">
      <c r="A5390" s="39">
        <v>3.35102156024547</v>
      </c>
      <c r="B5390" s="45">
        <v>3.5</v>
      </c>
      <c r="D5390" s="2"/>
      <c r="E5390" s="31"/>
      <c r="G5390" s="43"/>
      <c r="H5390" s="2"/>
    </row>
    <row r="5391" spans="1:8">
      <c r="A5391" s="39">
        <v>3.35090485281665</v>
      </c>
      <c r="B5391" s="45">
        <v>8</v>
      </c>
      <c r="D5391" s="2"/>
      <c r="E5391" s="31"/>
      <c r="G5391" s="43"/>
      <c r="H5391" s="2"/>
    </row>
    <row r="5392" spans="1:8">
      <c r="A5392" s="39">
        <v>3.34905369099937</v>
      </c>
      <c r="B5392" s="45">
        <v>8.9</v>
      </c>
      <c r="D5392" s="2"/>
      <c r="E5392" s="31"/>
      <c r="G5392" s="43"/>
      <c r="H5392" s="2"/>
    </row>
    <row r="5393" spans="1:8">
      <c r="A5393" s="39">
        <v>3.34899213373472</v>
      </c>
      <c r="B5393" s="45">
        <v>2</v>
      </c>
      <c r="D5393" s="2"/>
      <c r="E5393" s="31"/>
      <c r="G5393" s="43"/>
      <c r="H5393" s="2"/>
    </row>
    <row r="5394" spans="1:8">
      <c r="A5394" s="39">
        <v>3.34899213373472</v>
      </c>
      <c r="B5394" s="45">
        <v>7.6</v>
      </c>
      <c r="D5394" s="2"/>
      <c r="E5394" s="31"/>
      <c r="G5394" s="43"/>
      <c r="H5394" s="2"/>
    </row>
    <row r="5395" spans="1:8">
      <c r="A5395" s="39">
        <v>3.34899213373472</v>
      </c>
      <c r="B5395" s="45">
        <v>4.4</v>
      </c>
      <c r="D5395" s="2"/>
      <c r="E5395" s="31"/>
      <c r="G5395" s="43"/>
      <c r="H5395" s="2"/>
    </row>
    <row r="5396" spans="1:8">
      <c r="A5396" s="39">
        <v>3.34899213373472</v>
      </c>
      <c r="B5396" s="45">
        <v>8.8</v>
      </c>
      <c r="D5396" s="2"/>
      <c r="E5396" s="31"/>
      <c r="G5396" s="43"/>
      <c r="H5396" s="2"/>
    </row>
    <row r="5397" spans="1:8">
      <c r="A5397" s="39">
        <v>3.34839201605605</v>
      </c>
      <c r="B5397" s="45">
        <v>9</v>
      </c>
      <c r="D5397" s="2"/>
      <c r="E5397" s="31"/>
      <c r="G5397" s="43"/>
      <c r="H5397" s="2"/>
    </row>
    <row r="5398" spans="1:8">
      <c r="A5398" s="39">
        <v>3.34712256656915</v>
      </c>
      <c r="B5398" s="45">
        <v>10.4</v>
      </c>
      <c r="D5398" s="2"/>
      <c r="E5398" s="31"/>
      <c r="G5398" s="43"/>
      <c r="H5398" s="2"/>
    </row>
    <row r="5399" spans="1:8">
      <c r="A5399" s="39">
        <v>3.34547258140677</v>
      </c>
      <c r="B5399" s="45">
        <v>2</v>
      </c>
      <c r="D5399" s="2"/>
      <c r="E5399" s="31"/>
      <c r="G5399" s="43"/>
      <c r="H5399" s="2"/>
    </row>
    <row r="5400" spans="1:8">
      <c r="A5400" s="39">
        <v>3.34547258140677</v>
      </c>
      <c r="B5400" s="45">
        <v>13.8</v>
      </c>
      <c r="D5400" s="2"/>
      <c r="E5400" s="31"/>
      <c r="G5400" s="43"/>
      <c r="H5400" s="2"/>
    </row>
    <row r="5401" spans="1:8">
      <c r="A5401" s="39">
        <v>3.34536725994055</v>
      </c>
      <c r="B5401" s="45">
        <v>2</v>
      </c>
      <c r="D5401" s="2"/>
      <c r="E5401" s="31"/>
      <c r="G5401" s="43"/>
      <c r="H5401" s="2"/>
    </row>
    <row r="5402" spans="1:8">
      <c r="A5402" s="39">
        <v>3.34495614075032</v>
      </c>
      <c r="B5402" s="45">
        <v>7</v>
      </c>
      <c r="D5402" s="2"/>
      <c r="E5402" s="31"/>
      <c r="G5402" s="43"/>
      <c r="H5402" s="2"/>
    </row>
    <row r="5403" spans="1:8">
      <c r="A5403" s="39">
        <v>3.34436905244057</v>
      </c>
      <c r="B5403" s="45">
        <v>5.9</v>
      </c>
      <c r="D5403" s="2"/>
      <c r="E5403" s="31"/>
      <c r="G5403" s="43"/>
      <c r="H5403" s="2"/>
    </row>
    <row r="5404" spans="1:8">
      <c r="A5404" s="39">
        <v>3.34371547240296</v>
      </c>
      <c r="B5404" s="45">
        <v>5.8</v>
      </c>
      <c r="D5404" s="2"/>
      <c r="E5404" s="31"/>
      <c r="G5404" s="43"/>
      <c r="H5404" s="2"/>
    </row>
    <row r="5405" spans="1:8">
      <c r="A5405" s="39">
        <v>3.34361524375708</v>
      </c>
      <c r="B5405" s="45">
        <v>5.7</v>
      </c>
      <c r="D5405" s="2"/>
      <c r="E5405" s="31"/>
      <c r="G5405" s="43"/>
      <c r="H5405" s="2"/>
    </row>
    <row r="5406" spans="1:8">
      <c r="A5406" s="39">
        <v>3.34360077645826</v>
      </c>
      <c r="B5406" s="45">
        <v>4.7</v>
      </c>
      <c r="D5406" s="2"/>
      <c r="E5406" s="31"/>
      <c r="G5406" s="43"/>
      <c r="H5406" s="2"/>
    </row>
    <row r="5407" spans="1:8">
      <c r="A5407" s="39">
        <v>3.34360077645826</v>
      </c>
      <c r="B5407" s="45">
        <v>8.2</v>
      </c>
      <c r="D5407" s="2"/>
      <c r="E5407" s="31"/>
      <c r="G5407" s="43"/>
      <c r="H5407" s="2"/>
    </row>
    <row r="5408" spans="1:8">
      <c r="A5408" s="39">
        <v>3.34315277961714</v>
      </c>
      <c r="B5408" s="45">
        <v>4</v>
      </c>
      <c r="D5408" s="2"/>
      <c r="E5408" s="31"/>
      <c r="G5408" s="43"/>
      <c r="H5408" s="2"/>
    </row>
    <row r="5409" spans="1:8">
      <c r="A5409" s="39">
        <v>3.34315277961714</v>
      </c>
      <c r="B5409" s="45">
        <v>0</v>
      </c>
      <c r="D5409" s="2"/>
      <c r="E5409" s="31"/>
      <c r="G5409" s="43"/>
      <c r="H5409" s="2"/>
    </row>
    <row r="5410" spans="1:8">
      <c r="A5410" s="39">
        <v>3.34306189236535</v>
      </c>
      <c r="B5410" s="45">
        <v>10</v>
      </c>
      <c r="D5410" s="2"/>
      <c r="E5410" s="31"/>
      <c r="G5410" s="43"/>
      <c r="H5410" s="2"/>
    </row>
    <row r="5411" spans="1:8">
      <c r="A5411" s="39">
        <v>3.34275770340909</v>
      </c>
      <c r="B5411" s="45">
        <v>13.4</v>
      </c>
      <c r="D5411" s="2"/>
      <c r="E5411" s="31"/>
      <c r="G5411" s="43"/>
      <c r="H5411" s="2"/>
    </row>
    <row r="5412" spans="1:8">
      <c r="A5412" s="39">
        <v>3.34262318129309</v>
      </c>
      <c r="B5412" s="45">
        <v>10.5</v>
      </c>
      <c r="D5412" s="2"/>
      <c r="E5412" s="31"/>
      <c r="G5412" s="43"/>
      <c r="H5412" s="2"/>
    </row>
    <row r="5413" spans="1:8">
      <c r="A5413" s="39">
        <v>3.34223185085889</v>
      </c>
      <c r="B5413" s="45">
        <v>9.7</v>
      </c>
      <c r="D5413" s="2"/>
      <c r="E5413" s="31"/>
      <c r="G5413" s="43"/>
      <c r="H5413" s="2"/>
    </row>
    <row r="5414" spans="1:8">
      <c r="A5414" s="39">
        <v>3.34175473229014</v>
      </c>
      <c r="B5414" s="45">
        <v>13</v>
      </c>
      <c r="D5414" s="2"/>
      <c r="E5414" s="31"/>
      <c r="G5414" s="43"/>
      <c r="H5414" s="2"/>
    </row>
    <row r="5415" spans="1:8">
      <c r="A5415" s="39">
        <v>3.34154738805921</v>
      </c>
      <c r="B5415" s="45">
        <v>16</v>
      </c>
      <c r="D5415" s="2"/>
      <c r="E5415" s="31"/>
      <c r="G5415" s="43"/>
      <c r="H5415" s="2"/>
    </row>
    <row r="5416" spans="1:8">
      <c r="A5416" s="39">
        <v>3.34131715452235</v>
      </c>
      <c r="B5416" s="45">
        <v>9.8</v>
      </c>
      <c r="D5416" s="2"/>
      <c r="E5416" s="31"/>
      <c r="G5416" s="43"/>
      <c r="H5416" s="2"/>
    </row>
    <row r="5417" spans="1:8">
      <c r="A5417" s="39">
        <v>3.34070437931986</v>
      </c>
      <c r="B5417" s="45">
        <v>10.7</v>
      </c>
      <c r="D5417" s="2"/>
      <c r="E5417" s="31"/>
      <c r="G5417" s="43"/>
      <c r="H5417" s="2"/>
    </row>
    <row r="5418" spans="1:8">
      <c r="A5418" s="39">
        <v>3.34045451264409</v>
      </c>
      <c r="B5418" s="45">
        <v>13</v>
      </c>
      <c r="D5418" s="2"/>
      <c r="E5418" s="31"/>
      <c r="G5418" s="43"/>
      <c r="H5418" s="2"/>
    </row>
    <row r="5419" spans="1:8">
      <c r="A5419" s="39">
        <v>3.34044757221492</v>
      </c>
      <c r="B5419" s="45">
        <v>4</v>
      </c>
      <c r="D5419" s="2"/>
      <c r="E5419" s="31"/>
      <c r="G5419" s="43"/>
      <c r="H5419" s="2"/>
    </row>
    <row r="5420" spans="1:8">
      <c r="A5420" s="39">
        <v>3.34024873626236</v>
      </c>
      <c r="B5420" s="45">
        <v>11.9</v>
      </c>
      <c r="D5420" s="2"/>
      <c r="E5420" s="31"/>
      <c r="G5420" s="43"/>
      <c r="H5420" s="2"/>
    </row>
    <row r="5421" spans="1:8">
      <c r="A5421" s="39">
        <v>3.33986156003116</v>
      </c>
      <c r="B5421" s="45">
        <v>6.8</v>
      </c>
      <c r="D5421" s="2"/>
      <c r="E5421" s="31"/>
      <c r="G5421" s="43"/>
      <c r="H5421" s="2"/>
    </row>
    <row r="5422" spans="1:8">
      <c r="A5422" s="39">
        <v>3.33984779463572</v>
      </c>
      <c r="B5422" s="45">
        <v>10</v>
      </c>
      <c r="D5422" s="2"/>
      <c r="E5422" s="31"/>
      <c r="G5422" s="43"/>
      <c r="H5422" s="2"/>
    </row>
    <row r="5423" spans="1:8">
      <c r="A5423" s="39">
        <v>3.33938240020893</v>
      </c>
      <c r="B5423" s="45">
        <v>4.6</v>
      </c>
      <c r="D5423" s="2"/>
      <c r="E5423" s="31"/>
      <c r="G5423" s="43"/>
      <c r="H5423" s="2"/>
    </row>
    <row r="5424" spans="1:8">
      <c r="A5424" s="39">
        <v>3.33929687800142</v>
      </c>
      <c r="B5424" s="45">
        <v>10.1</v>
      </c>
      <c r="D5424" s="2"/>
      <c r="E5424" s="31"/>
      <c r="G5424" s="43"/>
      <c r="H5424" s="2"/>
    </row>
    <row r="5425" spans="1:8">
      <c r="A5425" s="39">
        <v>3.33800761551634</v>
      </c>
      <c r="B5425" s="45">
        <v>3.8</v>
      </c>
      <c r="D5425" s="2"/>
      <c r="E5425" s="31"/>
      <c r="G5425" s="43"/>
      <c r="H5425" s="2"/>
    </row>
    <row r="5426" spans="1:8">
      <c r="A5426" s="39">
        <v>3.33800761551634</v>
      </c>
      <c r="B5426" s="45">
        <v>2.15</v>
      </c>
      <c r="D5426" s="2"/>
      <c r="E5426" s="31"/>
      <c r="G5426" s="43"/>
      <c r="H5426" s="2"/>
    </row>
    <row r="5427" spans="1:8">
      <c r="A5427" s="39">
        <v>3.33788937668298</v>
      </c>
      <c r="B5427" s="45">
        <v>16.2</v>
      </c>
      <c r="D5427" s="2"/>
      <c r="E5427" s="31"/>
      <c r="G5427" s="43"/>
      <c r="H5427" s="2"/>
    </row>
    <row r="5428" spans="1:8">
      <c r="A5428" s="39">
        <v>3.33775624567103</v>
      </c>
      <c r="B5428" s="45">
        <v>10</v>
      </c>
      <c r="D5428" s="2"/>
      <c r="E5428" s="31"/>
      <c r="G5428" s="43"/>
      <c r="H5428" s="2"/>
    </row>
    <row r="5429" spans="1:8">
      <c r="A5429" s="39">
        <v>3.33775624567103</v>
      </c>
      <c r="B5429" s="45">
        <v>13.4</v>
      </c>
      <c r="D5429" s="2"/>
      <c r="E5429" s="31"/>
      <c r="G5429" s="43"/>
      <c r="H5429" s="2"/>
    </row>
    <row r="5430" spans="1:8">
      <c r="A5430" s="39">
        <v>3.33767816829438</v>
      </c>
      <c r="B5430" s="45">
        <v>13.3</v>
      </c>
      <c r="D5430" s="2"/>
      <c r="E5430" s="31"/>
      <c r="G5430" s="43"/>
      <c r="H5430" s="2"/>
    </row>
    <row r="5431" spans="1:8">
      <c r="A5431" s="39">
        <v>3.33718562602375</v>
      </c>
      <c r="B5431" s="45">
        <v>10.3</v>
      </c>
      <c r="D5431" s="2"/>
      <c r="E5431" s="31"/>
      <c r="G5431" s="43"/>
      <c r="H5431" s="2"/>
    </row>
    <row r="5432" spans="1:8">
      <c r="A5432" s="39">
        <v>3.33685682334668</v>
      </c>
      <c r="B5432" s="45">
        <v>1.7</v>
      </c>
      <c r="D5432" s="2"/>
      <c r="E5432" s="31"/>
      <c r="G5432" s="43"/>
      <c r="H5432" s="2"/>
    </row>
    <row r="5433" spans="1:8">
      <c r="A5433" s="39">
        <v>3.335587561042</v>
      </c>
      <c r="B5433" s="45">
        <v>4.3</v>
      </c>
      <c r="D5433" s="2"/>
      <c r="E5433" s="31"/>
      <c r="G5433" s="43"/>
      <c r="H5433" s="2"/>
    </row>
    <row r="5434" spans="1:8">
      <c r="A5434" s="39">
        <v>3.334766979312</v>
      </c>
      <c r="B5434" s="45">
        <v>2</v>
      </c>
      <c r="D5434" s="2"/>
      <c r="E5434" s="31"/>
      <c r="G5434" s="43"/>
      <c r="H5434" s="2"/>
    </row>
    <row r="5435" spans="1:8">
      <c r="A5435" s="39">
        <v>3.33418902277186</v>
      </c>
      <c r="B5435" s="45">
        <v>11.2</v>
      </c>
      <c r="D5435" s="2"/>
      <c r="E5435" s="31"/>
      <c r="G5435" s="43"/>
      <c r="H5435" s="2"/>
    </row>
    <row r="5436" spans="1:8">
      <c r="A5436" s="39">
        <v>3.33415855637362</v>
      </c>
      <c r="B5436" s="45">
        <v>8.9</v>
      </c>
      <c r="D5436" s="2"/>
      <c r="E5436" s="31"/>
      <c r="G5436" s="43"/>
      <c r="H5436" s="2"/>
    </row>
    <row r="5437" spans="1:8">
      <c r="A5437" s="39">
        <v>3.33333383446299</v>
      </c>
      <c r="B5437" s="45">
        <v>12.6</v>
      </c>
      <c r="D5437" s="2"/>
      <c r="E5437" s="31"/>
      <c r="G5437" s="43"/>
      <c r="H5437" s="2"/>
    </row>
    <row r="5438" spans="1:8">
      <c r="A5438" s="39">
        <v>3.33331138482081</v>
      </c>
      <c r="B5438" s="45">
        <v>3</v>
      </c>
      <c r="D5438" s="2"/>
      <c r="E5438" s="31"/>
      <c r="G5438" s="43"/>
      <c r="H5438" s="2"/>
    </row>
    <row r="5439" spans="1:8">
      <c r="A5439" s="39">
        <v>3.33206975091645</v>
      </c>
      <c r="B5439" s="45">
        <v>10.5</v>
      </c>
      <c r="D5439" s="2"/>
      <c r="E5439" s="31"/>
      <c r="G5439" s="43"/>
      <c r="H5439" s="2"/>
    </row>
    <row r="5440" spans="1:8">
      <c r="A5440" s="39">
        <v>3.33195103172602</v>
      </c>
      <c r="B5440" s="45">
        <v>12.5</v>
      </c>
      <c r="D5440" s="2"/>
      <c r="E5440" s="31"/>
      <c r="G5440" s="43"/>
      <c r="H5440" s="2"/>
    </row>
    <row r="5441" spans="1:8">
      <c r="A5441" s="39">
        <v>3.33169461338831</v>
      </c>
      <c r="B5441" s="45">
        <v>3</v>
      </c>
      <c r="D5441" s="2"/>
      <c r="E5441" s="31"/>
      <c r="G5441" s="43"/>
      <c r="H5441" s="2"/>
    </row>
    <row r="5442" spans="1:8">
      <c r="A5442" s="39">
        <v>3.33149581677609</v>
      </c>
      <c r="B5442" s="45">
        <v>1</v>
      </c>
      <c r="D5442" s="2"/>
      <c r="E5442" s="31"/>
      <c r="G5442" s="43"/>
      <c r="H5442" s="2"/>
    </row>
    <row r="5443" spans="1:8">
      <c r="A5443" s="39">
        <v>3.3306438716508</v>
      </c>
      <c r="B5443" s="45">
        <v>11.6</v>
      </c>
      <c r="D5443" s="2"/>
      <c r="E5443" s="31"/>
      <c r="G5443" s="43"/>
      <c r="H5443" s="2"/>
    </row>
    <row r="5444" spans="1:8">
      <c r="A5444" s="39">
        <v>3.32999029161319</v>
      </c>
      <c r="B5444" s="45">
        <v>7.5</v>
      </c>
      <c r="D5444" s="2"/>
      <c r="E5444" s="31"/>
      <c r="G5444" s="43"/>
      <c r="H5444" s="2"/>
    </row>
    <row r="5445" spans="1:8">
      <c r="A5445" s="39">
        <v>3.32967239859284</v>
      </c>
      <c r="B5445" s="45">
        <v>2.25</v>
      </c>
      <c r="D5445" s="2"/>
      <c r="E5445" s="31"/>
      <c r="G5445" s="43"/>
      <c r="H5445" s="2"/>
    </row>
    <row r="5446" spans="1:8">
      <c r="A5446" s="39">
        <v>3.32925550281602</v>
      </c>
      <c r="B5446" s="45">
        <v>9.7</v>
      </c>
      <c r="D5446" s="2"/>
      <c r="E5446" s="31"/>
      <c r="G5446" s="43"/>
      <c r="H5446" s="2"/>
    </row>
    <row r="5447" spans="1:8">
      <c r="A5447" s="39">
        <v>3.32925550281602</v>
      </c>
      <c r="B5447" s="45">
        <v>9.6</v>
      </c>
      <c r="D5447" s="2"/>
      <c r="E5447" s="31"/>
      <c r="G5447" s="43"/>
      <c r="H5447" s="2"/>
    </row>
    <row r="5448" spans="1:8">
      <c r="A5448" s="39">
        <v>3.32868313153798</v>
      </c>
      <c r="B5448" s="45">
        <v>3.9</v>
      </c>
      <c r="D5448" s="2"/>
      <c r="E5448" s="31"/>
      <c r="G5448" s="43"/>
      <c r="H5448" s="2"/>
    </row>
    <row r="5449" spans="1:8">
      <c r="A5449" s="39">
        <v>3.32855194079091</v>
      </c>
      <c r="B5449" s="45">
        <v>4.1</v>
      </c>
      <c r="D5449" s="2"/>
      <c r="E5449" s="31"/>
      <c r="G5449" s="43"/>
      <c r="H5449" s="2"/>
    </row>
    <row r="5450" spans="1:8">
      <c r="A5450" s="39">
        <v>3.32812930928137</v>
      </c>
      <c r="B5450" s="45">
        <v>12.1</v>
      </c>
      <c r="D5450" s="2"/>
      <c r="E5450" s="31"/>
      <c r="G5450" s="43"/>
      <c r="H5450" s="2"/>
    </row>
    <row r="5451" spans="1:8">
      <c r="A5451" s="39">
        <v>3.32786260010316</v>
      </c>
      <c r="B5451" s="45">
        <v>7.5</v>
      </c>
      <c r="D5451" s="2"/>
      <c r="E5451" s="31"/>
      <c r="G5451" s="43"/>
      <c r="H5451" s="2"/>
    </row>
    <row r="5452" spans="1:8">
      <c r="A5452" s="39">
        <v>3.32785813206552</v>
      </c>
      <c r="B5452" s="45">
        <v>11.5</v>
      </c>
      <c r="D5452" s="2"/>
      <c r="E5452" s="31"/>
      <c r="G5452" s="43"/>
      <c r="H5452" s="2"/>
    </row>
    <row r="5453" spans="1:8">
      <c r="A5453" s="39">
        <v>3.32685081152525</v>
      </c>
      <c r="B5453" s="45">
        <v>11</v>
      </c>
      <c r="D5453" s="2"/>
      <c r="E5453" s="31"/>
      <c r="G5453" s="43"/>
      <c r="H5453" s="2"/>
    </row>
    <row r="5454" spans="1:8">
      <c r="A5454" s="39">
        <v>3.32678270628348</v>
      </c>
      <c r="B5454" s="45">
        <v>9.5</v>
      </c>
      <c r="D5454" s="2"/>
      <c r="E5454" s="31"/>
      <c r="G5454" s="43"/>
      <c r="H5454" s="2"/>
    </row>
    <row r="5455" spans="1:8">
      <c r="A5455" s="39">
        <v>3.32676120961046</v>
      </c>
      <c r="B5455" s="45">
        <v>5</v>
      </c>
      <c r="D5455" s="2"/>
      <c r="E5455" s="31"/>
      <c r="G5455" s="43"/>
      <c r="H5455" s="2"/>
    </row>
    <row r="5456" spans="1:8">
      <c r="A5456" s="39">
        <v>3.32662936613545</v>
      </c>
      <c r="B5456" s="45">
        <v>8.2</v>
      </c>
      <c r="D5456" s="2"/>
      <c r="E5456" s="31"/>
      <c r="G5456" s="43"/>
      <c r="H5456" s="2"/>
    </row>
    <row r="5457" spans="1:8">
      <c r="A5457" s="39">
        <v>3.32648920646615</v>
      </c>
      <c r="B5457" s="45">
        <v>11.8</v>
      </c>
      <c r="D5457" s="2"/>
      <c r="E5457" s="31"/>
      <c r="G5457" s="43"/>
      <c r="H5457" s="2"/>
    </row>
    <row r="5458" spans="1:8">
      <c r="A5458" s="39">
        <v>3.32610940478453</v>
      </c>
      <c r="B5458" s="45">
        <v>12.3</v>
      </c>
      <c r="D5458" s="2"/>
      <c r="E5458" s="31"/>
      <c r="G5458" s="43"/>
      <c r="H5458" s="2"/>
    </row>
    <row r="5459" spans="1:8">
      <c r="A5459" s="39">
        <v>3.32606375545445</v>
      </c>
      <c r="B5459" s="45">
        <v>6</v>
      </c>
      <c r="D5459" s="2"/>
      <c r="E5459" s="31"/>
      <c r="G5459" s="43"/>
      <c r="H5459" s="2"/>
    </row>
    <row r="5460" spans="1:8">
      <c r="A5460" s="39">
        <v>3.32573769269047</v>
      </c>
      <c r="B5460" s="45">
        <v>8.1</v>
      </c>
      <c r="D5460" s="2"/>
      <c r="E5460" s="31"/>
      <c r="G5460" s="43"/>
      <c r="H5460" s="2"/>
    </row>
    <row r="5461" spans="1:8">
      <c r="A5461" s="39">
        <v>3.3251643331301</v>
      </c>
      <c r="B5461" s="45">
        <v>7</v>
      </c>
      <c r="D5461" s="2"/>
      <c r="E5461" s="31"/>
      <c r="G5461" s="43"/>
      <c r="H5461" s="2"/>
    </row>
    <row r="5462" spans="1:8">
      <c r="A5462" s="39">
        <v>3.32503413066536</v>
      </c>
      <c r="B5462" s="45">
        <v>8.5</v>
      </c>
      <c r="D5462" s="2"/>
      <c r="E5462" s="31"/>
      <c r="G5462" s="43"/>
      <c r="H5462" s="2"/>
    </row>
    <row r="5463" spans="1:8">
      <c r="A5463" s="39">
        <v>3.32476165131233</v>
      </c>
      <c r="B5463" s="45">
        <v>10.4</v>
      </c>
      <c r="D5463" s="2"/>
      <c r="E5463" s="31"/>
      <c r="G5463" s="43"/>
      <c r="H5463" s="2"/>
    </row>
    <row r="5464" spans="1:8">
      <c r="A5464" s="39">
        <v>3.32426491080575</v>
      </c>
      <c r="B5464" s="45">
        <v>9</v>
      </c>
      <c r="D5464" s="2"/>
      <c r="E5464" s="31"/>
      <c r="G5464" s="43"/>
      <c r="H5464" s="2"/>
    </row>
    <row r="5465" spans="1:8">
      <c r="A5465" s="39">
        <v>3.32398592385117</v>
      </c>
      <c r="B5465" s="45">
        <v>9</v>
      </c>
      <c r="D5465" s="2"/>
      <c r="E5465" s="31"/>
      <c r="G5465" s="43"/>
      <c r="H5465" s="2"/>
    </row>
    <row r="5466" spans="1:8">
      <c r="A5466" s="39">
        <v>3.32384329638219</v>
      </c>
      <c r="B5466" s="45">
        <v>11.5</v>
      </c>
      <c r="D5466" s="2"/>
      <c r="E5466" s="31"/>
      <c r="G5466" s="43"/>
      <c r="H5466" s="2"/>
    </row>
    <row r="5467" spans="1:8">
      <c r="A5467" s="39">
        <v>3.32312222338249</v>
      </c>
      <c r="B5467" s="45">
        <v>0</v>
      </c>
      <c r="D5467" s="2"/>
      <c r="E5467" s="31"/>
      <c r="G5467" s="43"/>
      <c r="H5467" s="2"/>
    </row>
    <row r="5468" spans="1:8">
      <c r="A5468" s="39">
        <v>3.32312222338249</v>
      </c>
      <c r="B5468" s="45">
        <v>13</v>
      </c>
      <c r="D5468" s="2"/>
      <c r="E5468" s="31"/>
      <c r="G5468" s="43"/>
      <c r="H5468" s="2"/>
    </row>
    <row r="5469" spans="1:8">
      <c r="A5469" s="39">
        <v>3.32311061283934</v>
      </c>
      <c r="B5469" s="45">
        <v>10.2</v>
      </c>
      <c r="D5469" s="2"/>
      <c r="E5469" s="31"/>
      <c r="G5469" s="43"/>
      <c r="H5469" s="2"/>
    </row>
    <row r="5470" spans="1:8">
      <c r="A5470" s="39">
        <v>3.32306689246773</v>
      </c>
      <c r="B5470" s="45">
        <v>4.4</v>
      </c>
      <c r="D5470" s="2"/>
      <c r="E5470" s="31"/>
      <c r="G5470" s="43"/>
      <c r="H5470" s="2"/>
    </row>
    <row r="5471" spans="1:8">
      <c r="A5471" s="39">
        <v>3.32221988256493</v>
      </c>
      <c r="B5471" s="45">
        <v>9</v>
      </c>
      <c r="D5471" s="2"/>
      <c r="E5471" s="31"/>
      <c r="G5471" s="43"/>
      <c r="H5471" s="2"/>
    </row>
    <row r="5472" spans="1:8">
      <c r="A5472" s="39">
        <v>3.32166086480216</v>
      </c>
      <c r="B5472" s="45">
        <v>1.2</v>
      </c>
      <c r="D5472" s="2"/>
      <c r="E5472" s="31"/>
      <c r="G5472" s="43"/>
      <c r="H5472" s="2"/>
    </row>
    <row r="5473" spans="1:8">
      <c r="A5473" s="39">
        <v>3.32149375112429</v>
      </c>
      <c r="B5473" s="45">
        <v>8</v>
      </c>
      <c r="D5473" s="2"/>
      <c r="E5473" s="31"/>
      <c r="G5473" s="43"/>
      <c r="H5473" s="2"/>
    </row>
    <row r="5474" spans="1:8">
      <c r="A5474" s="39">
        <v>3.32149375112429</v>
      </c>
      <c r="B5474" s="45">
        <v>0</v>
      </c>
      <c r="D5474" s="2"/>
      <c r="E5474" s="31"/>
      <c r="G5474" s="43"/>
      <c r="H5474" s="2"/>
    </row>
    <row r="5475" spans="1:8">
      <c r="A5475" s="39">
        <v>3.32101350406867</v>
      </c>
      <c r="B5475" s="45">
        <v>6</v>
      </c>
      <c r="D5475" s="2"/>
      <c r="E5475" s="31"/>
      <c r="G5475" s="43"/>
      <c r="H5475" s="2"/>
    </row>
    <row r="5476" spans="1:8">
      <c r="A5476" s="39">
        <v>3.32084017108668</v>
      </c>
      <c r="B5476" s="45">
        <v>9.5</v>
      </c>
      <c r="D5476" s="2"/>
      <c r="E5476" s="31"/>
      <c r="G5476" s="43"/>
      <c r="H5476" s="2"/>
    </row>
    <row r="5477" spans="1:8">
      <c r="A5477" s="39">
        <v>3.32032904126899</v>
      </c>
      <c r="B5477" s="45">
        <v>6.3</v>
      </c>
      <c r="D5477" s="2"/>
      <c r="E5477" s="31"/>
      <c r="G5477" s="43"/>
      <c r="H5477" s="2"/>
    </row>
    <row r="5478" spans="1:8">
      <c r="A5478" s="39">
        <v>3.32029561020246</v>
      </c>
      <c r="B5478" s="45">
        <v>26</v>
      </c>
      <c r="D5478" s="2"/>
      <c r="E5478" s="31"/>
      <c r="G5478" s="43"/>
      <c r="H5478" s="2"/>
    </row>
    <row r="5479" spans="1:8">
      <c r="A5479" s="39">
        <v>3.32016293315737</v>
      </c>
      <c r="B5479" s="45">
        <v>1</v>
      </c>
      <c r="D5479" s="2"/>
      <c r="E5479" s="31"/>
      <c r="G5479" s="43"/>
      <c r="H5479" s="2"/>
    </row>
    <row r="5480" spans="1:8">
      <c r="A5480" s="39">
        <v>3.31976779918399</v>
      </c>
      <c r="B5480" s="45">
        <v>20</v>
      </c>
      <c r="D5480" s="2"/>
      <c r="E5480" s="31"/>
      <c r="G5480" s="43"/>
      <c r="H5480" s="2"/>
    </row>
    <row r="5481" spans="1:8">
      <c r="A5481" s="39">
        <v>3.31886837685963</v>
      </c>
      <c r="B5481" s="45">
        <v>7.5</v>
      </c>
      <c r="D5481" s="2"/>
      <c r="E5481" s="31"/>
      <c r="G5481" s="43"/>
      <c r="H5481" s="2"/>
    </row>
    <row r="5482" spans="1:8">
      <c r="A5482" s="39">
        <v>3.31875095602879</v>
      </c>
      <c r="B5482" s="45">
        <v>20.3</v>
      </c>
      <c r="D5482" s="2"/>
      <c r="E5482" s="31"/>
      <c r="G5482" s="43"/>
      <c r="H5482" s="2"/>
    </row>
    <row r="5483" spans="1:8">
      <c r="A5483" s="39">
        <v>3.3181843582248</v>
      </c>
      <c r="B5483" s="45">
        <v>9.2</v>
      </c>
      <c r="D5483" s="2"/>
      <c r="E5483" s="31"/>
      <c r="G5483" s="43"/>
      <c r="H5483" s="2"/>
    </row>
    <row r="5484" spans="1:8">
      <c r="A5484" s="39">
        <v>3.3180297867972</v>
      </c>
      <c r="B5484" s="45">
        <v>16</v>
      </c>
      <c r="D5484" s="2"/>
      <c r="E5484" s="31"/>
      <c r="G5484" s="43"/>
      <c r="H5484" s="2"/>
    </row>
    <row r="5485" spans="1:8">
      <c r="A5485" s="39">
        <v>3.31802347883545</v>
      </c>
      <c r="B5485" s="45">
        <v>1</v>
      </c>
      <c r="D5485" s="2"/>
      <c r="E5485" s="31"/>
      <c r="G5485" s="43"/>
      <c r="H5485" s="2"/>
    </row>
    <row r="5486" spans="1:8">
      <c r="A5486" s="39">
        <v>3.31799851041427</v>
      </c>
      <c r="B5486" s="45">
        <v>9.3</v>
      </c>
      <c r="D5486" s="2"/>
      <c r="E5486" s="31"/>
      <c r="G5486" s="43"/>
      <c r="H5486" s="2"/>
    </row>
    <row r="5487" spans="1:8">
      <c r="A5487" s="39">
        <v>3.31799851041427</v>
      </c>
      <c r="B5487" s="45">
        <v>13</v>
      </c>
      <c r="D5487" s="2"/>
      <c r="E5487" s="31"/>
      <c r="G5487" s="43"/>
      <c r="H5487" s="2"/>
    </row>
    <row r="5488" spans="1:8">
      <c r="A5488" s="39">
        <v>3.31729494838916</v>
      </c>
      <c r="B5488" s="45">
        <v>10.5</v>
      </c>
      <c r="D5488" s="2"/>
      <c r="E5488" s="31"/>
      <c r="G5488" s="43"/>
      <c r="H5488" s="2"/>
    </row>
    <row r="5489" spans="1:8">
      <c r="A5489" s="39">
        <v>3.31682370466597</v>
      </c>
      <c r="B5489" s="45">
        <v>5.6</v>
      </c>
      <c r="D5489" s="2"/>
      <c r="E5489" s="31"/>
      <c r="G5489" s="43"/>
      <c r="H5489" s="2"/>
    </row>
    <row r="5490" spans="1:8">
      <c r="A5490" s="39">
        <v>3.31535806639448</v>
      </c>
      <c r="B5490" s="45">
        <v>6</v>
      </c>
      <c r="D5490" s="2"/>
      <c r="E5490" s="31"/>
      <c r="G5490" s="43"/>
      <c r="H5490" s="2"/>
    </row>
    <row r="5491" spans="1:8">
      <c r="A5491" s="39">
        <v>3.31518426231384</v>
      </c>
      <c r="B5491" s="45">
        <v>10.1</v>
      </c>
      <c r="D5491" s="2"/>
      <c r="E5491" s="31"/>
      <c r="G5491" s="43"/>
      <c r="H5491" s="2"/>
    </row>
    <row r="5492" spans="1:8">
      <c r="A5492" s="39">
        <v>3.31518426231384</v>
      </c>
      <c r="B5492" s="45">
        <v>10.9</v>
      </c>
      <c r="D5492" s="2"/>
      <c r="E5492" s="31"/>
      <c r="G5492" s="43"/>
      <c r="H5492" s="2"/>
    </row>
    <row r="5493" spans="1:8">
      <c r="A5493" s="39">
        <v>3.31448070028873</v>
      </c>
      <c r="B5493" s="45">
        <v>9.8</v>
      </c>
      <c r="D5493" s="2"/>
      <c r="E5493" s="31"/>
      <c r="G5493" s="43"/>
      <c r="H5493" s="2"/>
    </row>
    <row r="5494" spans="1:8">
      <c r="A5494" s="39">
        <v>3.31416887607183</v>
      </c>
      <c r="B5494" s="45">
        <v>5</v>
      </c>
      <c r="D5494" s="2"/>
      <c r="E5494" s="31"/>
      <c r="G5494" s="43"/>
      <c r="H5494" s="2"/>
    </row>
    <row r="5495" spans="1:8">
      <c r="A5495" s="39">
        <v>3.31398997780354</v>
      </c>
      <c r="B5495" s="45">
        <v>4.3</v>
      </c>
      <c r="D5495" s="2"/>
      <c r="E5495" s="31"/>
      <c r="G5495" s="43"/>
      <c r="H5495" s="2"/>
    </row>
    <row r="5496" spans="1:8">
      <c r="A5496" s="39">
        <v>3.31398997780354</v>
      </c>
      <c r="B5496" s="45">
        <v>15.8</v>
      </c>
      <c r="D5496" s="2"/>
      <c r="E5496" s="31"/>
      <c r="G5496" s="43"/>
      <c r="H5496" s="2"/>
    </row>
    <row r="5497" spans="1:8">
      <c r="A5497" s="39">
        <v>3.31383161184326</v>
      </c>
      <c r="B5497" s="45">
        <v>8.6</v>
      </c>
      <c r="D5497" s="2"/>
      <c r="E5497" s="31"/>
      <c r="G5497" s="43"/>
      <c r="H5497" s="2"/>
    </row>
    <row r="5498" spans="1:8">
      <c r="A5498" s="39">
        <v>3.31265772916626</v>
      </c>
      <c r="B5498" s="45">
        <v>5.4</v>
      </c>
      <c r="D5498" s="2"/>
      <c r="E5498" s="31"/>
      <c r="G5498" s="43"/>
      <c r="H5498" s="2"/>
    </row>
    <row r="5499" spans="1:8">
      <c r="A5499" s="39">
        <v>3.31257242058917</v>
      </c>
      <c r="B5499" s="45">
        <v>7.7</v>
      </c>
      <c r="D5499" s="2"/>
      <c r="E5499" s="31"/>
      <c r="G5499" s="43"/>
      <c r="H5499" s="2"/>
    </row>
    <row r="5500" spans="1:8">
      <c r="A5500" s="39">
        <v>3.31166645218829</v>
      </c>
      <c r="B5500" s="45">
        <v>11.1</v>
      </c>
      <c r="D5500" s="2"/>
      <c r="E5500" s="31"/>
      <c r="G5500" s="43"/>
      <c r="H5500" s="2"/>
    </row>
    <row r="5501" spans="1:8">
      <c r="A5501" s="39">
        <v>3.31147746745299</v>
      </c>
      <c r="B5501" s="45">
        <v>3.7</v>
      </c>
      <c r="D5501" s="2"/>
      <c r="E5501" s="31"/>
      <c r="G5501" s="43"/>
      <c r="H5501" s="2"/>
    </row>
    <row r="5502" spans="1:8">
      <c r="A5502" s="39">
        <v>3.31103647052256</v>
      </c>
      <c r="B5502" s="45">
        <v>10.5</v>
      </c>
      <c r="D5502" s="2"/>
      <c r="E5502" s="31"/>
      <c r="G5502" s="43"/>
      <c r="H5502" s="2"/>
    </row>
    <row r="5503" spans="1:8">
      <c r="A5503" s="39">
        <v>3.31077357594046</v>
      </c>
      <c r="B5503" s="45">
        <v>9</v>
      </c>
      <c r="D5503" s="2"/>
      <c r="E5503" s="31"/>
      <c r="G5503" s="43"/>
      <c r="H5503" s="2"/>
    </row>
    <row r="5504" spans="1:8">
      <c r="A5504" s="39">
        <v>3.31074656207341</v>
      </c>
      <c r="B5504" s="45">
        <v>9.5</v>
      </c>
      <c r="D5504" s="2"/>
      <c r="E5504" s="31"/>
      <c r="G5504" s="43"/>
      <c r="H5504" s="2"/>
    </row>
    <row r="5505" spans="1:8">
      <c r="A5505" s="39">
        <v>3.31062347030882</v>
      </c>
      <c r="B5505" s="45">
        <v>9</v>
      </c>
      <c r="D5505" s="2"/>
      <c r="E5505" s="31"/>
      <c r="G5505" s="43"/>
      <c r="H5505" s="2"/>
    </row>
    <row r="5506" spans="1:8">
      <c r="A5506" s="39">
        <v>3.31044310097337</v>
      </c>
      <c r="B5506" s="45">
        <v>27</v>
      </c>
      <c r="D5506" s="2"/>
      <c r="E5506" s="31"/>
      <c r="G5506" s="43"/>
      <c r="H5506" s="2"/>
    </row>
    <row r="5507" spans="1:8">
      <c r="A5507" s="39">
        <v>3.30966148548077</v>
      </c>
      <c r="B5507" s="45">
        <v>18</v>
      </c>
      <c r="D5507" s="2"/>
      <c r="E5507" s="31"/>
      <c r="G5507" s="43"/>
      <c r="H5507" s="2"/>
    </row>
    <row r="5508" spans="1:8">
      <c r="A5508" s="39">
        <v>3.30903559965493</v>
      </c>
      <c r="B5508" s="45">
        <v>11.1</v>
      </c>
      <c r="D5508" s="2"/>
      <c r="E5508" s="31"/>
      <c r="G5508" s="43"/>
      <c r="H5508" s="2"/>
    </row>
    <row r="5509" spans="1:8">
      <c r="A5509" s="39">
        <v>3.30897473129176</v>
      </c>
      <c r="B5509" s="45">
        <v>10</v>
      </c>
      <c r="D5509" s="2"/>
      <c r="E5509" s="31"/>
      <c r="G5509" s="43"/>
      <c r="H5509" s="2"/>
    </row>
    <row r="5510" spans="1:8">
      <c r="A5510" s="39">
        <v>3.30856627847061</v>
      </c>
      <c r="B5510" s="45">
        <v>13.5</v>
      </c>
      <c r="D5510" s="2"/>
      <c r="E5510" s="31"/>
      <c r="G5510" s="43"/>
      <c r="H5510" s="2"/>
    </row>
    <row r="5511" spans="1:8">
      <c r="A5511" s="39">
        <v>3.30842215037213</v>
      </c>
      <c r="B5511" s="45">
        <v>6.5</v>
      </c>
      <c r="D5511" s="2"/>
      <c r="E5511" s="31"/>
      <c r="G5511" s="43"/>
      <c r="H5511" s="2"/>
    </row>
    <row r="5512" spans="1:8">
      <c r="A5512" s="39">
        <v>3.30744508003764</v>
      </c>
      <c r="B5512" s="45">
        <v>10</v>
      </c>
      <c r="D5512" s="2"/>
      <c r="E5512" s="31"/>
      <c r="G5512" s="43"/>
      <c r="H5512" s="2"/>
    </row>
    <row r="5513" spans="1:8">
      <c r="A5513" s="39">
        <v>3.30717588664306</v>
      </c>
      <c r="B5513" s="45">
        <v>1</v>
      </c>
      <c r="D5513" s="2"/>
      <c r="E5513" s="31"/>
      <c r="G5513" s="43"/>
      <c r="H5513" s="2"/>
    </row>
    <row r="5514" spans="1:8">
      <c r="A5514" s="39">
        <v>3.3062764643187</v>
      </c>
      <c r="B5514" s="45">
        <v>1</v>
      </c>
      <c r="D5514" s="2"/>
      <c r="E5514" s="31"/>
      <c r="G5514" s="43"/>
      <c r="H5514" s="2"/>
    </row>
    <row r="5515" spans="1:8">
      <c r="A5515" s="39">
        <v>3.30595532247562</v>
      </c>
      <c r="B5515" s="45">
        <v>11.6</v>
      </c>
      <c r="D5515" s="2"/>
      <c r="E5515" s="31"/>
      <c r="G5515" s="43"/>
      <c r="H5515" s="2"/>
    </row>
    <row r="5516" spans="1:8">
      <c r="A5516" s="39">
        <v>3.30595532247562</v>
      </c>
      <c r="B5516" s="45">
        <v>7.2</v>
      </c>
      <c r="D5516" s="2"/>
      <c r="E5516" s="31"/>
      <c r="G5516" s="43"/>
      <c r="H5516" s="2"/>
    </row>
    <row r="5517" spans="1:8">
      <c r="A5517" s="39">
        <v>3.30565636654862</v>
      </c>
      <c r="B5517" s="45">
        <v>6.5</v>
      </c>
      <c r="D5517" s="2"/>
      <c r="E5517" s="31"/>
      <c r="G5517" s="43"/>
      <c r="H5517" s="2"/>
    </row>
    <row r="5518" spans="1:8">
      <c r="A5518" s="39">
        <v>3.30515425018409</v>
      </c>
      <c r="B5518" s="45">
        <v>12.5</v>
      </c>
      <c r="D5518" s="2"/>
      <c r="E5518" s="31"/>
      <c r="G5518" s="43"/>
      <c r="H5518" s="2"/>
    </row>
    <row r="5519" spans="1:8">
      <c r="A5519" s="39">
        <v>3.30450067014648</v>
      </c>
      <c r="B5519" s="45">
        <v>19.2</v>
      </c>
      <c r="D5519" s="2"/>
      <c r="E5519" s="31"/>
      <c r="G5519" s="43"/>
      <c r="H5519" s="2"/>
    </row>
    <row r="5520" spans="1:8">
      <c r="A5520" s="39">
        <v>3.30390193407656</v>
      </c>
      <c r="B5520" s="45">
        <v>6.5</v>
      </c>
      <c r="D5520" s="2"/>
      <c r="E5520" s="31"/>
      <c r="G5520" s="43"/>
      <c r="H5520" s="2"/>
    </row>
    <row r="5521" spans="1:8">
      <c r="A5521" s="39">
        <v>3.30243600079929</v>
      </c>
      <c r="B5521" s="45">
        <v>4.8</v>
      </c>
      <c r="D5521" s="2"/>
      <c r="E5521" s="31"/>
      <c r="G5521" s="43"/>
      <c r="H5521" s="2"/>
    </row>
    <row r="5522" spans="1:8">
      <c r="A5522" s="39">
        <v>3.30199809306273</v>
      </c>
      <c r="B5522" s="45">
        <v>7.5</v>
      </c>
      <c r="D5522" s="2"/>
      <c r="E5522" s="31"/>
      <c r="G5522" s="43"/>
      <c r="H5522" s="2"/>
    </row>
    <row r="5523" spans="1:8">
      <c r="A5523" s="39">
        <v>3.30129434240351</v>
      </c>
      <c r="B5523" s="45">
        <v>24</v>
      </c>
      <c r="D5523" s="2"/>
      <c r="E5523" s="31"/>
      <c r="G5523" s="43"/>
      <c r="H5523" s="2"/>
    </row>
    <row r="5524" spans="1:8">
      <c r="A5524" s="39">
        <v>3.30123276995844</v>
      </c>
      <c r="B5524" s="45">
        <v>5.6</v>
      </c>
      <c r="D5524" s="2"/>
      <c r="E5524" s="31"/>
      <c r="G5524" s="43"/>
      <c r="H5524" s="2"/>
    </row>
    <row r="5525" spans="1:8">
      <c r="A5525" s="39">
        <v>3.30094346610581</v>
      </c>
      <c r="B5525" s="45">
        <v>1</v>
      </c>
      <c r="D5525" s="2"/>
      <c r="E5525" s="31"/>
      <c r="G5525" s="43"/>
      <c r="H5525" s="2"/>
    </row>
    <row r="5526" spans="1:8">
      <c r="A5526" s="39">
        <v>3.30087993037259</v>
      </c>
      <c r="B5526" s="45">
        <v>7.5</v>
      </c>
      <c r="D5526" s="2"/>
      <c r="E5526" s="31"/>
      <c r="G5526" s="43"/>
      <c r="H5526" s="2"/>
    </row>
    <row r="5527" spans="1:8">
      <c r="A5527" s="39">
        <v>3.30057918992083</v>
      </c>
      <c r="B5527" s="45">
        <v>9.1</v>
      </c>
      <c r="D5527" s="2"/>
      <c r="E5527" s="31"/>
      <c r="G5527" s="43"/>
      <c r="H5527" s="2"/>
    </row>
    <row r="5528" spans="1:8">
      <c r="A5528" s="39">
        <v>3.30052394782465</v>
      </c>
      <c r="B5528" s="45">
        <v>17</v>
      </c>
      <c r="D5528" s="2"/>
      <c r="E5528" s="31"/>
      <c r="G5528" s="43"/>
      <c r="H5528" s="2"/>
    </row>
    <row r="5529" spans="1:8">
      <c r="A5529" s="39">
        <v>3.30047962007814</v>
      </c>
      <c r="B5529" s="45">
        <v>7</v>
      </c>
      <c r="D5529" s="2"/>
      <c r="E5529" s="31"/>
      <c r="G5529" s="43"/>
      <c r="H5529" s="2"/>
    </row>
    <row r="5530" spans="1:8">
      <c r="A5530" s="39">
        <v>3.30040945978655</v>
      </c>
      <c r="B5530" s="45">
        <v>20</v>
      </c>
      <c r="D5530" s="2"/>
      <c r="E5530" s="31"/>
      <c r="G5530" s="43"/>
      <c r="H5530" s="2"/>
    </row>
    <row r="5531" spans="1:8">
      <c r="A5531" s="39">
        <v>3.29985064632571</v>
      </c>
      <c r="B5531" s="45">
        <v>9.5</v>
      </c>
      <c r="D5531" s="2"/>
      <c r="E5531" s="31"/>
      <c r="G5531" s="43"/>
      <c r="H5531" s="2"/>
    </row>
    <row r="5532" spans="1:8">
      <c r="A5532" s="39">
        <v>3.29911069447877</v>
      </c>
      <c r="B5532" s="45">
        <v>11.2</v>
      </c>
      <c r="D5532" s="2"/>
      <c r="E5532" s="31"/>
      <c r="G5532" s="43"/>
      <c r="H5532" s="2"/>
    </row>
    <row r="5533" spans="1:8">
      <c r="A5533" s="39">
        <v>3.29847933976663</v>
      </c>
      <c r="B5533" s="45">
        <v>2</v>
      </c>
      <c r="D5533" s="2"/>
      <c r="E5533" s="31"/>
      <c r="G5533" s="43"/>
      <c r="H5533" s="2"/>
    </row>
    <row r="5534" spans="1:8">
      <c r="A5534" s="39">
        <v>3.29818166339953</v>
      </c>
      <c r="B5534" s="45">
        <v>0</v>
      </c>
      <c r="D5534" s="2"/>
      <c r="E5534" s="31"/>
      <c r="G5534" s="43"/>
      <c r="H5534" s="2"/>
    </row>
    <row r="5535" spans="1:8">
      <c r="A5535" s="39">
        <v>3.29712070204847</v>
      </c>
      <c r="B5535" s="45">
        <v>5.7</v>
      </c>
      <c r="D5535" s="2"/>
      <c r="E5535" s="31"/>
      <c r="G5535" s="43"/>
      <c r="H5535" s="2"/>
    </row>
    <row r="5536" spans="1:8">
      <c r="A5536" s="39">
        <v>3.2970995726955</v>
      </c>
      <c r="B5536" s="45">
        <v>6</v>
      </c>
      <c r="D5536" s="2"/>
      <c r="E5536" s="31"/>
      <c r="G5536" s="43"/>
      <c r="H5536" s="2"/>
    </row>
    <row r="5537" spans="1:8">
      <c r="A5537" s="39">
        <v>3.29692152254111</v>
      </c>
      <c r="B5537" s="45">
        <v>15</v>
      </c>
      <c r="D5537" s="2"/>
      <c r="E5537" s="31"/>
      <c r="G5537" s="43"/>
      <c r="H5537" s="2"/>
    </row>
    <row r="5538" spans="1:8">
      <c r="A5538" s="39">
        <v>3.29619916303517</v>
      </c>
      <c r="B5538" s="45">
        <v>3.2</v>
      </c>
      <c r="D5538" s="2"/>
      <c r="E5538" s="31"/>
      <c r="G5538" s="43"/>
      <c r="H5538" s="2"/>
    </row>
    <row r="5539" spans="1:8">
      <c r="A5539" s="39">
        <v>3.29619916303517</v>
      </c>
      <c r="B5539" s="45">
        <v>7.6</v>
      </c>
      <c r="D5539" s="2"/>
      <c r="E5539" s="31"/>
      <c r="G5539" s="43"/>
      <c r="H5539" s="2"/>
    </row>
    <row r="5540" spans="1:8">
      <c r="A5540" s="39">
        <v>3.29619916303517</v>
      </c>
      <c r="B5540" s="45">
        <v>8.4</v>
      </c>
      <c r="D5540" s="2"/>
      <c r="E5540" s="31"/>
      <c r="G5540" s="43"/>
      <c r="H5540" s="2"/>
    </row>
    <row r="5541" spans="1:8">
      <c r="A5541" s="39">
        <v>3.29613859934292</v>
      </c>
      <c r="B5541" s="45">
        <v>8.9</v>
      </c>
      <c r="D5541" s="2"/>
      <c r="E5541" s="31"/>
      <c r="G5541" s="43"/>
      <c r="H5541" s="2"/>
    </row>
    <row r="5542" spans="1:8">
      <c r="A5542" s="39">
        <v>3.29533704711037</v>
      </c>
      <c r="B5542" s="45">
        <v>9.5</v>
      </c>
      <c r="D5542" s="2"/>
      <c r="E5542" s="31"/>
      <c r="G5542" s="43"/>
      <c r="H5542" s="2"/>
    </row>
    <row r="5543" spans="1:8">
      <c r="A5543" s="39">
        <v>3.29517762599034</v>
      </c>
      <c r="B5543" s="45">
        <v>7.8</v>
      </c>
      <c r="D5543" s="2"/>
      <c r="E5543" s="31"/>
      <c r="G5543" s="43"/>
      <c r="H5543" s="2"/>
    </row>
    <row r="5544" spans="1:8">
      <c r="A5544" s="39">
        <v>3.29474420864848</v>
      </c>
      <c r="B5544" s="45">
        <v>12</v>
      </c>
      <c r="D5544" s="2"/>
      <c r="E5544" s="31"/>
      <c r="G5544" s="43"/>
      <c r="H5544" s="2"/>
    </row>
    <row r="5545" spans="1:8">
      <c r="A5545" s="39">
        <v>3.29431945488098</v>
      </c>
      <c r="B5545" s="45">
        <v>0</v>
      </c>
      <c r="D5545" s="2"/>
      <c r="E5545" s="31"/>
      <c r="G5545" s="43"/>
      <c r="H5545" s="2"/>
    </row>
    <row r="5546" spans="1:8">
      <c r="A5546" s="39">
        <v>3.29407740156056</v>
      </c>
      <c r="B5546" s="45">
        <v>6.8</v>
      </c>
      <c r="D5546" s="2"/>
      <c r="E5546" s="31"/>
      <c r="G5546" s="43"/>
      <c r="H5546" s="2"/>
    </row>
    <row r="5547" spans="1:8">
      <c r="A5547" s="39">
        <v>3.29407740156056</v>
      </c>
      <c r="B5547" s="45">
        <v>9</v>
      </c>
      <c r="D5547" s="2"/>
      <c r="E5547" s="31"/>
      <c r="G5547" s="43"/>
      <c r="H5547" s="2"/>
    </row>
    <row r="5548" spans="1:8">
      <c r="A5548" s="39">
        <v>3.29401033355873</v>
      </c>
      <c r="B5548" s="45">
        <v>11</v>
      </c>
      <c r="D5548" s="2"/>
      <c r="E5548" s="31"/>
      <c r="G5548" s="43"/>
      <c r="H5548" s="2"/>
    </row>
    <row r="5549" spans="1:8">
      <c r="A5549" s="39">
        <v>3.29401033355873</v>
      </c>
      <c r="B5549" s="45">
        <v>12.7</v>
      </c>
      <c r="D5549" s="2"/>
      <c r="E5549" s="31"/>
      <c r="G5549" s="43"/>
      <c r="H5549" s="2"/>
    </row>
    <row r="5550" spans="1:8">
      <c r="A5550" s="39">
        <v>3.29379093283521</v>
      </c>
      <c r="B5550" s="45">
        <v>11.9</v>
      </c>
      <c r="D5550" s="2"/>
      <c r="E5550" s="31"/>
      <c r="G5550" s="43"/>
      <c r="H5550" s="2"/>
    </row>
    <row r="5551" spans="1:8">
      <c r="A5551" s="39">
        <v>3.29379093283521</v>
      </c>
      <c r="B5551" s="45">
        <v>2.3</v>
      </c>
      <c r="D5551" s="2"/>
      <c r="E5551" s="31"/>
      <c r="G5551" s="43"/>
      <c r="H5551" s="2"/>
    </row>
    <row r="5552" spans="1:8">
      <c r="A5552" s="39">
        <v>3.29328253631314</v>
      </c>
      <c r="B5552" s="45">
        <v>16</v>
      </c>
      <c r="D5552" s="2"/>
      <c r="E5552" s="31"/>
      <c r="G5552" s="43"/>
      <c r="H5552" s="2"/>
    </row>
    <row r="5553" spans="1:8">
      <c r="A5553" s="39">
        <v>3.29311763133627</v>
      </c>
      <c r="B5553" s="45">
        <v>15.9</v>
      </c>
      <c r="D5553" s="2"/>
      <c r="E5553" s="31"/>
      <c r="G5553" s="43"/>
      <c r="H5553" s="2"/>
    </row>
    <row r="5554" spans="1:8">
      <c r="A5554" s="39">
        <v>3.29226606648193</v>
      </c>
      <c r="B5554" s="45">
        <v>10.5</v>
      </c>
      <c r="D5554" s="2"/>
      <c r="E5554" s="31"/>
      <c r="G5554" s="43"/>
      <c r="H5554" s="2"/>
    </row>
    <row r="5555" spans="1:8">
      <c r="A5555" s="39">
        <v>3.29109914457636</v>
      </c>
      <c r="B5555" s="45">
        <v>11.4</v>
      </c>
      <c r="D5555" s="2"/>
      <c r="E5555" s="31"/>
      <c r="G5555" s="43"/>
      <c r="H5555" s="2"/>
    </row>
    <row r="5556" spans="1:8">
      <c r="A5556" s="39">
        <v>3.29021267808288</v>
      </c>
      <c r="B5556" s="45">
        <v>17.5</v>
      </c>
      <c r="D5556" s="2"/>
      <c r="E5556" s="31"/>
      <c r="G5556" s="43"/>
      <c r="H5556" s="2"/>
    </row>
    <row r="5557" spans="1:8">
      <c r="A5557" s="39">
        <v>3.2889433193549</v>
      </c>
      <c r="B5557" s="45">
        <v>8.2</v>
      </c>
      <c r="D5557" s="2"/>
      <c r="E5557" s="31"/>
      <c r="G5557" s="43"/>
      <c r="H5557" s="2"/>
    </row>
    <row r="5558" spans="1:8">
      <c r="A5558" s="39">
        <v>3.28892439110174</v>
      </c>
      <c r="B5558" s="45">
        <v>13.2</v>
      </c>
      <c r="D5558" s="2"/>
      <c r="E5558" s="31"/>
      <c r="G5558" s="43"/>
      <c r="H5558" s="2"/>
    </row>
    <row r="5559" spans="1:8">
      <c r="A5559" s="39">
        <v>3.28817482792517</v>
      </c>
      <c r="B5559" s="45">
        <v>8</v>
      </c>
      <c r="D5559" s="2"/>
      <c r="E5559" s="31"/>
      <c r="G5559" s="43"/>
      <c r="H5559" s="2"/>
    </row>
    <row r="5560" spans="1:8">
      <c r="A5560" s="39">
        <v>3.28816116920627</v>
      </c>
      <c r="B5560" s="45">
        <v>6.7</v>
      </c>
      <c r="D5560" s="2"/>
      <c r="E5560" s="31"/>
      <c r="G5560" s="43"/>
      <c r="H5560" s="2"/>
    </row>
    <row r="5561" spans="1:8">
      <c r="A5561" s="39">
        <v>3.28750758916867</v>
      </c>
      <c r="B5561" s="45">
        <v>9</v>
      </c>
      <c r="D5561" s="2"/>
      <c r="E5561" s="31"/>
      <c r="G5561" s="43"/>
      <c r="H5561" s="2"/>
    </row>
    <row r="5562" spans="1:8">
      <c r="A5562" s="39">
        <v>3.28746015834839</v>
      </c>
      <c r="B5562" s="45">
        <v>21</v>
      </c>
      <c r="D5562" s="2"/>
      <c r="E5562" s="31"/>
      <c r="G5562" s="43"/>
      <c r="H5562" s="2"/>
    </row>
    <row r="5563" spans="1:8">
      <c r="A5563" s="39">
        <v>3.2872193292191</v>
      </c>
      <c r="B5563" s="45">
        <v>28.5</v>
      </c>
      <c r="D5563" s="2"/>
      <c r="E5563" s="31"/>
      <c r="G5563" s="43"/>
      <c r="H5563" s="2"/>
    </row>
    <row r="5564" spans="1:8">
      <c r="A5564" s="39">
        <v>3.28704178130947</v>
      </c>
      <c r="B5564" s="45">
        <v>0</v>
      </c>
      <c r="D5564" s="2"/>
      <c r="E5564" s="31"/>
      <c r="G5564" s="43"/>
      <c r="H5564" s="2"/>
    </row>
    <row r="5565" spans="1:8">
      <c r="A5565" s="39">
        <v>3.28679036408446</v>
      </c>
      <c r="B5565" s="45">
        <v>11.5</v>
      </c>
      <c r="D5565" s="2"/>
      <c r="E5565" s="31"/>
      <c r="G5565" s="43"/>
      <c r="H5565" s="2"/>
    </row>
    <row r="5566" spans="1:8">
      <c r="A5566" s="39">
        <v>3.28638461634682</v>
      </c>
      <c r="B5566" s="45">
        <v>9.5</v>
      </c>
      <c r="D5566" s="2"/>
      <c r="E5566" s="31"/>
      <c r="G5566" s="43"/>
      <c r="H5566" s="2"/>
    </row>
    <row r="5567" spans="1:8">
      <c r="A5567" s="39">
        <v>3.28633821928436</v>
      </c>
      <c r="B5567" s="45">
        <v>6.6</v>
      </c>
      <c r="D5567" s="2"/>
      <c r="E5567" s="31"/>
      <c r="G5567" s="43"/>
      <c r="H5567" s="2"/>
    </row>
    <row r="5568" spans="1:8">
      <c r="A5568" s="39">
        <v>3.28581182790066</v>
      </c>
      <c r="B5568" s="45">
        <v>26</v>
      </c>
      <c r="D5568" s="2"/>
      <c r="E5568" s="31"/>
      <c r="G5568" s="43"/>
      <c r="H5568" s="2"/>
    </row>
    <row r="5569" spans="1:8">
      <c r="A5569" s="39">
        <v>3.28556789246456</v>
      </c>
      <c r="B5569" s="45">
        <v>7.8</v>
      </c>
      <c r="D5569" s="2"/>
      <c r="E5569" s="31"/>
      <c r="G5569" s="43"/>
      <c r="H5569" s="2"/>
    </row>
    <row r="5570" spans="1:8">
      <c r="A5570" s="39">
        <v>3.28530994025109</v>
      </c>
      <c r="B5570" s="45">
        <v>11</v>
      </c>
      <c r="D5570" s="2"/>
      <c r="E5570" s="31"/>
      <c r="G5570" s="43"/>
      <c r="H5570" s="2"/>
    </row>
    <row r="5571" spans="1:8">
      <c r="A5571" s="39">
        <v>3.28514003969643</v>
      </c>
      <c r="B5571" s="45">
        <v>9.1</v>
      </c>
      <c r="D5571" s="2"/>
      <c r="E5571" s="31"/>
      <c r="G5571" s="43"/>
      <c r="H5571" s="2"/>
    </row>
    <row r="5572" spans="1:8">
      <c r="A5572" s="39">
        <v>3.28469032853425</v>
      </c>
      <c r="B5572" s="45">
        <v>12</v>
      </c>
      <c r="D5572" s="2"/>
      <c r="E5572" s="31"/>
      <c r="G5572" s="43"/>
      <c r="H5572" s="2"/>
    </row>
    <row r="5573" spans="1:8">
      <c r="A5573" s="39">
        <v>3.28455952794169</v>
      </c>
      <c r="B5573" s="45">
        <v>14</v>
      </c>
      <c r="D5573" s="2"/>
      <c r="E5573" s="31"/>
      <c r="G5573" s="43"/>
      <c r="H5573" s="2"/>
    </row>
    <row r="5574" spans="1:8">
      <c r="A5574" s="39">
        <v>3.28387749641405</v>
      </c>
      <c r="B5574" s="45">
        <v>11.3</v>
      </c>
      <c r="D5574" s="2"/>
      <c r="E5574" s="31"/>
      <c r="G5574" s="43"/>
      <c r="H5574" s="2"/>
    </row>
    <row r="5575" spans="1:8">
      <c r="A5575" s="39">
        <v>3.28382117212041</v>
      </c>
      <c r="B5575" s="45">
        <v>2</v>
      </c>
      <c r="D5575" s="2"/>
      <c r="E5575" s="31"/>
      <c r="G5575" s="43"/>
      <c r="H5575" s="2"/>
    </row>
    <row r="5576" spans="1:8">
      <c r="A5576" s="39">
        <v>3.2837909062099</v>
      </c>
      <c r="B5576" s="45">
        <v>7.8</v>
      </c>
      <c r="D5576" s="2"/>
      <c r="E5576" s="31"/>
      <c r="G5576" s="43"/>
      <c r="H5576" s="2"/>
    </row>
    <row r="5577" spans="1:8">
      <c r="A5577" s="39">
        <v>3.28369141035105</v>
      </c>
      <c r="B5577" s="45">
        <v>11.7</v>
      </c>
      <c r="D5577" s="2"/>
      <c r="E5577" s="31"/>
      <c r="G5577" s="43"/>
      <c r="H5577" s="2"/>
    </row>
    <row r="5578" spans="1:8">
      <c r="A5578" s="39">
        <v>3.28293252890541</v>
      </c>
      <c r="B5578" s="45">
        <v>11.2</v>
      </c>
      <c r="D5578" s="2"/>
      <c r="E5578" s="31"/>
      <c r="G5578" s="43"/>
      <c r="H5578" s="2"/>
    </row>
    <row r="5579" spans="1:8">
      <c r="A5579" s="39">
        <v>3.28282040915882</v>
      </c>
      <c r="B5579" s="45">
        <v>7.5</v>
      </c>
      <c r="D5579" s="2"/>
      <c r="E5579" s="31"/>
      <c r="G5579" s="43"/>
      <c r="H5579" s="2"/>
    </row>
    <row r="5580" spans="1:8">
      <c r="A5580" s="39">
        <v>3.2822789488678</v>
      </c>
      <c r="B5580" s="45">
        <v>8.5</v>
      </c>
      <c r="D5580" s="2"/>
      <c r="E5580" s="31"/>
      <c r="G5580" s="43"/>
      <c r="H5580" s="2"/>
    </row>
    <row r="5581" spans="1:8">
      <c r="A5581" s="39">
        <v>3.28199206156119</v>
      </c>
      <c r="B5581" s="45">
        <v>13</v>
      </c>
      <c r="D5581" s="44"/>
      <c r="E5581" s="31"/>
      <c r="G5581" s="43"/>
      <c r="H5581" s="2"/>
    </row>
    <row r="5582" spans="1:8">
      <c r="A5582" s="39">
        <v>3.28172399905425</v>
      </c>
      <c r="B5582" s="45">
        <v>5.8</v>
      </c>
      <c r="D5582" s="2"/>
      <c r="E5582" s="31"/>
      <c r="G5582" s="43"/>
      <c r="H5582" s="2"/>
    </row>
    <row r="5583" spans="1:8">
      <c r="A5583" s="39">
        <v>3.28164961916832</v>
      </c>
      <c r="B5583" s="45">
        <v>0.4</v>
      </c>
      <c r="D5583" s="2"/>
      <c r="E5583" s="31"/>
      <c r="G5583" s="43"/>
      <c r="H5583" s="2"/>
    </row>
    <row r="5584" spans="1:8">
      <c r="A5584" s="39">
        <v>3.28164961916832</v>
      </c>
      <c r="B5584" s="45">
        <v>12.5</v>
      </c>
      <c r="D5584" s="2"/>
      <c r="E5584" s="31"/>
      <c r="G5584" s="43"/>
      <c r="H5584" s="2"/>
    </row>
    <row r="5585" spans="1:8">
      <c r="A5585" s="39">
        <v>3.28164961916832</v>
      </c>
      <c r="B5585" s="45">
        <v>17</v>
      </c>
      <c r="D5585" s="2"/>
      <c r="E5585" s="31"/>
      <c r="G5585" s="43"/>
      <c r="H5585" s="2"/>
    </row>
    <row r="5586" spans="1:8">
      <c r="A5586" s="39">
        <v>3.28101260873997</v>
      </c>
      <c r="B5586" s="45">
        <v>13.5</v>
      </c>
      <c r="D5586" s="2"/>
      <c r="E5586" s="31"/>
      <c r="G5586" s="43"/>
      <c r="H5586" s="2"/>
    </row>
    <row r="5587" spans="1:8">
      <c r="A5587" s="39">
        <v>3.28019321691249</v>
      </c>
      <c r="B5587" s="45">
        <v>5.8</v>
      </c>
      <c r="D5587" s="2"/>
      <c r="E5587" s="31"/>
      <c r="G5587" s="43"/>
      <c r="H5587" s="2"/>
    </row>
    <row r="5588" spans="1:8">
      <c r="A5588" s="39">
        <v>3.28000616105838</v>
      </c>
      <c r="B5588" s="45">
        <v>10.3</v>
      </c>
      <c r="D5588" s="2"/>
      <c r="E5588" s="31"/>
      <c r="G5588" s="43"/>
      <c r="H5588" s="2"/>
    </row>
    <row r="5589" spans="1:8">
      <c r="A5589" s="39">
        <v>3.27994573608761</v>
      </c>
      <c r="B5589" s="45">
        <v>17.2</v>
      </c>
      <c r="D5589" s="2"/>
      <c r="E5589" s="31"/>
      <c r="G5589" s="43"/>
      <c r="H5589" s="2"/>
    </row>
    <row r="5590" spans="1:8">
      <c r="A5590" s="39">
        <v>3.27945438864685</v>
      </c>
      <c r="B5590" s="45">
        <v>7.4</v>
      </c>
      <c r="D5590" s="2"/>
      <c r="E5590" s="31"/>
      <c r="G5590" s="43"/>
      <c r="H5590" s="2"/>
    </row>
    <row r="5591" spans="1:8">
      <c r="A5591" s="39">
        <v>3.27945438864685</v>
      </c>
      <c r="B5591" s="45">
        <v>15</v>
      </c>
      <c r="D5591" s="2"/>
      <c r="E5591" s="31"/>
      <c r="G5591" s="43"/>
      <c r="H5591" s="2"/>
    </row>
    <row r="5592" spans="1:8">
      <c r="A5592" s="39">
        <v>3.27930259903327</v>
      </c>
      <c r="B5592" s="45">
        <v>18</v>
      </c>
      <c r="D5592" s="2"/>
      <c r="E5592" s="31"/>
      <c r="G5592" s="43"/>
      <c r="H5592" s="2"/>
    </row>
    <row r="5593" spans="1:8">
      <c r="A5593" s="39">
        <v>3.27929379458814</v>
      </c>
      <c r="B5593" s="45">
        <v>5.1</v>
      </c>
      <c r="D5593" s="2"/>
      <c r="E5593" s="31"/>
      <c r="G5593" s="43"/>
      <c r="H5593" s="2"/>
    </row>
    <row r="5594" spans="1:8">
      <c r="A5594" s="39">
        <v>3.27926127328793</v>
      </c>
      <c r="B5594" s="45">
        <v>7.2</v>
      </c>
      <c r="D5594" s="2"/>
      <c r="E5594" s="31"/>
      <c r="G5594" s="43"/>
      <c r="H5594" s="2"/>
    </row>
    <row r="5595" spans="1:8">
      <c r="A5595" s="39">
        <v>3.27839437226378</v>
      </c>
      <c r="B5595" s="45">
        <v>11</v>
      </c>
      <c r="D5595" s="2"/>
      <c r="E5595" s="31"/>
      <c r="G5595" s="43"/>
      <c r="H5595" s="2"/>
    </row>
    <row r="5596" spans="1:8">
      <c r="A5596" s="39">
        <v>3.27836059232023</v>
      </c>
      <c r="B5596" s="45">
        <v>7.6</v>
      </c>
      <c r="D5596" s="2"/>
      <c r="E5596" s="31"/>
      <c r="G5596" s="43"/>
      <c r="H5596" s="2"/>
    </row>
    <row r="5597" spans="1:8">
      <c r="A5597" s="39">
        <v>3.27814772106589</v>
      </c>
      <c r="B5597" s="45">
        <v>5.5</v>
      </c>
      <c r="D5597" s="2"/>
      <c r="E5597" s="31"/>
      <c r="G5597" s="43"/>
      <c r="H5597" s="2"/>
    </row>
    <row r="5598" spans="1:8">
      <c r="A5598" s="39">
        <v>3.2780122332016</v>
      </c>
      <c r="B5598" s="45">
        <v>3.6</v>
      </c>
      <c r="D5598" s="2"/>
      <c r="E5598" s="31"/>
      <c r="G5598" s="43"/>
      <c r="H5598" s="2"/>
    </row>
    <row r="5599" spans="1:8">
      <c r="A5599" s="39">
        <v>3.27788010564394</v>
      </c>
      <c r="B5599" s="45">
        <v>6.5</v>
      </c>
      <c r="D5599" s="2"/>
      <c r="E5599" s="31"/>
      <c r="G5599" s="43"/>
      <c r="H5599" s="2"/>
    </row>
    <row r="5600" spans="1:8">
      <c r="A5600" s="39">
        <v>3.27778961010663</v>
      </c>
      <c r="B5600" s="45">
        <v>5.9</v>
      </c>
      <c r="D5600" s="2"/>
      <c r="E5600" s="31"/>
      <c r="G5600" s="43"/>
      <c r="H5600" s="2"/>
    </row>
    <row r="5601" spans="1:8">
      <c r="A5601" s="39">
        <v>3.27743149914737</v>
      </c>
      <c r="B5601" s="45">
        <v>23</v>
      </c>
      <c r="D5601" s="2"/>
      <c r="E5601" s="31"/>
      <c r="G5601" s="43"/>
      <c r="H5601" s="2"/>
    </row>
    <row r="5602" spans="1:8">
      <c r="A5602" s="39">
        <v>3.27654319966447</v>
      </c>
      <c r="B5602" s="45">
        <v>17</v>
      </c>
      <c r="D5602" s="2"/>
      <c r="E5602" s="31"/>
      <c r="G5602" s="43"/>
      <c r="H5602" s="2"/>
    </row>
    <row r="5603" spans="1:8">
      <c r="A5603" s="39">
        <v>3.27619354021825</v>
      </c>
      <c r="B5603" s="45">
        <v>8.9</v>
      </c>
      <c r="D5603" s="2"/>
      <c r="E5603" s="31"/>
      <c r="G5603" s="43"/>
      <c r="H5603" s="2"/>
    </row>
    <row r="5604" spans="1:8">
      <c r="A5604" s="39">
        <v>3.27595931867157</v>
      </c>
      <c r="B5604" s="45">
        <v>5.7</v>
      </c>
      <c r="D5604" s="2"/>
      <c r="E5604" s="31"/>
      <c r="G5604" s="43"/>
      <c r="H5604" s="2"/>
    </row>
    <row r="5605" spans="1:8">
      <c r="A5605" s="39">
        <v>3.2758389592895</v>
      </c>
      <c r="B5605" s="45">
        <v>5.8</v>
      </c>
      <c r="D5605" s="2"/>
      <c r="E5605" s="31"/>
      <c r="G5605" s="43"/>
      <c r="H5605" s="2"/>
    </row>
    <row r="5606" spans="1:8">
      <c r="A5606" s="39">
        <v>3.27578478890773</v>
      </c>
      <c r="B5606" s="45">
        <v>9</v>
      </c>
      <c r="D5606" s="2"/>
      <c r="E5606" s="31"/>
      <c r="G5606" s="43"/>
      <c r="H5606" s="2"/>
    </row>
    <row r="5607" spans="1:8">
      <c r="A5607" s="39">
        <v>3.27508956845411</v>
      </c>
      <c r="B5607" s="45">
        <v>3</v>
      </c>
      <c r="D5607" s="2"/>
      <c r="E5607" s="31"/>
      <c r="G5607" s="43"/>
      <c r="H5607" s="2"/>
    </row>
    <row r="5608" spans="1:8">
      <c r="A5608" s="39">
        <v>3.27479668296638</v>
      </c>
      <c r="B5608" s="45">
        <v>9.9</v>
      </c>
      <c r="D5608" s="2"/>
      <c r="E5608" s="31"/>
      <c r="G5608" s="43"/>
      <c r="H5608" s="2"/>
    </row>
    <row r="5609" spans="1:8">
      <c r="A5609" s="39">
        <v>3.27437484723489</v>
      </c>
      <c r="B5609" s="45">
        <v>19</v>
      </c>
      <c r="D5609" s="2"/>
      <c r="E5609" s="31"/>
      <c r="G5609" s="43"/>
      <c r="H5609" s="2"/>
    </row>
    <row r="5610" spans="1:8">
      <c r="A5610" s="39">
        <v>3.27385038955477</v>
      </c>
      <c r="B5610" s="45">
        <v>12.3</v>
      </c>
      <c r="D5610" s="2"/>
      <c r="E5610" s="31"/>
      <c r="G5610" s="43"/>
      <c r="H5610" s="2"/>
    </row>
    <row r="5611" spans="1:8">
      <c r="A5611" s="39">
        <v>3.27384806669391</v>
      </c>
      <c r="B5611" s="45">
        <v>11.2</v>
      </c>
      <c r="D5611" s="2"/>
      <c r="E5611" s="31"/>
      <c r="G5611" s="43"/>
      <c r="H5611" s="2"/>
    </row>
    <row r="5612" spans="1:8">
      <c r="A5612" s="39">
        <v>3.27364737004155</v>
      </c>
      <c r="B5612" s="45">
        <v>17</v>
      </c>
      <c r="D5612" s="2"/>
      <c r="E5612" s="31"/>
      <c r="G5612" s="43"/>
      <c r="H5612" s="2"/>
    </row>
    <row r="5613" spans="1:8">
      <c r="A5613" s="39">
        <v>3.27297054080729</v>
      </c>
      <c r="B5613" s="45">
        <v>9.5</v>
      </c>
      <c r="D5613" s="2"/>
      <c r="E5613" s="31"/>
      <c r="G5613" s="43"/>
      <c r="H5613" s="2"/>
    </row>
    <row r="5614" spans="1:8">
      <c r="A5614" s="39">
        <v>3.27291858636794</v>
      </c>
      <c r="B5614" s="45">
        <v>10.5</v>
      </c>
      <c r="D5614" s="2"/>
      <c r="E5614" s="31"/>
      <c r="G5614" s="43"/>
      <c r="H5614" s="2"/>
    </row>
    <row r="5615" spans="1:8">
      <c r="A5615" s="39">
        <v>3.27226697878218</v>
      </c>
      <c r="B5615" s="45">
        <v>17.3</v>
      </c>
      <c r="D5615" s="2"/>
      <c r="E5615" s="31"/>
      <c r="G5615" s="43"/>
      <c r="H5615" s="2"/>
    </row>
    <row r="5616" spans="1:8">
      <c r="A5616" s="39">
        <v>3.2717321824914</v>
      </c>
      <c r="B5616" s="45">
        <v>17.6</v>
      </c>
      <c r="D5616" s="2"/>
      <c r="E5616" s="31"/>
      <c r="G5616" s="43"/>
      <c r="H5616" s="2"/>
    </row>
    <row r="5617" spans="1:8">
      <c r="A5617" s="39">
        <v>3.27104771969171</v>
      </c>
      <c r="B5617" s="45">
        <v>11.2</v>
      </c>
      <c r="D5617" s="2"/>
      <c r="E5617" s="31"/>
      <c r="G5617" s="43"/>
      <c r="H5617" s="2"/>
    </row>
    <row r="5618" spans="1:8">
      <c r="A5618" s="39">
        <v>3.27029957134461</v>
      </c>
      <c r="B5618" s="45">
        <v>9</v>
      </c>
      <c r="D5618" s="2"/>
      <c r="E5618" s="31"/>
      <c r="G5618" s="43"/>
      <c r="H5618" s="2"/>
    </row>
    <row r="5619" spans="1:8">
      <c r="A5619" s="39">
        <v>3.27022538037216</v>
      </c>
      <c r="B5619" s="45">
        <v>3.4</v>
      </c>
      <c r="D5619" s="2"/>
      <c r="E5619" s="31"/>
      <c r="G5619" s="43"/>
      <c r="H5619" s="2"/>
    </row>
    <row r="5620" spans="1:8">
      <c r="A5620" s="39">
        <v>3.26967879409235</v>
      </c>
      <c r="B5620" s="45">
        <v>17.7</v>
      </c>
      <c r="D5620" s="2"/>
      <c r="E5620" s="31"/>
      <c r="G5620" s="43"/>
      <c r="H5620" s="2"/>
    </row>
    <row r="5621" spans="1:8">
      <c r="A5621" s="39">
        <v>3.26967879409235</v>
      </c>
      <c r="B5621" s="45">
        <v>2</v>
      </c>
      <c r="D5621" s="2"/>
      <c r="E5621" s="31"/>
      <c r="G5621" s="43"/>
      <c r="H5621" s="2"/>
    </row>
    <row r="5622" spans="1:8">
      <c r="A5622" s="39">
        <v>3.26940014902026</v>
      </c>
      <c r="B5622" s="45">
        <v>11.2</v>
      </c>
      <c r="D5622" s="2"/>
      <c r="E5622" s="31"/>
      <c r="G5622" s="43"/>
      <c r="H5622" s="2"/>
    </row>
    <row r="5623" spans="1:8">
      <c r="A5623" s="39">
        <v>3.26926522720853</v>
      </c>
      <c r="B5623" s="45">
        <v>13</v>
      </c>
      <c r="D5623" s="2"/>
      <c r="E5623" s="31"/>
      <c r="G5623" s="43"/>
      <c r="H5623" s="2"/>
    </row>
    <row r="5624" spans="1:8">
      <c r="A5624" s="39">
        <v>3.26920734811564</v>
      </c>
      <c r="B5624" s="45">
        <v>10.2</v>
      </c>
      <c r="D5624" s="2"/>
      <c r="E5624" s="31"/>
      <c r="G5624" s="43"/>
      <c r="H5624" s="2"/>
    </row>
    <row r="5625" spans="1:8">
      <c r="A5625" s="39">
        <v>3.26883683612513</v>
      </c>
      <c r="B5625" s="45">
        <v>6.7</v>
      </c>
      <c r="D5625" s="2"/>
      <c r="E5625" s="31"/>
      <c r="G5625" s="43"/>
      <c r="H5625" s="2"/>
    </row>
    <row r="5626" spans="1:8">
      <c r="A5626" s="39">
        <v>3.26874916865664</v>
      </c>
      <c r="B5626" s="45">
        <v>6.4</v>
      </c>
      <c r="D5626" s="2"/>
      <c r="E5626" s="31"/>
      <c r="G5626" s="43"/>
      <c r="H5626" s="2"/>
    </row>
    <row r="5627" spans="1:8">
      <c r="A5627" s="39">
        <v>3.26855376807803</v>
      </c>
      <c r="B5627" s="45">
        <v>3</v>
      </c>
      <c r="D5627" s="2"/>
      <c r="E5627" s="31"/>
      <c r="G5627" s="43"/>
      <c r="H5627" s="2"/>
    </row>
    <row r="5628" spans="1:8">
      <c r="A5628" s="39">
        <v>3.26853742996294</v>
      </c>
      <c r="B5628" s="45">
        <v>2</v>
      </c>
      <c r="D5628" s="2"/>
      <c r="E5628" s="31"/>
      <c r="G5628" s="43"/>
      <c r="H5628" s="2"/>
    </row>
    <row r="5629" spans="1:8">
      <c r="A5629" s="39">
        <v>3.26830986849298</v>
      </c>
      <c r="B5629" s="45">
        <v>6</v>
      </c>
      <c r="D5629" s="2"/>
      <c r="E5629" s="31"/>
      <c r="G5629" s="43"/>
      <c r="H5629" s="2"/>
    </row>
    <row r="5630" spans="1:8">
      <c r="A5630" s="39">
        <v>3.26830986849298</v>
      </c>
      <c r="B5630" s="45">
        <v>13.2</v>
      </c>
      <c r="D5630" s="2"/>
      <c r="E5630" s="31"/>
      <c r="G5630" s="43"/>
      <c r="H5630" s="2"/>
    </row>
    <row r="5631" spans="1:8">
      <c r="A5631" s="39">
        <v>3.26827037211815</v>
      </c>
      <c r="B5631" s="45">
        <v>5.5</v>
      </c>
      <c r="D5631" s="2"/>
      <c r="E5631" s="31"/>
      <c r="G5631" s="43"/>
      <c r="H5631" s="2"/>
    </row>
    <row r="5632" spans="1:8">
      <c r="A5632" s="39">
        <v>3.26715159320938</v>
      </c>
      <c r="B5632" s="45">
        <v>0</v>
      </c>
      <c r="D5632" s="2"/>
      <c r="E5632" s="31"/>
      <c r="G5632" s="43"/>
      <c r="H5632" s="2"/>
    </row>
    <row r="5633" spans="1:8">
      <c r="A5633" s="39">
        <v>3.26685887287744</v>
      </c>
      <c r="B5633" s="45">
        <v>4.4</v>
      </c>
      <c r="D5633" s="2"/>
      <c r="E5633" s="31"/>
      <c r="G5633" s="43"/>
      <c r="H5633" s="2"/>
    </row>
    <row r="5634" spans="1:8">
      <c r="A5634" s="39">
        <v>3.2668105601017</v>
      </c>
      <c r="B5634" s="45">
        <v>9.7</v>
      </c>
      <c r="D5634" s="2"/>
      <c r="E5634" s="31"/>
      <c r="G5634" s="43"/>
      <c r="H5634" s="2"/>
    </row>
    <row r="5635" spans="1:8">
      <c r="A5635" s="39">
        <v>3.266348425413</v>
      </c>
      <c r="B5635" s="45">
        <v>7.9</v>
      </c>
      <c r="D5635" s="2"/>
      <c r="E5635" s="31"/>
      <c r="G5635" s="43"/>
      <c r="H5635" s="2"/>
    </row>
    <row r="5636" spans="1:8">
      <c r="A5636" s="39">
        <v>3.2661855713785</v>
      </c>
      <c r="B5636" s="45">
        <v>9</v>
      </c>
      <c r="D5636" s="2"/>
      <c r="E5636" s="31"/>
      <c r="G5636" s="43"/>
      <c r="H5636" s="2"/>
    </row>
    <row r="5637" spans="1:8">
      <c r="A5637" s="39">
        <v>3.26597194845105</v>
      </c>
      <c r="B5637" s="45">
        <v>10.7</v>
      </c>
      <c r="D5637" s="2"/>
      <c r="E5637" s="31"/>
      <c r="G5637" s="43"/>
      <c r="H5637" s="2"/>
    </row>
    <row r="5638" spans="1:8">
      <c r="A5638" s="39">
        <v>3.2659394479276</v>
      </c>
      <c r="B5638" s="45">
        <v>9.5</v>
      </c>
      <c r="D5638" s="2"/>
      <c r="E5638" s="31"/>
      <c r="G5638" s="43"/>
      <c r="H5638" s="2"/>
    </row>
    <row r="5639" spans="1:8">
      <c r="A5639" s="39">
        <v>3.2659349205562</v>
      </c>
      <c r="B5639" s="45">
        <v>11.1</v>
      </c>
      <c r="D5639" s="2"/>
      <c r="E5639" s="31"/>
      <c r="G5639" s="43"/>
      <c r="H5639" s="2"/>
    </row>
    <row r="5640" spans="1:8">
      <c r="A5640" s="39">
        <v>3.2659349205562</v>
      </c>
      <c r="B5640" s="45">
        <v>9</v>
      </c>
      <c r="D5640" s="2"/>
      <c r="E5640" s="31"/>
      <c r="G5640" s="43"/>
      <c r="H5640" s="2"/>
    </row>
    <row r="5641" spans="1:8">
      <c r="A5641" s="39">
        <v>3.26557201729424</v>
      </c>
      <c r="B5641" s="45">
        <v>7.2</v>
      </c>
      <c r="D5641" s="2"/>
      <c r="E5641" s="31"/>
      <c r="G5641" s="43"/>
      <c r="H5641" s="2"/>
    </row>
    <row r="5642" spans="1:8">
      <c r="A5642" s="39">
        <v>3.26557201729424</v>
      </c>
      <c r="B5642" s="45">
        <v>2.3</v>
      </c>
      <c r="D5642" s="2"/>
      <c r="E5642" s="31"/>
      <c r="G5642" s="43"/>
      <c r="H5642" s="2"/>
    </row>
    <row r="5643" spans="1:8">
      <c r="A5643" s="39">
        <v>3.26488755449455</v>
      </c>
      <c r="B5643" s="45">
        <v>11.4</v>
      </c>
      <c r="D5643" s="2"/>
      <c r="E5643" s="31"/>
      <c r="G5643" s="43"/>
      <c r="H5643" s="2"/>
    </row>
    <row r="5644" spans="1:8">
      <c r="A5644" s="39">
        <v>3.26359343300482</v>
      </c>
      <c r="B5644" s="45">
        <v>9.9</v>
      </c>
      <c r="D5644" s="2"/>
      <c r="E5644" s="31"/>
      <c r="G5644" s="43"/>
      <c r="H5644" s="2"/>
    </row>
    <row r="5645" spans="1:8">
      <c r="A5645" s="39">
        <v>3.26250453200269</v>
      </c>
      <c r="B5645" s="45">
        <v>1</v>
      </c>
      <c r="D5645" s="2"/>
      <c r="E5645" s="31"/>
      <c r="G5645" s="43"/>
      <c r="H5645" s="2"/>
    </row>
    <row r="5646" spans="1:8">
      <c r="A5646" s="39">
        <v>3.26220477042545</v>
      </c>
      <c r="B5646" s="45">
        <v>8.9</v>
      </c>
      <c r="D5646" s="2"/>
      <c r="E5646" s="31"/>
      <c r="G5646" s="43"/>
      <c r="H5646" s="2"/>
    </row>
    <row r="5647" spans="1:8">
      <c r="A5647" s="39">
        <v>3.26214576238483</v>
      </c>
      <c r="B5647" s="45">
        <v>9.8</v>
      </c>
      <c r="D5647" s="2"/>
      <c r="E5647" s="31"/>
      <c r="G5647" s="43"/>
      <c r="H5647" s="2"/>
    </row>
    <row r="5648" spans="1:8">
      <c r="A5648" s="39">
        <v>3.26146524049613</v>
      </c>
      <c r="B5648" s="45">
        <v>4.5</v>
      </c>
      <c r="D5648" s="2"/>
      <c r="E5648" s="31"/>
      <c r="G5648" s="43"/>
      <c r="H5648" s="2"/>
    </row>
    <row r="5649" spans="1:8">
      <c r="A5649" s="39">
        <v>3.261259457507</v>
      </c>
      <c r="B5649" s="45">
        <v>13</v>
      </c>
      <c r="D5649" s="2"/>
      <c r="E5649" s="31"/>
      <c r="G5649" s="43"/>
      <c r="H5649" s="2"/>
    </row>
    <row r="5650" spans="1:8">
      <c r="A5650" s="39">
        <v>3.2603224799274</v>
      </c>
      <c r="B5650" s="45">
        <v>6</v>
      </c>
      <c r="D5650" s="2"/>
      <c r="E5650" s="31"/>
      <c r="G5650" s="43"/>
      <c r="H5650" s="2"/>
    </row>
    <row r="5651" spans="1:8">
      <c r="A5651" s="39">
        <v>3.25952595118437</v>
      </c>
      <c r="B5651" s="45">
        <v>9</v>
      </c>
      <c r="D5651" s="2"/>
      <c r="E5651" s="31"/>
      <c r="G5651" s="43"/>
      <c r="H5651" s="2"/>
    </row>
    <row r="5652" spans="1:8">
      <c r="A5652" s="39">
        <v>3.25952595118437</v>
      </c>
      <c r="B5652" s="45">
        <v>13.4</v>
      </c>
      <c r="D5652" s="2"/>
      <c r="E5652" s="31"/>
      <c r="G5652" s="43"/>
      <c r="H5652" s="2"/>
    </row>
    <row r="5653" spans="1:8">
      <c r="A5653" s="39">
        <v>3.25950474165804</v>
      </c>
      <c r="B5653" s="45">
        <v>6</v>
      </c>
      <c r="D5653" s="2"/>
      <c r="E5653" s="31"/>
      <c r="G5653" s="43"/>
      <c r="H5653" s="2"/>
    </row>
    <row r="5654" spans="1:8">
      <c r="A5654" s="39">
        <v>3.25941185209708</v>
      </c>
      <c r="B5654" s="45">
        <v>7</v>
      </c>
      <c r="D5654" s="2"/>
      <c r="E5654" s="31"/>
      <c r="G5654" s="43"/>
      <c r="H5654" s="2"/>
    </row>
    <row r="5655" spans="1:8">
      <c r="A5655" s="39">
        <v>3.25819573828</v>
      </c>
      <c r="B5655" s="45">
        <v>9.5</v>
      </c>
      <c r="D5655" s="2"/>
      <c r="E5655" s="31"/>
      <c r="G5655" s="43"/>
      <c r="H5655" s="2"/>
    </row>
    <row r="5656" spans="1:8">
      <c r="A5656" s="39">
        <v>3.25804292649771</v>
      </c>
      <c r="B5656" s="45">
        <v>12</v>
      </c>
      <c r="D5656" s="2"/>
      <c r="E5656" s="31"/>
      <c r="G5656" s="43"/>
      <c r="H5656" s="2"/>
    </row>
    <row r="5657" spans="1:8">
      <c r="A5657" s="39">
        <v>3.25762047127903</v>
      </c>
      <c r="B5657" s="45">
        <v>12.9</v>
      </c>
      <c r="D5657" s="2"/>
      <c r="E5657" s="31"/>
      <c r="G5657" s="43"/>
      <c r="H5657" s="2"/>
    </row>
    <row r="5658" spans="1:8">
      <c r="A5658" s="39">
        <v>3.25689267403343</v>
      </c>
      <c r="B5658" s="45">
        <v>7.3</v>
      </c>
      <c r="D5658" s="2"/>
      <c r="E5658" s="31"/>
      <c r="G5658" s="43"/>
      <c r="H5658" s="2"/>
    </row>
    <row r="5659" spans="1:8">
      <c r="A5659" s="39">
        <v>3.25678932740109</v>
      </c>
      <c r="B5659" s="45">
        <v>3.1</v>
      </c>
      <c r="D5659" s="2"/>
      <c r="E5659" s="31"/>
      <c r="G5659" s="43"/>
      <c r="H5659" s="2"/>
    </row>
    <row r="5660" spans="1:8">
      <c r="A5660" s="39">
        <v>3.25623378858061</v>
      </c>
      <c r="B5660" s="45">
        <v>10.6</v>
      </c>
      <c r="D5660" s="2"/>
      <c r="E5660" s="31"/>
      <c r="G5660" s="43"/>
      <c r="H5660" s="2"/>
    </row>
    <row r="5661" spans="1:8">
      <c r="A5661" s="39">
        <v>3.25608604889433</v>
      </c>
      <c r="B5661" s="45">
        <v>9.7</v>
      </c>
      <c r="D5661" s="2"/>
      <c r="E5661" s="31"/>
      <c r="G5661" s="43"/>
      <c r="H5661" s="2"/>
    </row>
    <row r="5662" spans="1:8">
      <c r="A5662" s="39">
        <v>3.25538149017957</v>
      </c>
      <c r="B5662" s="45">
        <v>0</v>
      </c>
      <c r="D5662" s="2"/>
      <c r="E5662" s="31"/>
      <c r="G5662" s="43"/>
      <c r="H5662" s="2"/>
    </row>
    <row r="5663" spans="1:8">
      <c r="A5663" s="39">
        <v>3.25522861967325</v>
      </c>
      <c r="B5663" s="45">
        <v>5</v>
      </c>
      <c r="D5663" s="2"/>
      <c r="E5663" s="31"/>
      <c r="G5663" s="43"/>
      <c r="H5663" s="2"/>
    </row>
    <row r="5664" spans="1:8">
      <c r="A5664" s="39">
        <v>3.25462061249929</v>
      </c>
      <c r="B5664" s="45">
        <v>7.5</v>
      </c>
      <c r="D5664" s="2"/>
      <c r="E5664" s="31"/>
      <c r="G5664" s="43"/>
      <c r="H5664" s="2"/>
    </row>
    <row r="5665" spans="1:8">
      <c r="A5665" s="39">
        <v>3.25339284289856</v>
      </c>
      <c r="B5665" s="45">
        <v>3.5</v>
      </c>
      <c r="D5665" s="2"/>
      <c r="E5665" s="31"/>
      <c r="G5665" s="43"/>
      <c r="H5665" s="2"/>
    </row>
    <row r="5666" spans="1:8">
      <c r="A5666" s="39">
        <v>3.25289479847691</v>
      </c>
      <c r="B5666" s="45">
        <v>1</v>
      </c>
      <c r="D5666" s="2"/>
      <c r="E5666" s="31"/>
      <c r="G5666" s="43"/>
      <c r="H5666" s="2"/>
    </row>
    <row r="5667" spans="1:8">
      <c r="A5667" s="39">
        <v>3.25271954139961</v>
      </c>
      <c r="B5667" s="45">
        <v>10</v>
      </c>
      <c r="D5667" s="2"/>
      <c r="E5667" s="31"/>
      <c r="G5667" s="43"/>
      <c r="H5667" s="2"/>
    </row>
    <row r="5668" spans="1:8">
      <c r="A5668" s="39">
        <v>3.25236373199917</v>
      </c>
      <c r="B5668" s="45">
        <v>21</v>
      </c>
      <c r="D5668" s="2"/>
      <c r="E5668" s="31"/>
      <c r="G5668" s="43"/>
      <c r="H5668" s="2"/>
    </row>
    <row r="5669" spans="1:8">
      <c r="A5669" s="39">
        <v>3.25236373199917</v>
      </c>
      <c r="B5669" s="45">
        <v>11</v>
      </c>
      <c r="D5669" s="2"/>
      <c r="E5669" s="31"/>
      <c r="G5669" s="43"/>
      <c r="H5669" s="2"/>
    </row>
    <row r="5670" spans="1:8">
      <c r="A5670" s="39">
        <v>3.25214509723382</v>
      </c>
      <c r="B5670" s="45">
        <v>7.3</v>
      </c>
      <c r="D5670" s="2"/>
      <c r="E5670" s="31"/>
      <c r="G5670" s="43"/>
      <c r="H5670" s="2"/>
    </row>
    <row r="5671" spans="1:8">
      <c r="A5671" s="39">
        <v>3.25204623990067</v>
      </c>
      <c r="B5671" s="45">
        <v>17.5</v>
      </c>
      <c r="D5671" s="2"/>
      <c r="E5671" s="31"/>
      <c r="G5671" s="43"/>
      <c r="H5671" s="2"/>
    </row>
    <row r="5672" spans="1:8">
      <c r="A5672" s="39">
        <v>3.25119829850087</v>
      </c>
      <c r="B5672" s="45">
        <v>12.4</v>
      </c>
      <c r="D5672" s="2"/>
      <c r="E5672" s="31"/>
      <c r="G5672" s="43"/>
      <c r="H5672" s="2"/>
    </row>
    <row r="5673" spans="1:8">
      <c r="A5673" s="39">
        <v>3.25116011802891</v>
      </c>
      <c r="B5673" s="45">
        <v>11</v>
      </c>
      <c r="D5673" s="2"/>
      <c r="E5673" s="31"/>
      <c r="G5673" s="43"/>
      <c r="H5673" s="2"/>
    </row>
    <row r="5674" spans="1:8">
      <c r="A5674" s="39">
        <v>3.25116011802891</v>
      </c>
      <c r="B5674" s="45">
        <v>4</v>
      </c>
      <c r="D5674" s="2"/>
      <c r="E5674" s="31"/>
      <c r="G5674" s="43"/>
      <c r="H5674" s="2"/>
    </row>
    <row r="5675" spans="1:8">
      <c r="A5675" s="39">
        <v>3.25116011802891</v>
      </c>
      <c r="B5675" s="45">
        <v>9.5</v>
      </c>
      <c r="D5675" s="2"/>
      <c r="E5675" s="31"/>
      <c r="G5675" s="43"/>
      <c r="H5675" s="2"/>
    </row>
    <row r="5676" spans="1:8">
      <c r="A5676" s="39">
        <v>3.25034249882309</v>
      </c>
      <c r="B5676" s="45">
        <v>6.9</v>
      </c>
      <c r="D5676" s="2"/>
      <c r="E5676" s="31"/>
      <c r="G5676" s="43"/>
      <c r="H5676" s="2"/>
    </row>
    <row r="5677" spans="1:8">
      <c r="A5677" s="39">
        <v>3.24805640588704</v>
      </c>
      <c r="B5677" s="45">
        <v>6</v>
      </c>
      <c r="D5677" s="2"/>
      <c r="E5677" s="31"/>
      <c r="G5677" s="43"/>
      <c r="H5677" s="2"/>
    </row>
    <row r="5678" spans="1:8">
      <c r="A5678" s="39">
        <v>3.24805640588704</v>
      </c>
      <c r="B5678" s="45">
        <v>2</v>
      </c>
      <c r="D5678" s="2"/>
      <c r="E5678" s="31"/>
      <c r="G5678" s="43"/>
      <c r="H5678" s="2"/>
    </row>
    <row r="5679" spans="1:8">
      <c r="A5679" s="39">
        <v>3.2465869648657</v>
      </c>
      <c r="B5679" s="45">
        <v>12.7</v>
      </c>
      <c r="D5679" s="2"/>
      <c r="E5679" s="31"/>
      <c r="G5679" s="43"/>
      <c r="H5679" s="2"/>
    </row>
    <row r="5680" spans="1:8">
      <c r="A5680" s="39">
        <v>3.24598652641017</v>
      </c>
      <c r="B5680" s="45">
        <v>10</v>
      </c>
      <c r="D5680" s="2"/>
      <c r="E5680" s="31"/>
      <c r="G5680" s="43"/>
      <c r="H5680" s="2"/>
    </row>
    <row r="5681" spans="1:8">
      <c r="A5681" s="39">
        <v>3.24597571534952</v>
      </c>
      <c r="B5681" s="45">
        <v>0</v>
      </c>
      <c r="D5681" s="2"/>
      <c r="E5681" s="31"/>
      <c r="G5681" s="43"/>
      <c r="H5681" s="2"/>
    </row>
    <row r="5682" spans="1:8">
      <c r="A5682" s="39">
        <v>3.24499428966587</v>
      </c>
      <c r="B5682" s="45">
        <v>5</v>
      </c>
      <c r="D5682" s="2"/>
      <c r="E5682" s="31"/>
      <c r="G5682" s="43"/>
      <c r="H5682" s="2"/>
    </row>
    <row r="5683" spans="1:8">
      <c r="A5683" s="39">
        <v>3.24482805980293</v>
      </c>
      <c r="B5683" s="45">
        <v>9.1</v>
      </c>
      <c r="D5683" s="2"/>
      <c r="E5683" s="31"/>
      <c r="G5683" s="43"/>
      <c r="H5683" s="2"/>
    </row>
    <row r="5684" spans="1:8">
      <c r="A5684" s="39">
        <v>3.24478545280961</v>
      </c>
      <c r="B5684" s="45">
        <v>7</v>
      </c>
      <c r="D5684" s="2"/>
      <c r="E5684" s="31"/>
      <c r="G5684" s="43"/>
      <c r="H5684" s="2"/>
    </row>
    <row r="5685" spans="1:8">
      <c r="A5685" s="39">
        <v>3.24435367050402</v>
      </c>
      <c r="B5685" s="45">
        <v>15</v>
      </c>
      <c r="D5685" s="2"/>
      <c r="E5685" s="31"/>
      <c r="G5685" s="43"/>
      <c r="H5685" s="2"/>
    </row>
    <row r="5686" spans="1:8">
      <c r="A5686" s="39">
        <v>3.2442163239384</v>
      </c>
      <c r="B5686" s="45">
        <v>4</v>
      </c>
      <c r="D5686" s="2"/>
      <c r="E5686" s="31"/>
      <c r="G5686" s="43"/>
      <c r="H5686" s="2"/>
    </row>
    <row r="5687" spans="1:8">
      <c r="A5687" s="39">
        <v>3.2442163239384</v>
      </c>
      <c r="B5687" s="45">
        <v>5</v>
      </c>
      <c r="D5687" s="2"/>
      <c r="E5687" s="31"/>
      <c r="G5687" s="43"/>
      <c r="H5687" s="2"/>
    </row>
    <row r="5688" spans="1:8">
      <c r="A5688" s="39">
        <v>3.24412449777782</v>
      </c>
      <c r="B5688" s="45">
        <v>10</v>
      </c>
      <c r="D5688" s="2"/>
      <c r="E5688" s="31"/>
      <c r="G5688" s="43"/>
      <c r="H5688" s="2"/>
    </row>
    <row r="5689" spans="1:8">
      <c r="A5689" s="39">
        <v>3.24396771454025</v>
      </c>
      <c r="B5689" s="45">
        <v>2.3</v>
      </c>
      <c r="D5689" s="2"/>
      <c r="E5689" s="31"/>
      <c r="G5689" s="43"/>
      <c r="H5689" s="2"/>
    </row>
    <row r="5690" spans="1:8">
      <c r="A5690" s="39">
        <v>3.24396771454025</v>
      </c>
      <c r="B5690" s="45">
        <v>2.2</v>
      </c>
      <c r="D5690" s="2"/>
      <c r="E5690" s="31"/>
      <c r="G5690" s="43"/>
      <c r="H5690" s="2"/>
    </row>
    <row r="5691" spans="1:8">
      <c r="A5691" s="39">
        <v>3.24366920770434</v>
      </c>
      <c r="B5691" s="45">
        <v>11.3</v>
      </c>
      <c r="D5691" s="2"/>
      <c r="E5691" s="31"/>
      <c r="G5691" s="43"/>
      <c r="H5691" s="2"/>
    </row>
    <row r="5692" spans="1:8">
      <c r="A5692" s="39">
        <v>3.24331690161405</v>
      </c>
      <c r="B5692" s="45">
        <v>6.3</v>
      </c>
      <c r="D5692" s="2"/>
      <c r="E5692" s="31"/>
      <c r="G5692" s="43"/>
      <c r="H5692" s="2"/>
    </row>
    <row r="5693" spans="1:8">
      <c r="A5693" s="39">
        <v>3.24331690161405</v>
      </c>
      <c r="B5693" s="45">
        <v>6.9</v>
      </c>
      <c r="D5693" s="2"/>
      <c r="E5693" s="31"/>
      <c r="G5693" s="43"/>
      <c r="H5693" s="2"/>
    </row>
    <row r="5694" spans="1:8">
      <c r="A5694" s="39">
        <v>3.24298474490465</v>
      </c>
      <c r="B5694" s="45">
        <v>7.3</v>
      </c>
      <c r="D5694" s="2"/>
      <c r="E5694" s="31"/>
      <c r="G5694" s="43"/>
      <c r="H5694" s="2"/>
    </row>
    <row r="5695" spans="1:8">
      <c r="A5695" s="39">
        <v>3.24298474490465</v>
      </c>
      <c r="B5695" s="45">
        <v>7.1</v>
      </c>
      <c r="D5695" s="2"/>
      <c r="E5695" s="31"/>
      <c r="G5695" s="43"/>
      <c r="H5695" s="2"/>
    </row>
    <row r="5696" spans="1:8">
      <c r="A5696" s="39">
        <v>3.24262001891545</v>
      </c>
      <c r="B5696" s="45">
        <v>11.2</v>
      </c>
      <c r="D5696" s="2"/>
      <c r="E5696" s="31"/>
      <c r="G5696" s="43"/>
      <c r="H5696" s="2"/>
    </row>
    <row r="5697" spans="1:8">
      <c r="A5697" s="39">
        <v>3.24230028210497</v>
      </c>
      <c r="B5697" s="45">
        <v>17.4</v>
      </c>
      <c r="D5697" s="2"/>
      <c r="E5697" s="31"/>
      <c r="G5697" s="43"/>
      <c r="H5697" s="2"/>
    </row>
    <row r="5698" spans="1:8">
      <c r="A5698" s="39">
        <v>3.24163837353448</v>
      </c>
      <c r="B5698" s="45">
        <v>3</v>
      </c>
      <c r="D5698" s="2"/>
      <c r="E5698" s="31"/>
      <c r="G5698" s="43"/>
      <c r="H5698" s="2"/>
    </row>
    <row r="5699" spans="1:8">
      <c r="A5699" s="39">
        <v>3.24151449973218</v>
      </c>
      <c r="B5699" s="45">
        <v>4.9</v>
      </c>
      <c r="D5699" s="2"/>
      <c r="E5699" s="31"/>
      <c r="G5699" s="43"/>
      <c r="H5699" s="2"/>
    </row>
    <row r="5700" spans="1:8">
      <c r="A5700" s="39">
        <v>3.24077178571054</v>
      </c>
      <c r="B5700" s="45">
        <v>5</v>
      </c>
      <c r="D5700" s="2"/>
      <c r="E5700" s="31"/>
      <c r="G5700" s="43"/>
      <c r="H5700" s="2"/>
    </row>
    <row r="5701" spans="1:8">
      <c r="A5701" s="39">
        <v>3.24077178571054</v>
      </c>
      <c r="B5701" s="45">
        <v>10.1</v>
      </c>
      <c r="D5701" s="2"/>
      <c r="E5701" s="31"/>
      <c r="G5701" s="43"/>
      <c r="H5701" s="2"/>
    </row>
    <row r="5702" spans="1:8">
      <c r="A5702" s="39">
        <v>3.24061863464099</v>
      </c>
      <c r="B5702" s="45">
        <v>0</v>
      </c>
      <c r="D5702" s="2"/>
      <c r="E5702" s="31"/>
      <c r="G5702" s="43"/>
      <c r="H5702" s="2"/>
    </row>
    <row r="5703" spans="1:8">
      <c r="A5703" s="39">
        <v>3.23979624642328</v>
      </c>
      <c r="B5703" s="45">
        <v>6.2</v>
      </c>
      <c r="D5703" s="2"/>
      <c r="E5703" s="31"/>
      <c r="G5703" s="43"/>
      <c r="H5703" s="2"/>
    </row>
    <row r="5704" spans="1:8">
      <c r="A5704" s="39">
        <v>3.23942554013918</v>
      </c>
      <c r="B5704" s="45">
        <v>7</v>
      </c>
      <c r="D5704" s="2"/>
      <c r="E5704" s="31"/>
      <c r="G5704" s="43"/>
      <c r="H5704" s="2"/>
    </row>
    <row r="5705" spans="1:8">
      <c r="A5705" s="39">
        <v>3.23906128492411</v>
      </c>
      <c r="B5705" s="45">
        <v>3.7</v>
      </c>
      <c r="D5705" s="2"/>
      <c r="E5705" s="31"/>
      <c r="G5705" s="43"/>
      <c r="H5705" s="2"/>
    </row>
    <row r="5706" spans="1:8">
      <c r="A5706" s="39">
        <v>3.23887796810655</v>
      </c>
      <c r="B5706" s="45">
        <v>12.3</v>
      </c>
      <c r="D5706" s="2"/>
      <c r="E5706" s="31"/>
      <c r="G5706" s="43"/>
      <c r="H5706" s="2"/>
    </row>
    <row r="5707" spans="1:8">
      <c r="A5707" s="39">
        <v>3.23881978999229</v>
      </c>
      <c r="B5707" s="45">
        <v>8.7</v>
      </c>
      <c r="D5707" s="2"/>
      <c r="E5707" s="31"/>
      <c r="G5707" s="43"/>
      <c r="H5707" s="2"/>
    </row>
    <row r="5708" spans="1:8">
      <c r="A5708" s="39">
        <v>3.23803929362877</v>
      </c>
      <c r="B5708" s="45">
        <v>12.8</v>
      </c>
      <c r="D5708" s="2"/>
      <c r="E5708" s="31"/>
      <c r="G5708" s="43"/>
      <c r="H5708" s="2"/>
    </row>
    <row r="5709" spans="1:8">
      <c r="A5709" s="39">
        <v>3.23792036766794</v>
      </c>
      <c r="B5709" s="45">
        <v>7.5</v>
      </c>
      <c r="D5709" s="2"/>
      <c r="E5709" s="31"/>
      <c r="G5709" s="43"/>
      <c r="H5709" s="2"/>
    </row>
    <row r="5710" spans="1:8">
      <c r="A5710" s="39">
        <v>3.23588700392601</v>
      </c>
      <c r="B5710" s="45">
        <v>13.6</v>
      </c>
      <c r="D5710" s="2"/>
      <c r="E5710" s="31"/>
      <c r="G5710" s="43"/>
      <c r="H5710" s="2"/>
    </row>
    <row r="5711" spans="1:8">
      <c r="A5711" s="39">
        <v>3.23578655391121</v>
      </c>
      <c r="B5711" s="45">
        <v>3</v>
      </c>
      <c r="D5711" s="2"/>
      <c r="E5711" s="31"/>
      <c r="G5711" s="43"/>
      <c r="H5711" s="2"/>
    </row>
    <row r="5712" spans="1:8">
      <c r="A5712" s="39">
        <v>3.23578655391121</v>
      </c>
      <c r="B5712" s="45">
        <v>11.2</v>
      </c>
      <c r="D5712" s="2"/>
      <c r="E5712" s="31"/>
      <c r="G5712" s="43"/>
      <c r="H5712" s="2"/>
    </row>
    <row r="5713" spans="1:8">
      <c r="A5713" s="39">
        <v>3.23522210069488</v>
      </c>
      <c r="B5713" s="45">
        <v>0</v>
      </c>
      <c r="D5713" s="2"/>
      <c r="E5713" s="31"/>
      <c r="G5713" s="43"/>
      <c r="H5713" s="2"/>
    </row>
    <row r="5714" spans="1:8">
      <c r="A5714" s="39">
        <v>3.23517440595469</v>
      </c>
      <c r="B5714" s="45">
        <v>14.8</v>
      </c>
      <c r="D5714" s="2"/>
      <c r="E5714" s="31"/>
      <c r="G5714" s="43"/>
      <c r="H5714" s="2"/>
    </row>
    <row r="5715" spans="1:8">
      <c r="A5715" s="39">
        <v>3.23432267837053</v>
      </c>
      <c r="B5715" s="45">
        <v>1</v>
      </c>
      <c r="D5715" s="2"/>
      <c r="E5715" s="31"/>
      <c r="G5715" s="43"/>
      <c r="H5715" s="2"/>
    </row>
    <row r="5716" spans="1:8">
      <c r="A5716" s="39">
        <v>3.23373427911834</v>
      </c>
      <c r="B5716" s="45">
        <v>8.2</v>
      </c>
      <c r="D5716" s="2"/>
      <c r="E5716" s="31"/>
      <c r="G5716" s="43"/>
      <c r="H5716" s="2"/>
    </row>
    <row r="5717" spans="1:8">
      <c r="A5717" s="39">
        <v>3.23214756768324</v>
      </c>
      <c r="B5717" s="45">
        <v>14</v>
      </c>
      <c r="D5717" s="2"/>
      <c r="E5717" s="31"/>
      <c r="G5717" s="43"/>
      <c r="H5717" s="2"/>
    </row>
    <row r="5718" spans="1:8">
      <c r="A5718" s="39">
        <v>3.23195328597198</v>
      </c>
      <c r="B5718" s="45">
        <v>10.5</v>
      </c>
      <c r="D5718" s="2"/>
      <c r="E5718" s="31"/>
      <c r="G5718" s="43"/>
      <c r="H5718" s="2"/>
    </row>
    <row r="5719" spans="1:8">
      <c r="A5719" s="39">
        <v>3.23162302714068</v>
      </c>
      <c r="B5719" s="45">
        <v>5.5</v>
      </c>
      <c r="D5719" s="2"/>
      <c r="E5719" s="31"/>
      <c r="G5719" s="43"/>
      <c r="H5719" s="2"/>
    </row>
    <row r="5720" spans="1:8">
      <c r="A5720" s="39">
        <v>3.23088390223053</v>
      </c>
      <c r="B5720" s="45">
        <v>3.7</v>
      </c>
      <c r="D5720" s="2"/>
      <c r="E5720" s="31"/>
      <c r="G5720" s="43"/>
      <c r="H5720" s="2"/>
    </row>
    <row r="5721" spans="1:8">
      <c r="A5721" s="39">
        <v>3.23088390223053</v>
      </c>
      <c r="B5721" s="45">
        <v>10.5</v>
      </c>
      <c r="D5721" s="2"/>
      <c r="E5721" s="31"/>
      <c r="G5721" s="43"/>
      <c r="H5721" s="2"/>
    </row>
    <row r="5722" spans="1:8">
      <c r="A5722" s="39">
        <v>3.23075681930075</v>
      </c>
      <c r="B5722" s="45">
        <v>7</v>
      </c>
      <c r="D5722" s="2"/>
      <c r="E5722" s="31"/>
      <c r="G5722" s="43"/>
      <c r="H5722" s="2"/>
    </row>
    <row r="5723" spans="1:8">
      <c r="A5723" s="39">
        <v>3.23072621563434</v>
      </c>
      <c r="B5723" s="45">
        <v>0</v>
      </c>
      <c r="D5723" s="2"/>
      <c r="E5723" s="31"/>
      <c r="G5723" s="43"/>
      <c r="H5723" s="2"/>
    </row>
    <row r="5724" spans="1:8">
      <c r="A5724" s="39">
        <v>3.23066441451033</v>
      </c>
      <c r="B5724" s="45">
        <v>13</v>
      </c>
      <c r="D5724" s="2"/>
      <c r="E5724" s="31"/>
      <c r="G5724" s="43"/>
      <c r="H5724" s="2"/>
    </row>
    <row r="5725" spans="1:8">
      <c r="A5725" s="39">
        <v>3.23050059193445</v>
      </c>
      <c r="B5725" s="45">
        <v>17.7</v>
      </c>
      <c r="D5725" s="2"/>
      <c r="E5725" s="31"/>
      <c r="G5725" s="43"/>
      <c r="H5725" s="2"/>
    </row>
    <row r="5726" spans="1:8">
      <c r="A5726" s="39">
        <v>3.23016085252505</v>
      </c>
      <c r="B5726" s="45">
        <v>11.1</v>
      </c>
      <c r="D5726" s="2"/>
      <c r="E5726" s="31"/>
      <c r="G5726" s="43"/>
      <c r="H5726" s="2"/>
    </row>
    <row r="5727" spans="1:8">
      <c r="A5727" s="39">
        <v>3.22997995171065</v>
      </c>
      <c r="B5727" s="45">
        <v>11</v>
      </c>
      <c r="D5727" s="2"/>
      <c r="E5727" s="31"/>
      <c r="G5727" s="43"/>
      <c r="H5727" s="2"/>
    </row>
    <row r="5728" spans="1:8">
      <c r="A5728" s="39">
        <v>3.22915398893656</v>
      </c>
      <c r="B5728" s="45">
        <v>7.6</v>
      </c>
      <c r="D5728" s="2"/>
      <c r="E5728" s="31"/>
      <c r="G5728" s="43"/>
      <c r="H5728" s="2"/>
    </row>
    <row r="5729" spans="1:8">
      <c r="A5729" s="39">
        <v>3.22850858145527</v>
      </c>
      <c r="B5729" s="45">
        <v>6</v>
      </c>
      <c r="D5729" s="2"/>
      <c r="E5729" s="31"/>
      <c r="G5729" s="43"/>
      <c r="H5729" s="2"/>
    </row>
    <row r="5730" spans="1:8">
      <c r="A5730" s="39">
        <v>3.22850858145527</v>
      </c>
      <c r="B5730" s="45">
        <v>13.5</v>
      </c>
      <c r="D5730" s="2"/>
      <c r="E5730" s="31"/>
      <c r="G5730" s="43"/>
      <c r="H5730" s="2"/>
    </row>
    <row r="5731" spans="1:8">
      <c r="A5731" s="39">
        <v>3.22810427384457</v>
      </c>
      <c r="B5731" s="45">
        <v>3</v>
      </c>
      <c r="D5731" s="2"/>
      <c r="E5731" s="31"/>
      <c r="G5731" s="43"/>
      <c r="H5731" s="2"/>
    </row>
    <row r="5732" spans="1:8">
      <c r="A5732" s="39">
        <v>3.22781630686097</v>
      </c>
      <c r="B5732" s="45">
        <v>16</v>
      </c>
      <c r="D5732" s="2"/>
      <c r="E5732" s="31"/>
      <c r="G5732" s="43"/>
      <c r="H5732" s="2"/>
    </row>
    <row r="5733" spans="1:8">
      <c r="A5733" s="39">
        <v>3.22761294915311</v>
      </c>
      <c r="B5733" s="45">
        <v>3.3</v>
      </c>
      <c r="D5733" s="2"/>
      <c r="E5733" s="31"/>
      <c r="G5733" s="43"/>
      <c r="H5733" s="2"/>
    </row>
    <row r="5734" spans="1:8">
      <c r="A5734" s="39">
        <v>3.22586352101393</v>
      </c>
      <c r="B5734" s="45">
        <v>11.3</v>
      </c>
      <c r="D5734" s="2"/>
      <c r="E5734" s="31"/>
      <c r="G5734" s="43"/>
      <c r="H5734" s="2"/>
    </row>
    <row r="5735" spans="1:8">
      <c r="A5735" s="39">
        <v>3.22583188512499</v>
      </c>
      <c r="B5735" s="45">
        <v>12.4</v>
      </c>
      <c r="D5735" s="2"/>
      <c r="E5735" s="31"/>
      <c r="G5735" s="43"/>
      <c r="H5735" s="2"/>
    </row>
    <row r="5736" spans="1:8">
      <c r="A5736" s="39">
        <v>3.22388176988925</v>
      </c>
      <c r="B5736" s="45">
        <v>7</v>
      </c>
      <c r="D5736" s="2"/>
      <c r="E5736" s="31"/>
      <c r="G5736" s="43"/>
      <c r="H5736" s="2"/>
    </row>
    <row r="5737" spans="1:8">
      <c r="A5737" s="39">
        <v>3.22371485525837</v>
      </c>
      <c r="B5737" s="45">
        <v>9</v>
      </c>
      <c r="D5737" s="2"/>
      <c r="E5737" s="31"/>
      <c r="G5737" s="43"/>
      <c r="H5737" s="2"/>
    </row>
    <row r="5738" spans="1:8">
      <c r="A5738" s="39">
        <v>3.22371485525837</v>
      </c>
      <c r="B5738" s="45">
        <v>8</v>
      </c>
      <c r="D5738" s="2"/>
      <c r="E5738" s="31"/>
      <c r="G5738" s="43"/>
      <c r="H5738" s="2"/>
    </row>
    <row r="5739" spans="1:8">
      <c r="A5739" s="39">
        <v>3.22301763702455</v>
      </c>
      <c r="B5739" s="45">
        <v>7</v>
      </c>
      <c r="D5739" s="2"/>
      <c r="E5739" s="31"/>
      <c r="G5739" s="43"/>
      <c r="H5739" s="2"/>
    </row>
    <row r="5740" spans="1:8">
      <c r="A5740" s="39">
        <v>3.22301763702455</v>
      </c>
      <c r="B5740" s="45">
        <v>17</v>
      </c>
      <c r="D5740" s="2"/>
      <c r="E5740" s="31"/>
      <c r="G5740" s="43"/>
      <c r="H5740" s="2"/>
    </row>
    <row r="5741" spans="1:8">
      <c r="A5741" s="39">
        <v>3.22272396650757</v>
      </c>
      <c r="B5741" s="45">
        <v>3.9</v>
      </c>
      <c r="D5741" s="2"/>
      <c r="E5741" s="31"/>
      <c r="G5741" s="43"/>
      <c r="H5741" s="2"/>
    </row>
    <row r="5742" spans="1:8">
      <c r="A5742" s="39">
        <v>3.22177051791159</v>
      </c>
      <c r="B5742" s="45">
        <v>30</v>
      </c>
      <c r="D5742" s="2"/>
      <c r="E5742" s="31"/>
      <c r="G5742" s="43"/>
      <c r="H5742" s="2"/>
    </row>
    <row r="5743" spans="1:8">
      <c r="A5743" s="39">
        <v>3.22123060899933</v>
      </c>
      <c r="B5743" s="45">
        <v>5.2</v>
      </c>
      <c r="D5743" s="2"/>
      <c r="E5743" s="31"/>
      <c r="G5743" s="43"/>
      <c r="H5743" s="2"/>
    </row>
    <row r="5744" spans="1:8">
      <c r="A5744" s="39">
        <v>3.22118267784183</v>
      </c>
      <c r="B5744" s="45">
        <v>8.3</v>
      </c>
      <c r="D5744" s="2"/>
      <c r="E5744" s="31"/>
      <c r="G5744" s="43"/>
      <c r="H5744" s="2"/>
    </row>
    <row r="5745" spans="1:8">
      <c r="A5745" s="39">
        <v>3.22106676725237</v>
      </c>
      <c r="B5745" s="45">
        <v>2</v>
      </c>
      <c r="D5745" s="2"/>
      <c r="E5745" s="31"/>
      <c r="G5745" s="43"/>
      <c r="H5745" s="2"/>
    </row>
    <row r="5746" spans="1:8">
      <c r="A5746" s="39">
        <v>3.22106676725237</v>
      </c>
      <c r="B5746" s="45">
        <v>7.1</v>
      </c>
      <c r="D5746" s="2"/>
      <c r="E5746" s="31"/>
      <c r="G5746" s="43"/>
      <c r="H5746" s="2"/>
    </row>
    <row r="5747" spans="1:8">
      <c r="A5747" s="39">
        <v>3.22083134350524</v>
      </c>
      <c r="B5747" s="45">
        <v>7</v>
      </c>
      <c r="D5747" s="2"/>
      <c r="E5747" s="31"/>
      <c r="G5747" s="43"/>
      <c r="H5747" s="2"/>
    </row>
    <row r="5748" spans="1:8">
      <c r="A5748" s="39">
        <v>3.22039747251507</v>
      </c>
      <c r="B5748" s="45">
        <v>13</v>
      </c>
      <c r="D5748" s="2"/>
      <c r="E5748" s="31"/>
      <c r="G5748" s="43"/>
      <c r="H5748" s="2"/>
    </row>
    <row r="5749" spans="1:8">
      <c r="A5749" s="39">
        <v>3.22020338892411</v>
      </c>
      <c r="B5749" s="45">
        <v>8.9</v>
      </c>
      <c r="D5749" s="2"/>
      <c r="E5749" s="31"/>
      <c r="G5749" s="43"/>
      <c r="H5749" s="2"/>
    </row>
    <row r="5750" spans="1:8">
      <c r="A5750" s="39">
        <v>3.2198140577342</v>
      </c>
      <c r="B5750" s="45">
        <v>4.2</v>
      </c>
      <c r="D5750" s="2"/>
      <c r="E5750" s="31"/>
      <c r="G5750" s="43"/>
      <c r="H5750" s="2"/>
    </row>
    <row r="5751" spans="1:8">
      <c r="A5751" s="39">
        <v>3.21953526525743</v>
      </c>
      <c r="B5751" s="45">
        <v>6.1</v>
      </c>
      <c r="D5751" s="2"/>
      <c r="E5751" s="31"/>
      <c r="G5751" s="43"/>
      <c r="H5751" s="2"/>
    </row>
    <row r="5752" spans="1:8">
      <c r="A5752" s="39">
        <v>3.219499826899</v>
      </c>
      <c r="B5752" s="45">
        <v>21</v>
      </c>
      <c r="D5752" s="2"/>
      <c r="E5752" s="31"/>
      <c r="G5752" s="43"/>
      <c r="H5752" s="2"/>
    </row>
    <row r="5753" spans="1:8">
      <c r="A5753" s="39">
        <v>3.2190285469157</v>
      </c>
      <c r="B5753" s="45">
        <v>9.7</v>
      </c>
      <c r="D5753" s="2"/>
      <c r="E5753" s="31"/>
      <c r="G5753" s="43"/>
      <c r="H5753" s="2"/>
    </row>
    <row r="5754" spans="1:8">
      <c r="A5754" s="39">
        <v>3.21799536475084</v>
      </c>
      <c r="B5754" s="45">
        <v>9.2</v>
      </c>
      <c r="D5754" s="2"/>
      <c r="E5754" s="31"/>
      <c r="G5754" s="43"/>
      <c r="H5754" s="2"/>
    </row>
    <row r="5755" spans="1:8">
      <c r="A5755" s="39">
        <v>3.21754801395626</v>
      </c>
      <c r="B5755" s="45">
        <v>5</v>
      </c>
      <c r="D5755" s="2"/>
      <c r="E5755" s="31"/>
      <c r="G5755" s="43"/>
      <c r="H5755" s="2"/>
    </row>
    <row r="5756" spans="1:8">
      <c r="A5756" s="39">
        <v>3.21723365420784</v>
      </c>
      <c r="B5756" s="45">
        <v>0</v>
      </c>
      <c r="D5756" s="2"/>
      <c r="E5756" s="31"/>
      <c r="G5756" s="43"/>
      <c r="H5756" s="2"/>
    </row>
    <row r="5757" spans="1:8">
      <c r="A5757" s="39">
        <v>3.21568795895768</v>
      </c>
      <c r="B5757" s="45">
        <v>5</v>
      </c>
      <c r="D5757" s="2"/>
      <c r="E5757" s="31"/>
      <c r="G5757" s="43"/>
      <c r="H5757" s="2"/>
    </row>
    <row r="5758" spans="1:8">
      <c r="A5758" s="39">
        <v>3.21544919457414</v>
      </c>
      <c r="B5758" s="45">
        <v>11.3</v>
      </c>
      <c r="D5758" s="2"/>
      <c r="E5758" s="31"/>
      <c r="G5758" s="43"/>
      <c r="H5758" s="2"/>
    </row>
    <row r="5759" spans="1:8">
      <c r="A5759" s="39">
        <v>3.21534687511275</v>
      </c>
      <c r="B5759" s="45">
        <v>2.5</v>
      </c>
      <c r="D5759" s="2"/>
      <c r="E5759" s="31"/>
      <c r="G5759" s="43"/>
      <c r="H5759" s="2"/>
    </row>
    <row r="5760" spans="1:8">
      <c r="A5760" s="39">
        <v>3.21534687511275</v>
      </c>
      <c r="B5760" s="45">
        <v>2</v>
      </c>
      <c r="D5760" s="2"/>
      <c r="E5760" s="31"/>
      <c r="G5760" s="43"/>
      <c r="H5760" s="2"/>
    </row>
    <row r="5761" spans="1:8">
      <c r="A5761" s="39">
        <v>3.21492177011759</v>
      </c>
      <c r="B5761" s="45">
        <v>3</v>
      </c>
      <c r="D5761" s="2"/>
      <c r="E5761" s="31"/>
      <c r="G5761" s="43"/>
      <c r="H5761" s="2"/>
    </row>
    <row r="5762" spans="1:8">
      <c r="A5762" s="39">
        <v>3.21453538723478</v>
      </c>
      <c r="B5762" s="45">
        <v>14</v>
      </c>
      <c r="D5762" s="2"/>
      <c r="E5762" s="31"/>
      <c r="G5762" s="43"/>
      <c r="H5762" s="2"/>
    </row>
    <row r="5763" spans="1:8">
      <c r="A5763" s="39">
        <v>3.21452913684339</v>
      </c>
      <c r="B5763" s="45">
        <v>3.9</v>
      </c>
      <c r="D5763" s="2"/>
      <c r="E5763" s="31"/>
      <c r="G5763" s="43"/>
      <c r="H5763" s="2"/>
    </row>
    <row r="5764" spans="1:8">
      <c r="A5764" s="39">
        <v>3.21445586437378</v>
      </c>
      <c r="B5764" s="45">
        <v>9</v>
      </c>
      <c r="D5764" s="2"/>
      <c r="E5764" s="31"/>
      <c r="G5764" s="43"/>
      <c r="H5764" s="2"/>
    </row>
    <row r="5765" spans="1:8">
      <c r="A5765" s="39">
        <v>3.21440397031762</v>
      </c>
      <c r="B5765" s="45">
        <v>8</v>
      </c>
      <c r="D5765" s="2"/>
      <c r="E5765" s="31"/>
      <c r="G5765" s="43"/>
      <c r="H5765" s="2"/>
    </row>
    <row r="5766" spans="1:8">
      <c r="A5766" s="39">
        <v>3.21423730731791</v>
      </c>
      <c r="B5766" s="45">
        <v>5.3</v>
      </c>
      <c r="D5766" s="2"/>
      <c r="E5766" s="31"/>
      <c r="G5766" s="43"/>
      <c r="H5766" s="2"/>
    </row>
    <row r="5767" spans="1:8">
      <c r="A5767" s="39">
        <v>3.21395263654338</v>
      </c>
      <c r="B5767" s="45">
        <v>6</v>
      </c>
      <c r="D5767" s="2"/>
      <c r="E5767" s="31"/>
      <c r="G5767" s="43"/>
      <c r="H5767" s="2"/>
    </row>
    <row r="5768" spans="1:8">
      <c r="A5768" s="39">
        <v>3.21225530456206</v>
      </c>
      <c r="B5768" s="45">
        <v>19</v>
      </c>
      <c r="D5768" s="2"/>
      <c r="E5768" s="31"/>
      <c r="G5768" s="43"/>
      <c r="H5768" s="2"/>
    </row>
    <row r="5769" spans="1:8">
      <c r="A5769" s="39">
        <v>3.21125818376596</v>
      </c>
      <c r="B5769" s="45">
        <v>9.7</v>
      </c>
      <c r="D5769" s="2"/>
      <c r="E5769" s="31"/>
      <c r="G5769" s="43"/>
      <c r="H5769" s="2"/>
    </row>
    <row r="5770" spans="1:8">
      <c r="A5770" s="39">
        <v>3.21097484846507</v>
      </c>
      <c r="B5770" s="45">
        <v>13</v>
      </c>
      <c r="D5770" s="2"/>
      <c r="E5770" s="31"/>
      <c r="G5770" s="43"/>
      <c r="H5770" s="2"/>
    </row>
    <row r="5771" spans="1:8">
      <c r="A5771" s="39">
        <v>3.21093769793737</v>
      </c>
      <c r="B5771" s="45">
        <v>1.9</v>
      </c>
      <c r="D5771" s="2"/>
      <c r="E5771" s="31"/>
      <c r="G5771" s="43"/>
      <c r="H5771" s="2"/>
    </row>
    <row r="5772" spans="1:8">
      <c r="A5772" s="39">
        <v>3.2104404454966</v>
      </c>
      <c r="B5772" s="45">
        <v>9.9</v>
      </c>
      <c r="D5772" s="2"/>
      <c r="E5772" s="31"/>
      <c r="G5772" s="43"/>
      <c r="H5772" s="2"/>
    </row>
    <row r="5773" spans="1:8">
      <c r="A5773" s="39">
        <v>3.2101305305198</v>
      </c>
      <c r="B5773" s="45">
        <v>11.9</v>
      </c>
      <c r="D5773" s="2"/>
      <c r="E5773" s="31"/>
      <c r="G5773" s="43"/>
      <c r="H5773" s="2"/>
    </row>
    <row r="5774" spans="1:8">
      <c r="A5774" s="39">
        <v>3.20965099761089</v>
      </c>
      <c r="B5774" s="45">
        <v>1</v>
      </c>
      <c r="D5774" s="2"/>
      <c r="E5774" s="31"/>
      <c r="G5774" s="43"/>
      <c r="H5774" s="2"/>
    </row>
    <row r="5775" spans="1:8">
      <c r="A5775" s="39">
        <v>3.20964995854748</v>
      </c>
      <c r="B5775" s="45">
        <v>9.8</v>
      </c>
      <c r="D5775" s="2"/>
      <c r="E5775" s="31"/>
      <c r="G5775" s="43"/>
      <c r="H5775" s="2"/>
    </row>
    <row r="5776" spans="1:8">
      <c r="A5776" s="39">
        <v>3.20939041688798</v>
      </c>
      <c r="B5776" s="45">
        <v>10.4</v>
      </c>
      <c r="D5776" s="2"/>
      <c r="E5776" s="31"/>
      <c r="G5776" s="43"/>
      <c r="H5776" s="2"/>
    </row>
    <row r="5777" spans="1:8">
      <c r="A5777" s="39">
        <v>3.20798723068853</v>
      </c>
      <c r="B5777" s="45">
        <v>7</v>
      </c>
      <c r="D5777" s="2"/>
      <c r="E5777" s="31"/>
      <c r="G5777" s="43"/>
      <c r="H5777" s="2"/>
    </row>
    <row r="5778" spans="1:8">
      <c r="A5778" s="39">
        <v>3.20740246133304</v>
      </c>
      <c r="B5778" s="45">
        <v>2</v>
      </c>
      <c r="D5778" s="2"/>
      <c r="E5778" s="31"/>
      <c r="G5778" s="43"/>
      <c r="H5778" s="2"/>
    </row>
    <row r="5779" spans="1:8">
      <c r="A5779" s="39">
        <v>3.20739267932107</v>
      </c>
      <c r="B5779" s="45">
        <v>4.7</v>
      </c>
      <c r="D5779" s="2"/>
      <c r="E5779" s="31"/>
      <c r="G5779" s="43"/>
      <c r="H5779" s="2"/>
    </row>
    <row r="5780" spans="1:8">
      <c r="A5780" s="39">
        <v>3.20716949241917</v>
      </c>
      <c r="B5780" s="45">
        <v>5.8</v>
      </c>
      <c r="D5780" s="2"/>
      <c r="E5780" s="31"/>
      <c r="G5780" s="43"/>
      <c r="H5780" s="2"/>
    </row>
    <row r="5781" spans="1:8">
      <c r="A5781" s="39">
        <v>3.20711724454287</v>
      </c>
      <c r="B5781" s="45">
        <v>0</v>
      </c>
      <c r="D5781" s="2"/>
      <c r="E5781" s="31"/>
      <c r="G5781" s="43"/>
      <c r="H5781" s="2"/>
    </row>
    <row r="5782" spans="1:8">
      <c r="A5782" s="39">
        <v>3.20670821652138</v>
      </c>
      <c r="B5782" s="45">
        <v>7.9</v>
      </c>
      <c r="D5782" s="2"/>
      <c r="E5782" s="31"/>
      <c r="G5782" s="43"/>
      <c r="H5782" s="2"/>
    </row>
    <row r="5783" spans="1:8">
      <c r="A5783" s="39">
        <v>3.20626173797246</v>
      </c>
      <c r="B5783" s="45">
        <v>4.4</v>
      </c>
      <c r="D5783" s="2"/>
      <c r="E5783" s="31"/>
      <c r="G5783" s="43"/>
      <c r="H5783" s="2"/>
    </row>
    <row r="5784" spans="1:8">
      <c r="A5784" s="39">
        <v>3.20626173797246</v>
      </c>
      <c r="B5784" s="45">
        <v>13.5</v>
      </c>
      <c r="D5784" s="2"/>
      <c r="E5784" s="31"/>
      <c r="G5784" s="43"/>
      <c r="H5784" s="2"/>
    </row>
    <row r="5785" spans="1:8">
      <c r="A5785" s="39">
        <v>3.2060237537217</v>
      </c>
      <c r="B5785" s="45">
        <v>17.2</v>
      </c>
      <c r="D5785" s="2"/>
      <c r="E5785" s="31"/>
      <c r="G5785" s="43"/>
      <c r="H5785" s="2"/>
    </row>
    <row r="5786" spans="1:8">
      <c r="A5786" s="39">
        <v>3.20580930729538</v>
      </c>
      <c r="B5786" s="45">
        <v>3.4</v>
      </c>
      <c r="D5786" s="2"/>
      <c r="E5786" s="31"/>
      <c r="G5786" s="43"/>
      <c r="H5786" s="2"/>
    </row>
    <row r="5787" spans="1:8">
      <c r="A5787" s="39">
        <v>3.20558843647351</v>
      </c>
      <c r="B5787" s="45">
        <v>11.2</v>
      </c>
      <c r="D5787" s="2"/>
      <c r="E5787" s="31"/>
      <c r="G5787" s="43"/>
      <c r="H5787" s="2"/>
    </row>
    <row r="5788" spans="1:8">
      <c r="A5788" s="39">
        <v>3.20558843647351</v>
      </c>
      <c r="B5788" s="45">
        <v>5.9</v>
      </c>
      <c r="D5788" s="2"/>
      <c r="E5788" s="31"/>
      <c r="G5788" s="43"/>
      <c r="H5788" s="2"/>
    </row>
    <row r="5789" spans="1:8">
      <c r="A5789" s="39">
        <v>3.20542858639683</v>
      </c>
      <c r="B5789" s="45">
        <v>8</v>
      </c>
      <c r="D5789" s="2"/>
      <c r="E5789" s="31"/>
      <c r="G5789" s="43"/>
      <c r="H5789" s="2"/>
    </row>
    <row r="5790" spans="1:8">
      <c r="A5790" s="39">
        <v>3.20533929092201</v>
      </c>
      <c r="B5790" s="45">
        <v>10.2</v>
      </c>
      <c r="D5790" s="2"/>
      <c r="E5790" s="31"/>
      <c r="G5790" s="43"/>
      <c r="H5790" s="2"/>
    </row>
    <row r="5791" spans="1:8">
      <c r="A5791" s="39">
        <v>3.20526451386735</v>
      </c>
      <c r="B5791" s="45">
        <v>0</v>
      </c>
      <c r="D5791" s="2"/>
      <c r="E5791" s="31"/>
      <c r="G5791" s="43"/>
      <c r="H5791" s="2"/>
    </row>
    <row r="5792" spans="1:8">
      <c r="A5792" s="39">
        <v>3.20453703667401</v>
      </c>
      <c r="B5792" s="45">
        <v>7.1</v>
      </c>
      <c r="D5792" s="2"/>
      <c r="E5792" s="31"/>
      <c r="G5792" s="43"/>
      <c r="H5792" s="2"/>
    </row>
    <row r="5793" spans="1:8">
      <c r="A5793" s="39">
        <v>3.20374231934255</v>
      </c>
      <c r="B5793" s="45">
        <v>7.8</v>
      </c>
      <c r="D5793" s="2"/>
      <c r="E5793" s="31"/>
      <c r="G5793" s="43"/>
      <c r="H5793" s="2"/>
    </row>
    <row r="5794" spans="1:8">
      <c r="A5794" s="39">
        <v>3.20328590252296</v>
      </c>
      <c r="B5794" s="45">
        <v>15.5</v>
      </c>
      <c r="D5794" s="2"/>
      <c r="E5794" s="31"/>
      <c r="G5794" s="43"/>
      <c r="H5794" s="2"/>
    </row>
    <row r="5795" spans="1:8">
      <c r="A5795" s="39">
        <v>3.20319576431722</v>
      </c>
      <c r="B5795" s="45">
        <v>8</v>
      </c>
      <c r="D5795" s="2"/>
      <c r="E5795" s="31"/>
      <c r="G5795" s="43"/>
      <c r="H5795" s="2"/>
    </row>
    <row r="5796" spans="1:8">
      <c r="A5796" s="39">
        <v>3.2028428970182</v>
      </c>
      <c r="B5796" s="45">
        <v>9.3</v>
      </c>
      <c r="D5796" s="2"/>
      <c r="E5796" s="31"/>
      <c r="G5796" s="43"/>
      <c r="H5796" s="2"/>
    </row>
    <row r="5797" spans="1:8">
      <c r="A5797" s="39">
        <v>3.20226306280303</v>
      </c>
      <c r="B5797" s="45">
        <v>11</v>
      </c>
      <c r="D5797" s="2"/>
      <c r="E5797" s="31"/>
      <c r="G5797" s="43"/>
      <c r="H5797" s="2"/>
    </row>
    <row r="5798" spans="1:8">
      <c r="A5798" s="39">
        <v>3.20206549945341</v>
      </c>
      <c r="B5798" s="45">
        <v>8</v>
      </c>
      <c r="D5798" s="2"/>
      <c r="E5798" s="31"/>
      <c r="G5798" s="43"/>
      <c r="H5798" s="2"/>
    </row>
    <row r="5799" spans="1:8">
      <c r="A5799" s="39">
        <v>3.20162712790063</v>
      </c>
      <c r="B5799" s="45">
        <v>1</v>
      </c>
      <c r="D5799" s="2"/>
      <c r="E5799" s="31"/>
      <c r="G5799" s="43"/>
      <c r="H5799" s="2"/>
    </row>
    <row r="5800" spans="1:8">
      <c r="A5800" s="39">
        <v>3.20100223743769</v>
      </c>
      <c r="B5800" s="45">
        <v>0</v>
      </c>
      <c r="D5800" s="2"/>
      <c r="E5800" s="31"/>
      <c r="G5800" s="43"/>
      <c r="H5800" s="2"/>
    </row>
    <row r="5801" spans="1:8">
      <c r="A5801" s="39">
        <v>3.20065799813497</v>
      </c>
      <c r="B5801" s="45">
        <v>26</v>
      </c>
      <c r="D5801" s="2"/>
      <c r="E5801" s="31"/>
      <c r="G5801" s="43"/>
      <c r="H5801" s="2"/>
    </row>
    <row r="5802" spans="1:8">
      <c r="A5802" s="39">
        <v>3.19986358852454</v>
      </c>
      <c r="B5802" s="45">
        <v>1</v>
      </c>
      <c r="D5802" s="2"/>
      <c r="E5802" s="31"/>
      <c r="G5802" s="43"/>
      <c r="H5802" s="2"/>
    </row>
    <row r="5803" spans="1:8">
      <c r="A5803" s="39">
        <v>3.19986358852454</v>
      </c>
      <c r="B5803" s="45">
        <v>4.5</v>
      </c>
      <c r="D5803" s="2"/>
      <c r="E5803" s="31"/>
      <c r="G5803" s="43"/>
      <c r="H5803" s="2"/>
    </row>
    <row r="5804" spans="1:8">
      <c r="A5804" s="39">
        <v>3.19952872298302</v>
      </c>
      <c r="B5804" s="45">
        <v>12</v>
      </c>
      <c r="D5804" s="2"/>
      <c r="E5804" s="31"/>
      <c r="G5804" s="43"/>
      <c r="H5804" s="2"/>
    </row>
    <row r="5805" spans="1:8">
      <c r="A5805" s="39">
        <v>3.19924520772079</v>
      </c>
      <c r="B5805" s="45">
        <v>4</v>
      </c>
      <c r="D5805" s="2"/>
      <c r="E5805" s="31"/>
      <c r="G5805" s="43"/>
      <c r="H5805" s="2"/>
    </row>
    <row r="5806" spans="1:8">
      <c r="A5806" s="39">
        <v>3.19798974193392</v>
      </c>
      <c r="B5806" s="45">
        <v>18</v>
      </c>
      <c r="D5806" s="2"/>
      <c r="E5806" s="31"/>
      <c r="G5806" s="43"/>
      <c r="H5806" s="2"/>
    </row>
    <row r="5807" spans="1:8">
      <c r="A5807" s="39">
        <v>3.19735663318689</v>
      </c>
      <c r="B5807" s="45">
        <v>3.5</v>
      </c>
      <c r="D5807" s="2"/>
      <c r="E5807" s="31"/>
      <c r="G5807" s="43"/>
      <c r="H5807" s="2"/>
    </row>
    <row r="5808" spans="1:8">
      <c r="A5808" s="39">
        <v>3.1971257373258</v>
      </c>
      <c r="B5808" s="45">
        <v>7.2</v>
      </c>
      <c r="D5808" s="2"/>
      <c r="E5808" s="31"/>
      <c r="G5808" s="43"/>
      <c r="H5808" s="2"/>
    </row>
    <row r="5809" spans="1:8">
      <c r="A5809" s="39">
        <v>3.19685653331388</v>
      </c>
      <c r="B5809" s="45">
        <v>8.4</v>
      </c>
      <c r="D5809" s="2"/>
      <c r="E5809" s="31"/>
      <c r="G5809" s="43"/>
      <c r="H5809" s="2"/>
    </row>
    <row r="5810" spans="1:8">
      <c r="A5810" s="39">
        <v>3.19683551698724</v>
      </c>
      <c r="B5810" s="45">
        <v>14.6</v>
      </c>
      <c r="D5810" s="2"/>
      <c r="E5810" s="31"/>
      <c r="G5810" s="43"/>
      <c r="H5810" s="2"/>
    </row>
    <row r="5811" spans="1:8">
      <c r="A5811" s="39">
        <v>3.19653478754724</v>
      </c>
      <c r="B5811" s="45">
        <v>6</v>
      </c>
      <c r="D5811" s="2"/>
      <c r="E5811" s="31"/>
      <c r="G5811" s="43"/>
      <c r="H5811" s="2"/>
    </row>
    <row r="5812" spans="1:8">
      <c r="A5812" s="39">
        <v>3.19648550264913</v>
      </c>
      <c r="B5812" s="45">
        <v>10</v>
      </c>
      <c r="D5812" s="2"/>
      <c r="E5812" s="31"/>
      <c r="G5812" s="43"/>
      <c r="H5812" s="2"/>
    </row>
    <row r="5813" spans="1:8">
      <c r="A5813" s="39">
        <v>3.1957822004361</v>
      </c>
      <c r="B5813" s="45">
        <v>4.5</v>
      </c>
      <c r="D5813" s="2"/>
      <c r="E5813" s="31"/>
      <c r="G5813" s="43"/>
      <c r="H5813" s="2"/>
    </row>
    <row r="5814" spans="1:8">
      <c r="A5814" s="39">
        <v>3.19564751842338</v>
      </c>
      <c r="B5814" s="45">
        <v>7</v>
      </c>
      <c r="D5814" s="2"/>
      <c r="E5814" s="31"/>
      <c r="G5814" s="43"/>
      <c r="H5814" s="2"/>
    </row>
    <row r="5815" spans="1:8">
      <c r="A5815" s="39">
        <v>3.19548891398935</v>
      </c>
      <c r="B5815" s="45">
        <v>5.15</v>
      </c>
      <c r="D5815" s="2"/>
      <c r="E5815" s="31"/>
      <c r="G5815" s="43"/>
      <c r="H5815" s="2"/>
    </row>
    <row r="5816" spans="1:8">
      <c r="A5816" s="39">
        <v>3.19523639732222</v>
      </c>
      <c r="B5816" s="45">
        <v>6.6</v>
      </c>
      <c r="D5816" s="2"/>
      <c r="E5816" s="31"/>
      <c r="G5816" s="43"/>
      <c r="H5816" s="2"/>
    </row>
    <row r="5817" spans="1:8">
      <c r="A5817" s="39">
        <v>3.19490341837882</v>
      </c>
      <c r="B5817" s="45">
        <v>12.5</v>
      </c>
      <c r="D5817" s="2"/>
      <c r="E5817" s="31"/>
      <c r="G5817" s="43"/>
      <c r="H5817" s="2"/>
    </row>
    <row r="5818" spans="1:8">
      <c r="A5818" s="39">
        <v>3.19490341837882</v>
      </c>
      <c r="B5818" s="45">
        <v>5.6</v>
      </c>
      <c r="D5818" s="2"/>
      <c r="E5818" s="31"/>
      <c r="G5818" s="43"/>
      <c r="H5818" s="2"/>
    </row>
    <row r="5819" spans="1:8">
      <c r="A5819" s="39">
        <v>3.19487515602019</v>
      </c>
      <c r="B5819" s="45">
        <v>17</v>
      </c>
      <c r="D5819" s="2"/>
      <c r="E5819" s="31"/>
      <c r="G5819" s="43"/>
      <c r="H5819" s="2"/>
    </row>
    <row r="5820" spans="1:8">
      <c r="A5820" s="39">
        <v>3.19435235596721</v>
      </c>
      <c r="B5820" s="45">
        <v>13.8</v>
      </c>
      <c r="D5820" s="2"/>
      <c r="E5820" s="31"/>
      <c r="G5820" s="43"/>
      <c r="H5820" s="2"/>
    </row>
    <row r="5821" spans="1:8">
      <c r="A5821" s="39">
        <v>3.19432424220199</v>
      </c>
      <c r="B5821" s="45">
        <v>20.3</v>
      </c>
      <c r="D5821" s="2"/>
      <c r="E5821" s="31"/>
      <c r="G5821" s="43"/>
      <c r="H5821" s="2"/>
    </row>
    <row r="5822" spans="1:8">
      <c r="A5822" s="39">
        <v>3.19346900949252</v>
      </c>
      <c r="B5822" s="45">
        <v>12.5</v>
      </c>
      <c r="D5822" s="2"/>
      <c r="E5822" s="31"/>
      <c r="G5822" s="43"/>
      <c r="H5822" s="2"/>
    </row>
    <row r="5823" spans="1:8">
      <c r="A5823" s="39">
        <v>3.19301896052769</v>
      </c>
      <c r="B5823" s="45">
        <v>5.6</v>
      </c>
      <c r="D5823" s="2"/>
      <c r="E5823" s="31"/>
      <c r="G5823" s="43"/>
      <c r="H5823" s="2"/>
    </row>
    <row r="5824" spans="1:8">
      <c r="A5824" s="39">
        <v>3.19284651642116</v>
      </c>
      <c r="B5824" s="45">
        <v>0</v>
      </c>
      <c r="D5824" s="2"/>
      <c r="E5824" s="31"/>
      <c r="G5824" s="43"/>
      <c r="H5824" s="2"/>
    </row>
    <row r="5825" spans="1:8">
      <c r="A5825" s="39">
        <v>3.19273848371549</v>
      </c>
      <c r="B5825" s="45">
        <v>7.7</v>
      </c>
      <c r="D5825" s="2"/>
      <c r="E5825" s="31"/>
      <c r="G5825" s="43"/>
      <c r="H5825" s="2"/>
    </row>
    <row r="5826" spans="1:8">
      <c r="A5826" s="39">
        <v>3.1922010908435</v>
      </c>
      <c r="B5826" s="45">
        <v>8.7</v>
      </c>
      <c r="D5826" s="2"/>
      <c r="E5826" s="31"/>
      <c r="G5826" s="43"/>
      <c r="H5826" s="2"/>
    </row>
    <row r="5827" spans="1:8">
      <c r="A5827" s="39">
        <v>3.19212240649463</v>
      </c>
      <c r="B5827" s="45">
        <v>2</v>
      </c>
      <c r="D5827" s="2"/>
      <c r="E5827" s="31"/>
      <c r="G5827" s="43"/>
      <c r="H5827" s="2"/>
    </row>
    <row r="5828" spans="1:8">
      <c r="A5828" s="39">
        <v>3.19212240649463</v>
      </c>
      <c r="B5828" s="45">
        <v>7.1</v>
      </c>
      <c r="D5828" s="2"/>
      <c r="E5828" s="31"/>
      <c r="G5828" s="43"/>
      <c r="H5828" s="2"/>
    </row>
    <row r="5829" spans="1:8">
      <c r="A5829" s="39">
        <v>3.19165003492832</v>
      </c>
      <c r="B5829" s="45">
        <v>10.9</v>
      </c>
      <c r="D5829" s="2"/>
      <c r="E5829" s="31"/>
      <c r="G5829" s="43"/>
      <c r="H5829" s="2"/>
    </row>
    <row r="5830" spans="1:8">
      <c r="A5830" s="39">
        <v>3.19139092192997</v>
      </c>
      <c r="B5830" s="45">
        <v>7.5</v>
      </c>
      <c r="D5830" s="2"/>
      <c r="E5830" s="31"/>
      <c r="G5830" s="43"/>
      <c r="H5830" s="2"/>
    </row>
    <row r="5831" spans="1:8">
      <c r="A5831" s="39">
        <v>3.19135734589464</v>
      </c>
      <c r="B5831" s="45">
        <v>9.7</v>
      </c>
      <c r="D5831" s="2"/>
      <c r="E5831" s="31"/>
      <c r="G5831" s="43"/>
      <c r="H5831" s="2"/>
    </row>
    <row r="5832" spans="1:8">
      <c r="A5832" s="39">
        <v>3.19096557212864</v>
      </c>
      <c r="B5832" s="45">
        <v>7.2</v>
      </c>
      <c r="D5832" s="2"/>
      <c r="E5832" s="31"/>
      <c r="G5832" s="43"/>
      <c r="H5832" s="2"/>
    </row>
    <row r="5833" spans="1:8">
      <c r="A5833" s="39">
        <v>3.18998749280715</v>
      </c>
      <c r="B5833" s="45">
        <v>25</v>
      </c>
      <c r="D5833" s="2"/>
      <c r="E5833" s="31"/>
      <c r="G5833" s="43"/>
      <c r="H5833" s="2"/>
    </row>
    <row r="5834" spans="1:8">
      <c r="A5834" s="39">
        <v>3.18942920049885</v>
      </c>
      <c r="B5834" s="45">
        <v>8.2</v>
      </c>
      <c r="D5834" s="2"/>
      <c r="E5834" s="31"/>
      <c r="G5834" s="43"/>
      <c r="H5834" s="2"/>
    </row>
    <row r="5835" spans="1:8">
      <c r="A5835" s="39">
        <v>3.18891218372959</v>
      </c>
      <c r="B5835" s="45">
        <v>12.2</v>
      </c>
      <c r="D5835" s="2"/>
      <c r="E5835" s="31"/>
      <c r="G5835" s="43"/>
      <c r="H5835" s="2"/>
    </row>
    <row r="5836" spans="1:8">
      <c r="A5836" s="39">
        <v>3.18845213982856</v>
      </c>
      <c r="B5836" s="45">
        <v>6</v>
      </c>
      <c r="D5836" s="2"/>
      <c r="E5836" s="31"/>
      <c r="G5836" s="43"/>
      <c r="H5836" s="2"/>
    </row>
    <row r="5837" spans="1:8">
      <c r="A5837" s="39">
        <v>3.18845213982856</v>
      </c>
      <c r="B5837" s="45">
        <v>11</v>
      </c>
      <c r="D5837" s="2"/>
      <c r="E5837" s="31"/>
      <c r="G5837" s="43"/>
      <c r="H5837" s="2"/>
    </row>
    <row r="5838" spans="1:8">
      <c r="A5838" s="39">
        <v>3.1882277209299</v>
      </c>
      <c r="B5838" s="45">
        <v>1.15</v>
      </c>
      <c r="D5838" s="2"/>
      <c r="E5838" s="31"/>
      <c r="G5838" s="43"/>
      <c r="H5838" s="2"/>
    </row>
    <row r="5839" spans="1:8">
      <c r="A5839" s="39">
        <v>3.18790375933238</v>
      </c>
      <c r="B5839" s="45">
        <v>7.3</v>
      </c>
      <c r="D5839" s="2"/>
      <c r="E5839" s="31"/>
      <c r="G5839" s="43"/>
      <c r="H5839" s="2"/>
    </row>
    <row r="5840" spans="1:8">
      <c r="A5840" s="39">
        <v>3.18790375933238</v>
      </c>
      <c r="B5840" s="45">
        <v>9.5</v>
      </c>
      <c r="D5840" s="2"/>
      <c r="E5840" s="31"/>
      <c r="G5840" s="43"/>
      <c r="H5840" s="2"/>
    </row>
    <row r="5841" spans="1:8">
      <c r="A5841" s="39">
        <v>3.1878395357691</v>
      </c>
      <c r="B5841" s="45">
        <v>22.06</v>
      </c>
      <c r="D5841" s="2"/>
      <c r="E5841" s="31"/>
      <c r="G5841" s="43"/>
      <c r="H5841" s="2"/>
    </row>
    <row r="5842" spans="1:8">
      <c r="A5842" s="39">
        <v>3.1878395357691</v>
      </c>
      <c r="B5842" s="45">
        <v>11</v>
      </c>
      <c r="D5842" s="2"/>
      <c r="E5842" s="31"/>
      <c r="G5842" s="43"/>
      <c r="H5842" s="2"/>
    </row>
    <row r="5843" spans="1:8">
      <c r="A5843" s="39">
        <v>3.187751935702</v>
      </c>
      <c r="B5843" s="45">
        <v>4</v>
      </c>
      <c r="D5843" s="2"/>
      <c r="E5843" s="31"/>
      <c r="G5843" s="43"/>
      <c r="H5843" s="2"/>
    </row>
    <row r="5844" spans="1:8">
      <c r="A5844" s="39">
        <v>3.18707758403378</v>
      </c>
      <c r="B5844" s="45">
        <v>3.2</v>
      </c>
      <c r="D5844" s="2"/>
      <c r="E5844" s="31"/>
      <c r="G5844" s="43"/>
      <c r="H5844" s="2"/>
    </row>
    <row r="5845" spans="1:8">
      <c r="A5845" s="39">
        <v>3.18587923429134</v>
      </c>
      <c r="B5845" s="45">
        <v>2</v>
      </c>
      <c r="D5845" s="2"/>
      <c r="E5845" s="31"/>
      <c r="G5845" s="43"/>
      <c r="H5845" s="2"/>
    </row>
    <row r="5846" spans="1:8">
      <c r="A5846" s="39">
        <v>3.18587923429134</v>
      </c>
      <c r="B5846" s="45">
        <v>11.1</v>
      </c>
      <c r="D5846" s="2"/>
      <c r="E5846" s="31"/>
      <c r="G5846" s="43"/>
      <c r="H5846" s="2"/>
    </row>
    <row r="5847" spans="1:8">
      <c r="A5847" s="39">
        <v>3.18538939150519</v>
      </c>
      <c r="B5847" s="45">
        <v>9.7</v>
      </c>
      <c r="D5847" s="2"/>
      <c r="E5847" s="31"/>
      <c r="G5847" s="43"/>
      <c r="H5847" s="2"/>
    </row>
    <row r="5848" spans="1:8">
      <c r="A5848" s="39">
        <v>3.18538939150519</v>
      </c>
      <c r="B5848" s="45">
        <v>5</v>
      </c>
      <c r="D5848" s="2"/>
      <c r="E5848" s="31"/>
      <c r="G5848" s="43"/>
      <c r="H5848" s="2"/>
    </row>
    <row r="5849" spans="1:8">
      <c r="A5849" s="39">
        <v>3.1850388716583</v>
      </c>
      <c r="B5849" s="45">
        <v>4.5</v>
      </c>
      <c r="D5849" s="2"/>
      <c r="E5849" s="31"/>
      <c r="G5849" s="43"/>
      <c r="H5849" s="2"/>
    </row>
    <row r="5850" spans="1:8">
      <c r="A5850" s="39">
        <v>3.18489515245376</v>
      </c>
      <c r="B5850" s="45">
        <v>11.9</v>
      </c>
      <c r="D5850" s="2"/>
      <c r="E5850" s="31"/>
      <c r="G5850" s="43"/>
      <c r="H5850" s="2"/>
    </row>
    <row r="5851" spans="1:8">
      <c r="A5851" s="39">
        <v>3.18485445053115</v>
      </c>
      <c r="B5851" s="45">
        <v>10.1</v>
      </c>
      <c r="D5851" s="2"/>
      <c r="E5851" s="31"/>
      <c r="G5851" s="43"/>
      <c r="H5851" s="2"/>
    </row>
    <row r="5852" spans="1:8">
      <c r="A5852" s="39">
        <v>3.18484074671962</v>
      </c>
      <c r="B5852" s="45">
        <v>7.3</v>
      </c>
      <c r="D5852" s="2"/>
      <c r="E5852" s="31"/>
      <c r="G5852" s="43"/>
      <c r="H5852" s="2"/>
    </row>
    <row r="5853" spans="1:8">
      <c r="A5853" s="39">
        <v>3.18432264973978</v>
      </c>
      <c r="B5853" s="45">
        <v>10.5</v>
      </c>
      <c r="D5853" s="2"/>
      <c r="E5853" s="31"/>
      <c r="G5853" s="43"/>
      <c r="H5853" s="2"/>
    </row>
    <row r="5854" spans="1:8">
      <c r="A5854" s="39">
        <v>3.18358836318898</v>
      </c>
      <c r="B5854" s="45">
        <v>6.2</v>
      </c>
      <c r="D5854" s="2"/>
      <c r="E5854" s="31"/>
      <c r="G5854" s="43"/>
      <c r="H5854" s="2"/>
    </row>
    <row r="5855" spans="1:8">
      <c r="A5855" s="39">
        <v>3.18269618550941</v>
      </c>
      <c r="B5855" s="45">
        <v>1</v>
      </c>
      <c r="D5855" s="2"/>
      <c r="E5855" s="31"/>
      <c r="G5855" s="43"/>
      <c r="H5855" s="2"/>
    </row>
    <row r="5856" spans="1:8">
      <c r="A5856" s="39">
        <v>3.18263734433846</v>
      </c>
      <c r="B5856" s="45">
        <v>5</v>
      </c>
      <c r="D5856" s="2"/>
      <c r="E5856" s="31"/>
      <c r="G5856" s="43"/>
      <c r="H5856" s="2"/>
    </row>
    <row r="5857" spans="1:8">
      <c r="A5857" s="39">
        <v>3.18263734433846</v>
      </c>
      <c r="B5857" s="45">
        <v>14.3</v>
      </c>
      <c r="D5857" s="2"/>
      <c r="E5857" s="31"/>
      <c r="G5857" s="43"/>
      <c r="H5857" s="2"/>
    </row>
    <row r="5858" spans="1:8">
      <c r="A5858" s="39">
        <v>3.18236048099524</v>
      </c>
      <c r="B5858" s="45">
        <v>9.7</v>
      </c>
      <c r="D5858" s="2"/>
      <c r="E5858" s="31"/>
      <c r="G5858" s="43"/>
      <c r="H5858" s="2"/>
    </row>
    <row r="5859" spans="1:8">
      <c r="A5859" s="39">
        <v>3.18236048099524</v>
      </c>
      <c r="B5859" s="45">
        <v>13</v>
      </c>
      <c r="D5859" s="2"/>
      <c r="E5859" s="31"/>
      <c r="G5859" s="43"/>
      <c r="H5859" s="2"/>
    </row>
    <row r="5860" spans="1:8">
      <c r="A5860" s="39">
        <v>3.18134958251152</v>
      </c>
      <c r="B5860" s="45">
        <v>10.2</v>
      </c>
      <c r="D5860" s="2"/>
      <c r="E5860" s="31"/>
      <c r="G5860" s="43"/>
      <c r="H5860" s="2"/>
    </row>
    <row r="5861" spans="1:8">
      <c r="A5861" s="39">
        <v>3.18125676123375</v>
      </c>
      <c r="B5861" s="45">
        <v>6</v>
      </c>
      <c r="D5861" s="44"/>
      <c r="E5861" s="31"/>
      <c r="G5861" s="43"/>
      <c r="H5861" s="2"/>
    </row>
    <row r="5862" spans="1:8">
      <c r="A5862" s="39">
        <v>3.18097404303855</v>
      </c>
      <c r="B5862" s="45">
        <v>14</v>
      </c>
      <c r="D5862" s="2"/>
      <c r="E5862" s="31"/>
      <c r="G5862" s="43"/>
      <c r="H5862" s="2"/>
    </row>
    <row r="5863" spans="1:8">
      <c r="A5863" s="39">
        <v>3.18080391551801</v>
      </c>
      <c r="B5863" s="45">
        <v>21</v>
      </c>
      <c r="D5863" s="2"/>
      <c r="E5863" s="31"/>
      <c r="G5863" s="43"/>
      <c r="H5863" s="2"/>
    </row>
    <row r="5864" spans="1:8">
      <c r="A5864" s="39">
        <v>3.18080391551801</v>
      </c>
      <c r="B5864" s="45">
        <v>5</v>
      </c>
      <c r="D5864" s="2"/>
      <c r="E5864" s="31"/>
      <c r="G5864" s="43"/>
      <c r="H5864" s="2"/>
    </row>
    <row r="5865" spans="1:8">
      <c r="A5865" s="39">
        <v>3.18047396324606</v>
      </c>
      <c r="B5865" s="45">
        <v>20</v>
      </c>
      <c r="D5865" s="2"/>
      <c r="E5865" s="31"/>
      <c r="G5865" s="43"/>
      <c r="H5865" s="2"/>
    </row>
    <row r="5866" spans="1:8">
      <c r="A5866" s="39">
        <v>3.18035733890939</v>
      </c>
      <c r="B5866" s="45">
        <v>1</v>
      </c>
      <c r="D5866" s="2"/>
      <c r="E5866" s="31"/>
      <c r="G5866" s="43"/>
      <c r="H5866" s="2"/>
    </row>
    <row r="5867" spans="1:8">
      <c r="A5867" s="39">
        <v>3.18035733890939</v>
      </c>
      <c r="B5867" s="45">
        <v>6.2</v>
      </c>
      <c r="D5867" s="2"/>
      <c r="E5867" s="31"/>
      <c r="G5867" s="43"/>
      <c r="H5867" s="2"/>
    </row>
    <row r="5868" spans="1:8">
      <c r="A5868" s="39">
        <v>3.18002531822866</v>
      </c>
      <c r="B5868" s="45">
        <v>10.3</v>
      </c>
      <c r="D5868" s="2"/>
      <c r="E5868" s="31"/>
      <c r="G5868" s="43"/>
      <c r="H5868" s="2"/>
    </row>
    <row r="5869" spans="1:8">
      <c r="A5869" s="39">
        <v>3.17966688296333</v>
      </c>
      <c r="B5869" s="45">
        <v>12.8</v>
      </c>
      <c r="D5869" s="2"/>
      <c r="E5869" s="31"/>
      <c r="G5869" s="43"/>
      <c r="H5869" s="2"/>
    </row>
    <row r="5870" spans="1:8">
      <c r="A5870" s="39">
        <v>3.17945791658504</v>
      </c>
      <c r="B5870" s="45">
        <v>6</v>
      </c>
      <c r="D5870" s="2"/>
      <c r="E5870" s="31"/>
      <c r="G5870" s="43"/>
      <c r="H5870" s="2"/>
    </row>
    <row r="5871" spans="1:8">
      <c r="A5871" s="39">
        <v>3.17932970453401</v>
      </c>
      <c r="B5871" s="45">
        <v>1.4</v>
      </c>
      <c r="D5871" s="2"/>
      <c r="E5871" s="31"/>
      <c r="G5871" s="43"/>
      <c r="H5871" s="2"/>
    </row>
    <row r="5872" spans="1:8">
      <c r="A5872" s="39">
        <v>3.17884172769914</v>
      </c>
      <c r="B5872" s="45">
        <v>9.7</v>
      </c>
      <c r="D5872" s="2"/>
      <c r="E5872" s="31"/>
      <c r="G5872" s="43"/>
      <c r="H5872" s="2"/>
    </row>
    <row r="5873" spans="1:8">
      <c r="A5873" s="39">
        <v>3.17859287439162</v>
      </c>
      <c r="B5873" s="45">
        <v>10.1</v>
      </c>
      <c r="D5873" s="2"/>
      <c r="E5873" s="31"/>
      <c r="G5873" s="43"/>
      <c r="H5873" s="2"/>
    </row>
    <row r="5874" spans="1:8">
      <c r="A5874" s="39">
        <v>3.17813797703991</v>
      </c>
      <c r="B5874" s="45">
        <v>11</v>
      </c>
      <c r="D5874" s="2"/>
      <c r="E5874" s="31"/>
      <c r="G5874" s="43"/>
      <c r="H5874" s="2"/>
    </row>
    <row r="5875" spans="1:8">
      <c r="A5875" s="39">
        <v>3.1770525628129</v>
      </c>
      <c r="B5875" s="45">
        <v>9.4</v>
      </c>
      <c r="D5875" s="2"/>
      <c r="E5875" s="31"/>
      <c r="G5875" s="43"/>
      <c r="H5875" s="2"/>
    </row>
    <row r="5876" spans="1:8">
      <c r="A5876" s="39">
        <v>3.17673047572147</v>
      </c>
      <c r="B5876" s="45">
        <v>13</v>
      </c>
      <c r="D5876" s="2"/>
      <c r="E5876" s="31"/>
      <c r="G5876" s="43"/>
      <c r="H5876" s="2"/>
    </row>
    <row r="5877" spans="1:8">
      <c r="A5877" s="39">
        <v>3.17639898277529</v>
      </c>
      <c r="B5877" s="45">
        <v>11.5</v>
      </c>
      <c r="D5877" s="2"/>
      <c r="E5877" s="31"/>
      <c r="G5877" s="43"/>
      <c r="H5877" s="2"/>
    </row>
    <row r="5878" spans="1:8">
      <c r="A5878" s="39">
        <v>3.1762307623548</v>
      </c>
      <c r="B5878" s="45">
        <v>12.7</v>
      </c>
      <c r="D5878" s="2"/>
      <c r="E5878" s="31"/>
      <c r="G5878" s="43"/>
      <c r="H5878" s="2"/>
    </row>
    <row r="5879" spans="1:8">
      <c r="A5879" s="39">
        <v>3.17590739053558</v>
      </c>
      <c r="B5879" s="45">
        <v>11.5</v>
      </c>
      <c r="D5879" s="2"/>
      <c r="E5879" s="31"/>
      <c r="G5879" s="43"/>
      <c r="H5879" s="2"/>
    </row>
    <row r="5880" spans="1:8">
      <c r="A5880" s="39">
        <v>3.17586022728763</v>
      </c>
      <c r="B5880" s="45">
        <v>8.2</v>
      </c>
      <c r="D5880" s="2"/>
      <c r="E5880" s="31"/>
      <c r="G5880" s="43"/>
      <c r="H5880" s="2"/>
    </row>
    <row r="5881" spans="1:8">
      <c r="A5881" s="39">
        <v>3.17532297440303</v>
      </c>
      <c r="B5881" s="45">
        <v>2</v>
      </c>
      <c r="D5881" s="2"/>
      <c r="E5881" s="31"/>
      <c r="G5881" s="43"/>
      <c r="H5881" s="2"/>
    </row>
    <row r="5882" spans="1:8">
      <c r="A5882" s="39">
        <v>3.17532297440303</v>
      </c>
      <c r="B5882" s="45">
        <v>4</v>
      </c>
      <c r="D5882" s="2"/>
      <c r="E5882" s="31"/>
      <c r="G5882" s="43"/>
      <c r="H5882" s="2"/>
    </row>
    <row r="5883" spans="1:8">
      <c r="A5883" s="39">
        <v>3.17501176479902</v>
      </c>
      <c r="B5883" s="45">
        <v>8.5</v>
      </c>
      <c r="D5883" s="2"/>
      <c r="E5883" s="31"/>
      <c r="G5883" s="43"/>
      <c r="H5883" s="2"/>
    </row>
    <row r="5884" spans="1:8">
      <c r="A5884" s="39">
        <v>3.1746515852813</v>
      </c>
      <c r="B5884" s="45">
        <v>21</v>
      </c>
      <c r="D5884" s="2"/>
      <c r="E5884" s="31"/>
      <c r="G5884" s="43"/>
      <c r="H5884" s="2"/>
    </row>
    <row r="5885" spans="1:8">
      <c r="A5885" s="39">
        <v>3.1746515852813</v>
      </c>
      <c r="B5885" s="45">
        <v>8.3</v>
      </c>
      <c r="D5885" s="2"/>
      <c r="E5885" s="31"/>
      <c r="G5885" s="43"/>
      <c r="H5885" s="2"/>
    </row>
    <row r="5886" spans="1:8">
      <c r="A5886" s="39">
        <v>3.1746515852813</v>
      </c>
      <c r="B5886" s="45">
        <v>9.5</v>
      </c>
      <c r="D5886" s="2"/>
      <c r="E5886" s="31"/>
      <c r="G5886" s="43"/>
      <c r="H5886" s="2"/>
    </row>
    <row r="5887" spans="1:8">
      <c r="A5887" s="39">
        <v>3.17445996164488</v>
      </c>
      <c r="B5887" s="45">
        <v>5.7</v>
      </c>
      <c r="D5887" s="2"/>
      <c r="E5887" s="31"/>
      <c r="G5887" s="43"/>
      <c r="H5887" s="2"/>
    </row>
    <row r="5888" spans="1:8">
      <c r="A5888" s="39">
        <v>3.17445996164488</v>
      </c>
      <c r="B5888" s="45">
        <v>5.3</v>
      </c>
      <c r="D5888" s="2"/>
      <c r="E5888" s="31"/>
      <c r="G5888" s="43"/>
      <c r="H5888" s="2"/>
    </row>
    <row r="5889" spans="1:8">
      <c r="A5889" s="39">
        <v>3.17412007627947</v>
      </c>
      <c r="B5889" s="45">
        <v>0</v>
      </c>
      <c r="D5889" s="2"/>
      <c r="E5889" s="31"/>
      <c r="G5889" s="43"/>
      <c r="H5889" s="2"/>
    </row>
    <row r="5890" spans="1:8">
      <c r="A5890" s="39">
        <v>3.17412007627947</v>
      </c>
      <c r="B5890" s="45">
        <v>9.5</v>
      </c>
      <c r="D5890" s="2"/>
      <c r="E5890" s="31"/>
      <c r="G5890" s="43"/>
      <c r="H5890" s="2"/>
    </row>
    <row r="5891" spans="1:8">
      <c r="A5891" s="39">
        <v>3.17385400213653</v>
      </c>
      <c r="B5891" s="45">
        <v>12</v>
      </c>
      <c r="D5891" s="2"/>
      <c r="E5891" s="31"/>
      <c r="G5891" s="43"/>
      <c r="H5891" s="2"/>
    </row>
    <row r="5892" spans="1:8">
      <c r="A5892" s="39">
        <v>3.17376829526692</v>
      </c>
      <c r="B5892" s="45">
        <v>24</v>
      </c>
      <c r="D5892" s="2"/>
      <c r="E5892" s="31"/>
      <c r="G5892" s="43"/>
      <c r="H5892" s="2"/>
    </row>
    <row r="5893" spans="1:8">
      <c r="A5893" s="39">
        <v>3.17319599079012</v>
      </c>
      <c r="B5893" s="45">
        <v>15.2</v>
      </c>
      <c r="D5893" s="2"/>
      <c r="E5893" s="31"/>
      <c r="G5893" s="43"/>
      <c r="H5893" s="2"/>
    </row>
    <row r="5894" spans="1:8">
      <c r="A5894" s="39">
        <v>3.17313108258725</v>
      </c>
      <c r="B5894" s="45">
        <v>6.5</v>
      </c>
      <c r="D5894" s="2"/>
      <c r="E5894" s="31"/>
      <c r="G5894" s="43"/>
      <c r="H5894" s="2"/>
    </row>
    <row r="5895" spans="1:8">
      <c r="A5895" s="39">
        <v>3.17286309904346</v>
      </c>
      <c r="B5895" s="45">
        <v>12.7</v>
      </c>
      <c r="D5895" s="2"/>
      <c r="E5895" s="31"/>
      <c r="G5895" s="43"/>
      <c r="H5895" s="2"/>
    </row>
    <row r="5896" spans="1:8">
      <c r="A5896" s="39">
        <v>3.17039671978849</v>
      </c>
      <c r="B5896" s="45">
        <v>9.7</v>
      </c>
      <c r="D5896" s="2"/>
      <c r="E5896" s="31"/>
      <c r="G5896" s="43"/>
      <c r="H5896" s="2"/>
    </row>
    <row r="5897" spans="1:8">
      <c r="A5897" s="39">
        <v>3.17025048514137</v>
      </c>
      <c r="B5897" s="45">
        <v>12.1</v>
      </c>
      <c r="D5897" s="2"/>
      <c r="E5897" s="31"/>
      <c r="G5897" s="43"/>
      <c r="H5897" s="2"/>
    </row>
    <row r="5898" spans="1:8">
      <c r="A5898" s="39">
        <v>3.16898921847005</v>
      </c>
      <c r="B5898" s="45">
        <v>16</v>
      </c>
      <c r="D5898" s="2"/>
      <c r="E5898" s="31"/>
      <c r="G5898" s="43"/>
      <c r="H5898" s="2"/>
    </row>
    <row r="5899" spans="1:8">
      <c r="A5899" s="39">
        <v>3.16855685403158</v>
      </c>
      <c r="B5899" s="45">
        <v>9.6</v>
      </c>
      <c r="D5899" s="2"/>
      <c r="E5899" s="31"/>
      <c r="G5899" s="43"/>
      <c r="H5899" s="2"/>
    </row>
    <row r="5900" spans="1:8">
      <c r="A5900" s="39">
        <v>3.16790244228639</v>
      </c>
      <c r="B5900" s="45">
        <v>7</v>
      </c>
      <c r="D5900" s="2"/>
      <c r="E5900" s="31"/>
      <c r="G5900" s="43"/>
      <c r="H5900" s="2"/>
    </row>
    <row r="5901" spans="1:8">
      <c r="A5901" s="39">
        <v>3.16737361282536</v>
      </c>
      <c r="B5901" s="45">
        <v>8</v>
      </c>
      <c r="D5901" s="2"/>
      <c r="E5901" s="31"/>
      <c r="G5901" s="43"/>
      <c r="H5901" s="2"/>
    </row>
    <row r="5902" spans="1:8">
      <c r="A5902" s="39">
        <v>3.16710031722067</v>
      </c>
      <c r="B5902" s="45">
        <v>8.5</v>
      </c>
      <c r="D5902" s="2"/>
      <c r="E5902" s="31"/>
      <c r="G5902" s="43"/>
      <c r="H5902" s="2"/>
    </row>
    <row r="5903" spans="1:8">
      <c r="A5903" s="39">
        <v>3.16640719674488</v>
      </c>
      <c r="B5903" s="45">
        <v>5.9</v>
      </c>
      <c r="D5903" s="2"/>
      <c r="E5903" s="31"/>
      <c r="G5903" s="43"/>
      <c r="H5903" s="2"/>
    </row>
    <row r="5904" spans="1:8">
      <c r="A5904" s="39">
        <v>3.16628257895131</v>
      </c>
      <c r="B5904" s="45">
        <v>4.1</v>
      </c>
      <c r="D5904" s="2"/>
      <c r="E5904" s="31"/>
      <c r="G5904" s="43"/>
      <c r="H5904" s="2"/>
    </row>
    <row r="5905" spans="1:8">
      <c r="A5905" s="39">
        <v>3.16586364803581</v>
      </c>
      <c r="B5905" s="45">
        <v>6.5</v>
      </c>
      <c r="D5905" s="2"/>
      <c r="E5905" s="31"/>
      <c r="G5905" s="43"/>
      <c r="H5905" s="2"/>
    </row>
    <row r="5906" spans="1:8">
      <c r="A5906" s="39">
        <v>3.16519034653686</v>
      </c>
      <c r="B5906" s="45">
        <v>2</v>
      </c>
      <c r="D5906" s="2"/>
      <c r="E5906" s="31"/>
      <c r="G5906" s="43"/>
      <c r="H5906" s="2"/>
    </row>
    <row r="5907" spans="1:8">
      <c r="A5907" s="39">
        <v>3.16463454209835</v>
      </c>
      <c r="B5907" s="45">
        <v>13.5</v>
      </c>
      <c r="D5907" s="2"/>
      <c r="E5907" s="31"/>
      <c r="G5907" s="43"/>
      <c r="H5907" s="2"/>
    </row>
    <row r="5908" spans="1:8">
      <c r="A5908" s="39">
        <v>3.1640629638555</v>
      </c>
      <c r="B5908" s="45">
        <v>23.6</v>
      </c>
      <c r="D5908" s="2"/>
      <c r="E5908" s="31"/>
      <c r="G5908" s="43"/>
      <c r="H5908" s="2"/>
    </row>
    <row r="5909" spans="1:8">
      <c r="A5909" s="39">
        <v>3.16384374353897</v>
      </c>
      <c r="B5909" s="45">
        <v>16.7</v>
      </c>
      <c r="D5909" s="2"/>
      <c r="E5909" s="31"/>
      <c r="G5909" s="43"/>
      <c r="H5909" s="2"/>
    </row>
    <row r="5910" spans="1:8">
      <c r="A5910" s="39">
        <v>3.16358706014126</v>
      </c>
      <c r="B5910" s="45">
        <v>17</v>
      </c>
      <c r="D5910" s="2"/>
      <c r="E5910" s="31"/>
      <c r="G5910" s="43"/>
      <c r="H5910" s="2"/>
    </row>
    <row r="5911" spans="1:8">
      <c r="A5911" s="39">
        <v>3.16321486489028</v>
      </c>
      <c r="B5911" s="45">
        <v>18.7</v>
      </c>
      <c r="D5911" s="2"/>
      <c r="E5911" s="31"/>
      <c r="G5911" s="43"/>
      <c r="H5911" s="2"/>
    </row>
    <row r="5912" spans="1:8">
      <c r="A5912" s="39">
        <v>3.16283599218418</v>
      </c>
      <c r="B5912" s="45">
        <v>6</v>
      </c>
      <c r="D5912" s="2"/>
      <c r="E5912" s="31"/>
      <c r="G5912" s="43"/>
      <c r="H5912" s="2"/>
    </row>
    <row r="5913" spans="1:8">
      <c r="A5913" s="39">
        <v>3.16283599218418</v>
      </c>
      <c r="B5913" s="45">
        <v>9.6</v>
      </c>
      <c r="D5913" s="2"/>
      <c r="E5913" s="31"/>
      <c r="G5913" s="43"/>
      <c r="H5913" s="2"/>
    </row>
    <row r="5914" spans="1:8">
      <c r="A5914" s="39">
        <v>3.16236889242235</v>
      </c>
      <c r="B5914" s="45">
        <v>8</v>
      </c>
      <c r="D5914" s="2"/>
      <c r="E5914" s="31"/>
      <c r="G5914" s="43"/>
      <c r="H5914" s="2"/>
    </row>
    <row r="5915" spans="1:8">
      <c r="A5915" s="39">
        <v>3.16219388760453</v>
      </c>
      <c r="B5915" s="45">
        <v>1.9</v>
      </c>
      <c r="D5915" s="2"/>
      <c r="E5915" s="31"/>
      <c r="G5915" s="43"/>
      <c r="H5915" s="2"/>
    </row>
    <row r="5916" spans="1:8">
      <c r="A5916" s="39">
        <v>3.16215952185262</v>
      </c>
      <c r="B5916" s="45">
        <v>15.4</v>
      </c>
      <c r="D5916" s="2"/>
      <c r="E5916" s="31"/>
      <c r="G5916" s="43"/>
      <c r="H5916" s="2"/>
    </row>
    <row r="5917" spans="1:8">
      <c r="A5917" s="39">
        <v>3.161469470098</v>
      </c>
      <c r="B5917" s="45">
        <v>0.72</v>
      </c>
      <c r="D5917" s="2"/>
      <c r="E5917" s="31"/>
      <c r="G5917" s="43"/>
      <c r="H5917" s="2"/>
    </row>
    <row r="5918" spans="1:8">
      <c r="A5918" s="39">
        <v>3.16089608588901</v>
      </c>
      <c r="B5918" s="45">
        <v>15.7</v>
      </c>
      <c r="D5918" s="2"/>
      <c r="E5918" s="31"/>
      <c r="G5918" s="43"/>
      <c r="H5918" s="2"/>
    </row>
    <row r="5919" spans="1:8">
      <c r="A5919" s="39">
        <v>3.1607130618727</v>
      </c>
      <c r="B5919" s="45">
        <v>7.5</v>
      </c>
      <c r="D5919" s="2"/>
      <c r="E5919" s="31"/>
      <c r="G5919" s="43"/>
      <c r="H5919" s="2"/>
    </row>
    <row r="5920" spans="1:8">
      <c r="A5920" s="39">
        <v>3.1607130618727</v>
      </c>
      <c r="B5920" s="45">
        <v>9.5</v>
      </c>
      <c r="D5920" s="2"/>
      <c r="E5920" s="31"/>
      <c r="G5920" s="43"/>
      <c r="H5920" s="2"/>
    </row>
    <row r="5921" spans="1:8">
      <c r="A5921" s="39">
        <v>3.16055841106581</v>
      </c>
      <c r="B5921" s="45">
        <v>6.1</v>
      </c>
      <c r="D5921" s="2"/>
      <c r="E5921" s="31"/>
      <c r="G5921" s="43"/>
      <c r="H5921" s="2"/>
    </row>
    <row r="5922" spans="1:8">
      <c r="A5922" s="39">
        <v>3.16040061678984</v>
      </c>
      <c r="B5922" s="45">
        <v>6</v>
      </c>
      <c r="D5922" s="2"/>
      <c r="E5922" s="31"/>
      <c r="G5922" s="43"/>
      <c r="H5922" s="2"/>
    </row>
    <row r="5923" spans="1:8">
      <c r="A5923" s="39">
        <v>3.15936784312383</v>
      </c>
      <c r="B5923" s="45">
        <v>6.6</v>
      </c>
      <c r="D5923" s="2"/>
      <c r="E5923" s="31"/>
      <c r="G5923" s="43"/>
      <c r="H5923" s="2"/>
    </row>
    <row r="5924" spans="1:8">
      <c r="A5924" s="39">
        <v>3.15879582054347</v>
      </c>
      <c r="B5924" s="45">
        <v>6.8</v>
      </c>
      <c r="D5924" s="2"/>
      <c r="E5924" s="31"/>
      <c r="G5924" s="43"/>
      <c r="H5924" s="2"/>
    </row>
    <row r="5925" spans="1:8">
      <c r="A5925" s="39">
        <v>3.15845733154742</v>
      </c>
      <c r="B5925" s="45">
        <v>11.2</v>
      </c>
      <c r="D5925" s="2"/>
      <c r="E5925" s="31"/>
      <c r="G5925" s="43"/>
      <c r="H5925" s="2"/>
    </row>
    <row r="5926" spans="1:8">
      <c r="A5926" s="39">
        <v>3.15809874172227</v>
      </c>
      <c r="B5926" s="45">
        <v>10.5</v>
      </c>
      <c r="D5926" s="2"/>
      <c r="E5926" s="31"/>
      <c r="G5926" s="43"/>
      <c r="H5926" s="2"/>
    </row>
    <row r="5927" spans="1:8">
      <c r="A5927" s="39">
        <v>3.15809874172227</v>
      </c>
      <c r="B5927" s="45">
        <v>10.4</v>
      </c>
      <c r="D5927" s="2"/>
      <c r="E5927" s="31"/>
      <c r="G5927" s="43"/>
      <c r="H5927" s="2"/>
    </row>
    <row r="5928" spans="1:8">
      <c r="A5928" s="39">
        <v>3.15809874172227</v>
      </c>
      <c r="B5928" s="45">
        <v>12.3</v>
      </c>
      <c r="D5928" s="2"/>
      <c r="E5928" s="31"/>
      <c r="G5928" s="43"/>
      <c r="H5928" s="2"/>
    </row>
    <row r="5929" spans="1:8">
      <c r="A5929" s="39">
        <v>3.15809874172227</v>
      </c>
      <c r="B5929" s="45">
        <v>12.1</v>
      </c>
      <c r="D5929" s="2"/>
      <c r="E5929" s="31"/>
      <c r="G5929" s="43"/>
      <c r="H5929" s="2"/>
    </row>
    <row r="5930" spans="1:8">
      <c r="A5930" s="39">
        <v>3.15809874172227</v>
      </c>
      <c r="B5930" s="45">
        <v>3.5</v>
      </c>
      <c r="D5930" s="2"/>
      <c r="E5930" s="31"/>
      <c r="G5930" s="43"/>
      <c r="H5930" s="2"/>
    </row>
    <row r="5931" spans="1:8">
      <c r="A5931" s="39">
        <v>3.15797849630008</v>
      </c>
      <c r="B5931" s="45">
        <v>1.6</v>
      </c>
      <c r="D5931" s="2"/>
      <c r="E5931" s="31"/>
      <c r="G5931" s="43"/>
      <c r="H5931" s="2"/>
    </row>
    <row r="5932" spans="1:8">
      <c r="A5932" s="39">
        <v>3.15797849630008</v>
      </c>
      <c r="B5932" s="45">
        <v>14</v>
      </c>
      <c r="D5932" s="2"/>
      <c r="E5932" s="31"/>
      <c r="G5932" s="43"/>
      <c r="H5932" s="2"/>
    </row>
    <row r="5933" spans="1:8">
      <c r="A5933" s="39">
        <v>3.15728745798838</v>
      </c>
      <c r="B5933" s="45">
        <v>5.7</v>
      </c>
      <c r="D5933" s="2"/>
      <c r="E5933" s="31"/>
      <c r="G5933" s="43"/>
      <c r="H5933" s="2"/>
    </row>
    <row r="5934" spans="1:8">
      <c r="A5934" s="39">
        <v>3.15679158164705</v>
      </c>
      <c r="B5934" s="45">
        <v>20.3</v>
      </c>
      <c r="D5934" s="2"/>
      <c r="E5934" s="31"/>
      <c r="G5934" s="43"/>
      <c r="H5934" s="2"/>
    </row>
    <row r="5935" spans="1:8">
      <c r="A5935" s="39">
        <v>3.15605796934474</v>
      </c>
      <c r="B5935" s="45">
        <v>2</v>
      </c>
      <c r="D5935" s="2"/>
      <c r="E5935" s="31"/>
      <c r="G5935" s="43"/>
      <c r="H5935" s="2"/>
    </row>
    <row r="5936" spans="1:8">
      <c r="A5936" s="39">
        <v>3.15537350654505</v>
      </c>
      <c r="B5936" s="45">
        <v>2</v>
      </c>
      <c r="D5936" s="2"/>
      <c r="E5936" s="31"/>
      <c r="G5936" s="43"/>
      <c r="H5936" s="2"/>
    </row>
    <row r="5937" spans="1:8">
      <c r="A5937" s="39">
        <v>3.15537350654505</v>
      </c>
      <c r="B5937" s="45">
        <v>7.2</v>
      </c>
      <c r="D5937" s="2"/>
      <c r="E5937" s="31"/>
      <c r="G5937" s="43"/>
      <c r="H5937" s="2"/>
    </row>
    <row r="5938" spans="1:8">
      <c r="A5938" s="39">
        <v>3.15506858752671</v>
      </c>
      <c r="B5938" s="45">
        <v>9</v>
      </c>
      <c r="D5938" s="2"/>
      <c r="E5938" s="31"/>
      <c r="G5938" s="43"/>
      <c r="H5938" s="2"/>
    </row>
    <row r="5939" spans="1:8">
      <c r="A5939" s="39">
        <v>3.15483084153423</v>
      </c>
      <c r="B5939" s="45">
        <v>12.8</v>
      </c>
      <c r="D5939" s="2"/>
      <c r="E5939" s="31"/>
      <c r="G5939" s="43"/>
      <c r="H5939" s="2"/>
    </row>
    <row r="5940" spans="1:8">
      <c r="A5940" s="39">
        <v>3.15401650491095</v>
      </c>
      <c r="B5940" s="45">
        <v>8.8</v>
      </c>
      <c r="D5940" s="2"/>
      <c r="E5940" s="31"/>
      <c r="G5940" s="43"/>
      <c r="H5940" s="2"/>
    </row>
    <row r="5941" spans="1:8">
      <c r="A5941" s="39">
        <v>3.15374422105481</v>
      </c>
      <c r="B5941" s="45">
        <v>9</v>
      </c>
      <c r="D5941" s="2"/>
      <c r="E5941" s="31"/>
      <c r="G5941" s="43"/>
      <c r="H5941" s="2"/>
    </row>
    <row r="5942" spans="1:8">
      <c r="A5942" s="39">
        <v>3.15280295330798</v>
      </c>
      <c r="B5942" s="45">
        <v>7</v>
      </c>
      <c r="D5942" s="2"/>
      <c r="E5942" s="31"/>
      <c r="G5942" s="43"/>
      <c r="H5942" s="2"/>
    </row>
    <row r="5943" spans="1:8">
      <c r="A5943" s="39">
        <v>3.15263565534631</v>
      </c>
      <c r="B5943" s="45">
        <v>6.7</v>
      </c>
      <c r="D5943" s="2"/>
      <c r="E5943" s="31"/>
      <c r="G5943" s="43"/>
      <c r="H5943" s="2"/>
    </row>
    <row r="5944" spans="1:8">
      <c r="A5944" s="39">
        <v>3.15209266340638</v>
      </c>
      <c r="B5944" s="45">
        <v>8</v>
      </c>
      <c r="D5944" s="2"/>
      <c r="E5944" s="31"/>
      <c r="G5944" s="43"/>
      <c r="H5944" s="2"/>
    </row>
    <row r="5945" spans="1:8">
      <c r="A5945" s="39">
        <v>3.15172431655798</v>
      </c>
      <c r="B5945" s="45">
        <v>15.9</v>
      </c>
      <c r="D5945" s="2"/>
      <c r="E5945" s="31"/>
      <c r="G5945" s="43"/>
      <c r="H5945" s="2"/>
    </row>
    <row r="5946" spans="1:8">
      <c r="A5946" s="39">
        <v>3.15172431655798</v>
      </c>
      <c r="B5946" s="45">
        <v>10.6</v>
      </c>
      <c r="D5946" s="2"/>
      <c r="E5946" s="31"/>
      <c r="G5946" s="43"/>
      <c r="H5946" s="2"/>
    </row>
    <row r="5947" spans="1:8">
      <c r="A5947" s="39">
        <v>3.15090936130858</v>
      </c>
      <c r="B5947" s="45">
        <v>6</v>
      </c>
      <c r="D5947" s="2"/>
      <c r="E5947" s="31"/>
      <c r="G5947" s="43"/>
      <c r="H5947" s="2"/>
    </row>
    <row r="5948" spans="1:8">
      <c r="A5948" s="39">
        <v>3.15069170133031</v>
      </c>
      <c r="B5948" s="45">
        <v>7</v>
      </c>
      <c r="D5948" s="2"/>
      <c r="E5948" s="31"/>
      <c r="G5948" s="43"/>
      <c r="H5948" s="2"/>
    </row>
    <row r="5949" spans="1:8">
      <c r="A5949" s="39">
        <v>3.15067640220577</v>
      </c>
      <c r="B5949" s="45">
        <v>0</v>
      </c>
      <c r="D5949" s="2"/>
      <c r="E5949" s="31"/>
      <c r="G5949" s="43"/>
      <c r="H5949" s="2"/>
    </row>
    <row r="5950" spans="1:8">
      <c r="A5950" s="39">
        <v>3.15025578127097</v>
      </c>
      <c r="B5950" s="45">
        <v>24</v>
      </c>
      <c r="D5950" s="2"/>
      <c r="E5950" s="31"/>
      <c r="G5950" s="43"/>
      <c r="H5950" s="2"/>
    </row>
    <row r="5951" spans="1:8">
      <c r="A5951" s="39">
        <v>3.14992781356417</v>
      </c>
      <c r="B5951" s="45">
        <v>12.5</v>
      </c>
      <c r="D5951" s="2"/>
      <c r="E5951" s="31"/>
      <c r="G5951" s="43"/>
      <c r="H5951" s="2"/>
    </row>
    <row r="5952" spans="1:8">
      <c r="A5952" s="39">
        <v>3.14984718641321</v>
      </c>
      <c r="B5952" s="45">
        <v>10.5</v>
      </c>
      <c r="D5952" s="2"/>
      <c r="E5952" s="31"/>
      <c r="G5952" s="43"/>
      <c r="H5952" s="2"/>
    </row>
    <row r="5953" spans="1:8">
      <c r="A5953" s="39">
        <v>3.14977697988142</v>
      </c>
      <c r="B5953" s="45">
        <v>7.8</v>
      </c>
      <c r="D5953" s="2"/>
      <c r="E5953" s="31"/>
      <c r="G5953" s="43"/>
      <c r="H5953" s="2"/>
    </row>
    <row r="5954" spans="1:8">
      <c r="A5954" s="39">
        <v>3.14928420001187</v>
      </c>
      <c r="B5954" s="45">
        <v>24</v>
      </c>
      <c r="D5954" s="2"/>
      <c r="E5954" s="31"/>
      <c r="G5954" s="43"/>
      <c r="H5954" s="2"/>
    </row>
    <row r="5955" spans="1:8">
      <c r="A5955" s="39">
        <v>3.14911007529481</v>
      </c>
      <c r="B5955" s="45">
        <v>3.8</v>
      </c>
      <c r="D5955" s="2"/>
      <c r="E5955" s="31"/>
      <c r="G5955" s="43"/>
      <c r="H5955" s="2"/>
    </row>
    <row r="5956" spans="1:8">
      <c r="A5956" s="39">
        <v>3.14911007529481</v>
      </c>
      <c r="B5956" s="45">
        <v>2</v>
      </c>
      <c r="D5956" s="2"/>
      <c r="E5956" s="31"/>
      <c r="G5956" s="43"/>
      <c r="H5956" s="2"/>
    </row>
    <row r="5957" spans="1:8">
      <c r="A5957" s="39">
        <v>3.14808828135044</v>
      </c>
      <c r="B5957" s="45">
        <v>11.5</v>
      </c>
      <c r="D5957" s="2"/>
      <c r="E5957" s="31"/>
      <c r="G5957" s="43"/>
      <c r="H5957" s="2"/>
    </row>
    <row r="5958" spans="1:8">
      <c r="A5958" s="39">
        <v>3.14779381559329</v>
      </c>
      <c r="B5958" s="45">
        <v>7.3</v>
      </c>
      <c r="D5958" s="2"/>
      <c r="E5958" s="31"/>
      <c r="G5958" s="43"/>
      <c r="H5958" s="2"/>
    </row>
    <row r="5959" spans="1:8">
      <c r="A5959" s="39">
        <v>3.14717294803421</v>
      </c>
      <c r="B5959" s="45">
        <v>7.1</v>
      </c>
      <c r="D5959" s="2"/>
      <c r="E5959" s="31"/>
      <c r="G5959" s="43"/>
      <c r="H5959" s="2"/>
    </row>
    <row r="5960" spans="1:8">
      <c r="A5960" s="39">
        <v>3.14706633839994</v>
      </c>
      <c r="B5960" s="45">
        <v>21.7</v>
      </c>
      <c r="D5960" s="2"/>
      <c r="E5960" s="31"/>
      <c r="G5960" s="43"/>
      <c r="H5960" s="2"/>
    </row>
    <row r="5961" spans="1:8">
      <c r="A5961" s="39">
        <v>3.14646919737499</v>
      </c>
      <c r="B5961" s="45">
        <v>6.8</v>
      </c>
      <c r="D5961" s="2"/>
      <c r="E5961" s="31"/>
      <c r="G5961" s="43"/>
      <c r="H5961" s="2"/>
    </row>
    <row r="5962" spans="1:8">
      <c r="A5962" s="39">
        <v>3.14632937628766</v>
      </c>
      <c r="B5962" s="45">
        <v>5</v>
      </c>
      <c r="D5962" s="2"/>
      <c r="E5962" s="31"/>
      <c r="G5962" s="43"/>
      <c r="H5962" s="2"/>
    </row>
    <row r="5963" spans="1:8">
      <c r="A5963" s="39">
        <v>3.14576544671577</v>
      </c>
      <c r="B5963" s="45">
        <v>2</v>
      </c>
      <c r="D5963" s="2"/>
      <c r="E5963" s="31"/>
      <c r="G5963" s="43"/>
      <c r="H5963" s="2"/>
    </row>
    <row r="5964" spans="1:8">
      <c r="A5964" s="39">
        <v>3.14562581426255</v>
      </c>
      <c r="B5964" s="45">
        <v>8</v>
      </c>
      <c r="D5964" s="2"/>
      <c r="E5964" s="31"/>
      <c r="G5964" s="43"/>
      <c r="H5964" s="2"/>
    </row>
    <row r="5965" spans="1:8">
      <c r="A5965" s="39">
        <v>3.14562581426255</v>
      </c>
      <c r="B5965" s="45">
        <v>4.8</v>
      </c>
      <c r="D5965" s="2"/>
      <c r="E5965" s="31"/>
      <c r="G5965" s="43"/>
      <c r="H5965" s="2"/>
    </row>
    <row r="5966" spans="1:8">
      <c r="A5966" s="39">
        <v>3.1450271409701</v>
      </c>
      <c r="B5966" s="45">
        <v>12.3</v>
      </c>
      <c r="D5966" s="2"/>
      <c r="E5966" s="31"/>
      <c r="G5966" s="43"/>
      <c r="H5966" s="2"/>
    </row>
    <row r="5967" spans="1:8">
      <c r="A5967" s="39">
        <v>3.14499130156853</v>
      </c>
      <c r="B5967" s="45">
        <v>11.3</v>
      </c>
      <c r="D5967" s="2"/>
      <c r="E5967" s="31"/>
      <c r="G5967" s="43"/>
      <c r="H5967" s="2"/>
    </row>
    <row r="5968" spans="1:8">
      <c r="A5968" s="39">
        <v>3.14493044422118</v>
      </c>
      <c r="B5968" s="45">
        <v>1.3</v>
      </c>
      <c r="D5968" s="2"/>
      <c r="E5968" s="31"/>
      <c r="G5968" s="43"/>
      <c r="H5968" s="2"/>
    </row>
    <row r="5969" spans="1:8">
      <c r="A5969" s="39">
        <v>3.14457047122489</v>
      </c>
      <c r="B5969" s="45">
        <v>15.4</v>
      </c>
      <c r="D5969" s="2"/>
      <c r="E5969" s="31"/>
      <c r="G5969" s="43"/>
      <c r="H5969" s="2"/>
    </row>
    <row r="5970" spans="1:8">
      <c r="A5970" s="39">
        <v>3.1444221017501</v>
      </c>
      <c r="B5970" s="45">
        <v>9</v>
      </c>
      <c r="D5970" s="2"/>
      <c r="E5970" s="31"/>
      <c r="G5970" s="43"/>
      <c r="H5970" s="2"/>
    </row>
    <row r="5971" spans="1:8">
      <c r="A5971" s="39">
        <v>3.14371998089489</v>
      </c>
      <c r="B5971" s="45">
        <v>9.5</v>
      </c>
      <c r="D5971" s="2"/>
      <c r="E5971" s="31"/>
      <c r="G5971" s="43"/>
      <c r="H5971" s="2"/>
    </row>
    <row r="5972" spans="1:8">
      <c r="A5972" s="39">
        <v>3.14371998089489</v>
      </c>
      <c r="B5972" s="45">
        <v>7</v>
      </c>
      <c r="D5972" s="2"/>
      <c r="E5972" s="31"/>
      <c r="G5972" s="43"/>
      <c r="H5972" s="2"/>
    </row>
    <row r="5973" spans="1:8">
      <c r="A5973" s="39">
        <v>3.14342895243323</v>
      </c>
      <c r="B5973" s="45">
        <v>3.2</v>
      </c>
      <c r="D5973" s="2"/>
      <c r="E5973" s="31"/>
      <c r="G5973" s="43"/>
      <c r="H5973" s="2"/>
    </row>
    <row r="5974" spans="1:8">
      <c r="A5974" s="39">
        <v>3.14342895243323</v>
      </c>
      <c r="B5974" s="45">
        <v>25</v>
      </c>
      <c r="D5974" s="2"/>
      <c r="E5974" s="31"/>
      <c r="G5974" s="43"/>
      <c r="H5974" s="2"/>
    </row>
    <row r="5975" spans="1:8">
      <c r="A5975" s="39">
        <v>3.1429713970717</v>
      </c>
      <c r="B5975" s="45">
        <v>2</v>
      </c>
      <c r="D5975" s="2"/>
      <c r="E5975" s="31"/>
      <c r="G5975" s="43"/>
      <c r="H5975" s="2"/>
    </row>
    <row r="5976" spans="1:8">
      <c r="A5976" s="39">
        <v>3.14281156616212</v>
      </c>
      <c r="B5976" s="45">
        <v>13.2</v>
      </c>
      <c r="D5976" s="2"/>
      <c r="E5976" s="31"/>
      <c r="G5976" s="43"/>
      <c r="H5976" s="2"/>
    </row>
    <row r="5977" spans="1:8">
      <c r="A5977" s="39">
        <v>3.14222183235686</v>
      </c>
      <c r="B5977" s="45">
        <v>9</v>
      </c>
      <c r="D5977" s="2"/>
      <c r="E5977" s="31"/>
      <c r="G5977" s="43"/>
      <c r="H5977" s="2"/>
    </row>
    <row r="5978" spans="1:8">
      <c r="A5978" s="39">
        <v>3.14210800413701</v>
      </c>
      <c r="B5978" s="45">
        <v>17.5</v>
      </c>
      <c r="D5978" s="2"/>
      <c r="E5978" s="31"/>
      <c r="G5978" s="43"/>
      <c r="H5978" s="2"/>
    </row>
    <row r="5979" spans="1:8">
      <c r="A5979" s="39">
        <v>3.14210800413701</v>
      </c>
      <c r="B5979" s="45">
        <v>5</v>
      </c>
      <c r="D5979" s="2"/>
      <c r="E5979" s="31"/>
      <c r="G5979" s="43"/>
      <c r="H5979" s="2"/>
    </row>
    <row r="5980" spans="1:8">
      <c r="A5980" s="39">
        <v>3.14175924078206</v>
      </c>
      <c r="B5980" s="45">
        <v>7</v>
      </c>
      <c r="D5980" s="2"/>
      <c r="E5980" s="31"/>
      <c r="G5980" s="43"/>
      <c r="H5980" s="2"/>
    </row>
    <row r="5981" spans="1:8">
      <c r="A5981" s="39">
        <v>3.14168217896225</v>
      </c>
      <c r="B5981" s="45">
        <v>0</v>
      </c>
      <c r="D5981" s="2"/>
      <c r="E5981" s="31"/>
      <c r="G5981" s="43"/>
      <c r="H5981" s="2"/>
    </row>
    <row r="5982" spans="1:8">
      <c r="A5982" s="39">
        <v>3.14168217896225</v>
      </c>
      <c r="B5982" s="45">
        <v>0</v>
      </c>
      <c r="D5982" s="2"/>
      <c r="E5982" s="31"/>
      <c r="G5982" s="43"/>
      <c r="H5982" s="2"/>
    </row>
    <row r="5983" spans="1:8">
      <c r="A5983" s="39">
        <v>3.14134933462858</v>
      </c>
      <c r="B5983" s="45">
        <v>15.4</v>
      </c>
      <c r="D5983" s="2"/>
      <c r="E5983" s="31"/>
      <c r="G5983" s="43"/>
      <c r="H5983" s="2"/>
    </row>
    <row r="5984" spans="1:8">
      <c r="A5984" s="39">
        <v>3.14110566074446</v>
      </c>
      <c r="B5984" s="45">
        <v>12.5</v>
      </c>
      <c r="D5984" s="2"/>
      <c r="E5984" s="31"/>
      <c r="G5984" s="43"/>
      <c r="H5984" s="2"/>
    </row>
    <row r="5985" spans="1:8">
      <c r="A5985" s="39">
        <v>3.14105266109935</v>
      </c>
      <c r="B5985" s="45">
        <v>14.2</v>
      </c>
      <c r="D5985" s="2"/>
      <c r="E5985" s="31"/>
      <c r="G5985" s="43"/>
      <c r="H5985" s="2"/>
    </row>
    <row r="5986" spans="1:8">
      <c r="A5986" s="39">
        <v>3.14093269260124</v>
      </c>
      <c r="B5986" s="45">
        <v>8</v>
      </c>
      <c r="D5986" s="2"/>
      <c r="E5986" s="31"/>
      <c r="G5986" s="43"/>
      <c r="H5986" s="2"/>
    </row>
    <row r="5987" spans="1:8">
      <c r="A5987" s="39">
        <v>3.140315324952</v>
      </c>
      <c r="B5987" s="45">
        <v>9.5</v>
      </c>
      <c r="D5987" s="2"/>
      <c r="E5987" s="31"/>
      <c r="G5987" s="43"/>
      <c r="H5987" s="2"/>
    </row>
    <row r="5988" spans="1:8">
      <c r="A5988" s="39">
        <v>3.13999731806168</v>
      </c>
      <c r="B5988" s="45">
        <v>4.5</v>
      </c>
      <c r="D5988" s="2"/>
      <c r="E5988" s="31"/>
      <c r="G5988" s="43"/>
      <c r="H5988" s="2"/>
    </row>
    <row r="5989" spans="1:8">
      <c r="A5989" s="39">
        <v>3.13943169078279</v>
      </c>
      <c r="B5989" s="45">
        <v>11</v>
      </c>
      <c r="D5989" s="2"/>
      <c r="E5989" s="31"/>
      <c r="G5989" s="43"/>
      <c r="H5989" s="2"/>
    </row>
    <row r="5990" spans="1:8">
      <c r="A5990" s="39">
        <v>3.13929375603657</v>
      </c>
      <c r="B5990" s="45">
        <v>10.5</v>
      </c>
      <c r="D5990" s="2"/>
      <c r="E5990" s="31"/>
      <c r="G5990" s="43"/>
      <c r="H5990" s="2"/>
    </row>
    <row r="5991" spans="1:8">
      <c r="A5991" s="39">
        <v>3.13906408927317</v>
      </c>
      <c r="B5991" s="45">
        <v>16</v>
      </c>
      <c r="D5991" s="2"/>
      <c r="E5991" s="31"/>
      <c r="G5991" s="43"/>
      <c r="H5991" s="2"/>
    </row>
    <row r="5992" spans="1:8">
      <c r="A5992" s="39">
        <v>3.13906408927317</v>
      </c>
      <c r="B5992" s="45">
        <v>14</v>
      </c>
      <c r="D5992" s="2"/>
      <c r="E5992" s="31"/>
      <c r="G5992" s="43"/>
      <c r="H5992" s="2"/>
    </row>
    <row r="5993" spans="1:8">
      <c r="A5993" s="39">
        <v>3.13894197502402</v>
      </c>
      <c r="B5993" s="45">
        <v>10.8</v>
      </c>
      <c r="D5993" s="2"/>
      <c r="E5993" s="31"/>
      <c r="G5993" s="43"/>
      <c r="H5993" s="2"/>
    </row>
    <row r="5994" spans="1:8">
      <c r="A5994" s="39">
        <v>3.13872794012357</v>
      </c>
      <c r="B5994" s="45">
        <v>7</v>
      </c>
      <c r="D5994" s="2"/>
      <c r="E5994" s="31"/>
      <c r="G5994" s="43"/>
      <c r="H5994" s="2"/>
    </row>
    <row r="5995" spans="1:8">
      <c r="A5995" s="39">
        <v>3.13859019401146</v>
      </c>
      <c r="B5995" s="45">
        <v>10</v>
      </c>
      <c r="D5995" s="2"/>
      <c r="E5995" s="31"/>
      <c r="G5995" s="43"/>
      <c r="H5995" s="2"/>
    </row>
    <row r="5996" spans="1:8">
      <c r="A5996" s="39">
        <v>3.13859019401146</v>
      </c>
      <c r="B5996" s="45">
        <v>18.5</v>
      </c>
      <c r="D5996" s="2"/>
      <c r="E5996" s="31"/>
      <c r="G5996" s="43"/>
      <c r="H5996" s="2"/>
    </row>
    <row r="5997" spans="1:8">
      <c r="A5997" s="39">
        <v>3.1382617230016</v>
      </c>
      <c r="B5997" s="45">
        <v>8.4</v>
      </c>
      <c r="D5997" s="2"/>
      <c r="E5997" s="31"/>
      <c r="G5997" s="43"/>
      <c r="H5997" s="2"/>
    </row>
    <row r="5998" spans="1:8">
      <c r="A5998" s="39">
        <v>3.13822191723459</v>
      </c>
      <c r="B5998" s="45">
        <v>6</v>
      </c>
      <c r="D5998" s="2"/>
      <c r="E5998" s="31"/>
      <c r="G5998" s="43"/>
      <c r="H5998" s="2"/>
    </row>
    <row r="5999" spans="1:8">
      <c r="A5999" s="39">
        <v>3.13776822503598</v>
      </c>
      <c r="B5999" s="45">
        <v>8</v>
      </c>
      <c r="D5999" s="2"/>
      <c r="E5999" s="31"/>
      <c r="G5999" s="43"/>
      <c r="H5999" s="2"/>
    </row>
    <row r="6000" spans="1:8">
      <c r="A6000" s="39">
        <v>3.13766173952381</v>
      </c>
      <c r="B6000" s="45">
        <v>3.3</v>
      </c>
      <c r="D6000" s="2"/>
      <c r="E6000" s="31"/>
      <c r="G6000" s="43"/>
      <c r="H6000" s="2"/>
    </row>
    <row r="6001" spans="1:8">
      <c r="A6001" s="39">
        <v>3.13760913488649</v>
      </c>
      <c r="B6001" s="45">
        <v>7.4</v>
      </c>
      <c r="D6001" s="2"/>
      <c r="E6001" s="31"/>
      <c r="G6001" s="43"/>
      <c r="H6001" s="2"/>
    </row>
    <row r="6002" spans="1:8">
      <c r="A6002" s="39">
        <v>3.13753392575601</v>
      </c>
      <c r="B6002" s="45">
        <v>5.1</v>
      </c>
      <c r="D6002" s="2"/>
      <c r="E6002" s="31"/>
      <c r="G6002" s="43"/>
      <c r="H6002" s="2"/>
    </row>
    <row r="6003" spans="1:8">
      <c r="A6003" s="39">
        <v>3.13680612851041</v>
      </c>
      <c r="B6003" s="45">
        <v>14.1</v>
      </c>
      <c r="D6003" s="2"/>
      <c r="E6003" s="31"/>
      <c r="G6003" s="43"/>
      <c r="H6003" s="2"/>
    </row>
    <row r="6004" spans="1:8">
      <c r="A6004" s="39">
        <v>3.13680612851041</v>
      </c>
      <c r="B6004" s="45">
        <v>9.8</v>
      </c>
      <c r="D6004" s="2"/>
      <c r="E6004" s="31"/>
      <c r="G6004" s="43"/>
      <c r="H6004" s="2"/>
    </row>
    <row r="6005" spans="1:8">
      <c r="A6005" s="39">
        <v>3.13628564501614</v>
      </c>
      <c r="B6005" s="45">
        <v>0</v>
      </c>
      <c r="D6005" s="2"/>
      <c r="E6005" s="31"/>
      <c r="G6005" s="43"/>
      <c r="H6005" s="2"/>
    </row>
    <row r="6006" spans="1:8">
      <c r="A6006" s="39">
        <v>3.13591293748668</v>
      </c>
      <c r="B6006" s="45">
        <v>28</v>
      </c>
      <c r="D6006" s="2"/>
      <c r="E6006" s="31"/>
      <c r="G6006" s="43"/>
      <c r="H6006" s="2"/>
    </row>
    <row r="6007" spans="1:8">
      <c r="A6007" s="39">
        <v>3.13483962255452</v>
      </c>
      <c r="B6007" s="45">
        <v>1.2</v>
      </c>
      <c r="D6007" s="2"/>
      <c r="E6007" s="31"/>
      <c r="G6007" s="43"/>
      <c r="H6007" s="2"/>
    </row>
    <row r="6008" spans="1:8">
      <c r="A6008" s="39">
        <v>3.13357304817702</v>
      </c>
      <c r="B6008" s="45">
        <v>7.3</v>
      </c>
      <c r="D6008" s="2"/>
      <c r="E6008" s="31"/>
      <c r="G6008" s="43"/>
      <c r="H6008" s="2"/>
    </row>
    <row r="6009" spans="1:8">
      <c r="A6009" s="39">
        <v>3.13357304817702</v>
      </c>
      <c r="B6009" s="45">
        <v>10.1</v>
      </c>
      <c r="D6009" s="2"/>
      <c r="E6009" s="31"/>
      <c r="G6009" s="43"/>
      <c r="H6009" s="2"/>
    </row>
    <row r="6010" spans="1:8">
      <c r="A6010" s="39">
        <v>3.13296169781059</v>
      </c>
      <c r="B6010" s="45">
        <v>10.8</v>
      </c>
      <c r="D6010" s="2"/>
      <c r="E6010" s="31"/>
      <c r="G6010" s="43"/>
      <c r="H6010" s="2"/>
    </row>
    <row r="6011" spans="1:8">
      <c r="A6011" s="39">
        <v>3.13277312940464</v>
      </c>
      <c r="B6011" s="45">
        <v>9.4</v>
      </c>
      <c r="D6011" s="2"/>
      <c r="E6011" s="31"/>
      <c r="G6011" s="43"/>
      <c r="H6011" s="2"/>
    </row>
    <row r="6012" spans="1:8">
      <c r="A6012" s="39">
        <v>3.13239418419058</v>
      </c>
      <c r="B6012" s="45">
        <v>10</v>
      </c>
      <c r="D6012" s="2"/>
      <c r="E6012" s="31"/>
      <c r="G6012" s="43"/>
      <c r="H6012" s="2"/>
    </row>
    <row r="6013" spans="1:8">
      <c r="A6013" s="39">
        <v>3.13155457376037</v>
      </c>
      <c r="B6013" s="45">
        <v>16</v>
      </c>
      <c r="D6013" s="2"/>
      <c r="E6013" s="31"/>
      <c r="G6013" s="43"/>
      <c r="H6013" s="2"/>
    </row>
    <row r="6014" spans="1:8">
      <c r="A6014" s="39">
        <v>3.13130196018033</v>
      </c>
      <c r="B6014" s="45">
        <v>56</v>
      </c>
      <c r="D6014" s="2"/>
      <c r="E6014" s="31"/>
      <c r="G6014" s="43"/>
      <c r="H6014" s="2"/>
    </row>
    <row r="6015" spans="1:8">
      <c r="A6015" s="39">
        <v>3.13060600585078</v>
      </c>
      <c r="B6015" s="45">
        <v>13.2</v>
      </c>
      <c r="D6015" s="2"/>
      <c r="E6015" s="31"/>
      <c r="G6015" s="43"/>
      <c r="H6015" s="2"/>
    </row>
    <row r="6016" spans="1:8">
      <c r="A6016" s="39">
        <v>3.13017866859176</v>
      </c>
      <c r="B6016" s="45">
        <v>15</v>
      </c>
      <c r="D6016" s="2"/>
      <c r="E6016" s="31"/>
      <c r="G6016" s="43"/>
      <c r="H6016" s="2"/>
    </row>
    <row r="6017" spans="1:8">
      <c r="A6017" s="39">
        <v>3.12952815605447</v>
      </c>
      <c r="B6017" s="45">
        <v>11.7</v>
      </c>
      <c r="D6017" s="2"/>
      <c r="E6017" s="31"/>
      <c r="G6017" s="43"/>
      <c r="H6017" s="2"/>
    </row>
    <row r="6018" spans="1:8">
      <c r="A6018" s="39">
        <v>3.12922730622409</v>
      </c>
      <c r="B6018" s="45">
        <v>8</v>
      </c>
      <c r="D6018" s="2"/>
      <c r="E6018" s="31"/>
      <c r="G6018" s="43"/>
      <c r="H6018" s="2"/>
    </row>
    <row r="6019" spans="1:8">
      <c r="A6019" s="39">
        <v>3.12887940856638</v>
      </c>
      <c r="B6019" s="45">
        <v>8</v>
      </c>
      <c r="D6019" s="2"/>
      <c r="E6019" s="31"/>
      <c r="G6019" s="43"/>
      <c r="H6019" s="2"/>
    </row>
    <row r="6020" spans="1:8">
      <c r="A6020" s="39">
        <v>3.12887940856638</v>
      </c>
      <c r="B6020" s="45">
        <v>13.9</v>
      </c>
      <c r="D6020" s="2"/>
      <c r="E6020" s="31"/>
      <c r="G6020" s="43"/>
      <c r="H6020" s="2"/>
    </row>
    <row r="6021" spans="1:8">
      <c r="A6021" s="39">
        <v>3.12887940856638</v>
      </c>
      <c r="B6021" s="45">
        <v>5.1</v>
      </c>
      <c r="D6021" s="2"/>
      <c r="E6021" s="31"/>
      <c r="G6021" s="43"/>
      <c r="H6021" s="2"/>
    </row>
    <row r="6022" spans="1:8">
      <c r="A6022" s="39">
        <v>3.12887543089448</v>
      </c>
      <c r="B6022" s="45">
        <v>6</v>
      </c>
      <c r="D6022" s="2"/>
      <c r="E6022" s="31"/>
      <c r="G6022" s="43"/>
      <c r="H6022" s="2"/>
    </row>
    <row r="6023" spans="1:8">
      <c r="A6023" s="39">
        <v>3.12817168023526</v>
      </c>
      <c r="B6023" s="45">
        <v>5.4</v>
      </c>
      <c r="D6023" s="2"/>
      <c r="E6023" s="31"/>
      <c r="G6023" s="43"/>
      <c r="H6023" s="2"/>
    </row>
    <row r="6024" spans="1:8">
      <c r="A6024" s="39">
        <v>3.12803676363483</v>
      </c>
      <c r="B6024" s="45">
        <v>9.6</v>
      </c>
      <c r="D6024" s="2"/>
      <c r="E6024" s="31"/>
      <c r="G6024" s="43"/>
      <c r="H6024" s="2"/>
    </row>
    <row r="6025" spans="1:8">
      <c r="A6025" s="39">
        <v>3.12796826264175</v>
      </c>
      <c r="B6025" s="45">
        <v>7.7</v>
      </c>
      <c r="D6025" s="2"/>
      <c r="E6025" s="31"/>
      <c r="G6025" s="43"/>
      <c r="H6025" s="2"/>
    </row>
    <row r="6026" spans="1:8">
      <c r="A6026" s="39">
        <v>3.12784888029152</v>
      </c>
      <c r="B6026" s="45">
        <v>6</v>
      </c>
      <c r="D6026" s="2"/>
      <c r="E6026" s="31"/>
      <c r="G6026" s="43"/>
      <c r="H6026" s="2"/>
    </row>
    <row r="6027" spans="1:8">
      <c r="A6027" s="39">
        <v>3.12742445417969</v>
      </c>
      <c r="B6027" s="45">
        <v>21</v>
      </c>
      <c r="D6027" s="2"/>
      <c r="E6027" s="31"/>
      <c r="G6027" s="43"/>
      <c r="H6027" s="2"/>
    </row>
    <row r="6028" spans="1:8">
      <c r="A6028" s="39">
        <v>3.12738300721744</v>
      </c>
      <c r="B6028" s="45">
        <v>6.2</v>
      </c>
      <c r="D6028" s="2"/>
      <c r="E6028" s="31"/>
      <c r="G6028" s="43"/>
      <c r="H6028" s="2"/>
    </row>
    <row r="6029" spans="1:8">
      <c r="A6029" s="39">
        <v>3.12729142177261</v>
      </c>
      <c r="B6029" s="45">
        <v>5</v>
      </c>
      <c r="D6029" s="2"/>
      <c r="E6029" s="31"/>
      <c r="G6029" s="43"/>
      <c r="H6029" s="2"/>
    </row>
    <row r="6030" spans="1:8">
      <c r="A6030" s="39">
        <v>3.12639199944826</v>
      </c>
      <c r="B6030" s="45">
        <v>9.8</v>
      </c>
      <c r="D6030" s="2"/>
      <c r="E6030" s="31"/>
      <c r="G6030" s="43"/>
      <c r="H6030" s="2"/>
    </row>
    <row r="6031" spans="1:8">
      <c r="A6031" s="39">
        <v>3.12546555809915</v>
      </c>
      <c r="B6031" s="45">
        <v>3.4</v>
      </c>
      <c r="D6031" s="2"/>
      <c r="E6031" s="31"/>
      <c r="G6031" s="43"/>
      <c r="H6031" s="2"/>
    </row>
    <row r="6032" spans="1:8">
      <c r="A6032" s="39">
        <v>3.12535667759838</v>
      </c>
      <c r="B6032" s="45">
        <v>11.9</v>
      </c>
      <c r="D6032" s="2"/>
      <c r="E6032" s="31"/>
      <c r="G6032" s="43"/>
      <c r="H6032" s="2"/>
    </row>
    <row r="6033" spans="1:8">
      <c r="A6033" s="39">
        <v>3.12451454540632</v>
      </c>
      <c r="B6033" s="45">
        <v>11.2</v>
      </c>
      <c r="D6033" s="2"/>
      <c r="E6033" s="31"/>
      <c r="G6033" s="43"/>
      <c r="H6033" s="2"/>
    </row>
    <row r="6034" spans="1:8">
      <c r="A6034" s="39">
        <v>3.12344378666558</v>
      </c>
      <c r="B6034" s="45">
        <v>10.4</v>
      </c>
      <c r="D6034" s="2"/>
      <c r="E6034" s="31"/>
      <c r="G6034" s="43"/>
      <c r="H6034" s="2"/>
    </row>
    <row r="6035" spans="1:8">
      <c r="A6035" s="39">
        <v>3.12297798084413</v>
      </c>
      <c r="B6035" s="45">
        <v>4.9</v>
      </c>
      <c r="D6035" s="2"/>
      <c r="E6035" s="31"/>
      <c r="G6035" s="43"/>
      <c r="H6035" s="2"/>
    </row>
    <row r="6036" spans="1:8">
      <c r="A6036" s="39">
        <v>3.12297798084413</v>
      </c>
      <c r="B6036" s="45">
        <v>12.5</v>
      </c>
      <c r="D6036" s="2"/>
      <c r="E6036" s="31"/>
      <c r="G6036" s="43"/>
      <c r="H6036" s="2"/>
    </row>
    <row r="6037" spans="1:8">
      <c r="A6037" s="39">
        <v>3.12272756474706</v>
      </c>
      <c r="B6037" s="45">
        <v>10.6</v>
      </c>
      <c r="D6037" s="2"/>
      <c r="E6037" s="31"/>
      <c r="G6037" s="43"/>
      <c r="H6037" s="2"/>
    </row>
    <row r="6038" spans="1:8">
      <c r="A6038" s="39">
        <v>3.12215183965382</v>
      </c>
      <c r="B6038" s="45">
        <v>7</v>
      </c>
      <c r="D6038" s="2"/>
      <c r="E6038" s="31"/>
      <c r="G6038" s="43"/>
      <c r="H6038" s="2"/>
    </row>
    <row r="6039" spans="1:8">
      <c r="A6039" s="39">
        <v>3.12170470540885</v>
      </c>
      <c r="B6039" s="45">
        <v>7.2</v>
      </c>
      <c r="D6039" s="2"/>
      <c r="E6039" s="31"/>
      <c r="G6039" s="43"/>
      <c r="H6039" s="2"/>
    </row>
    <row r="6040" spans="1:8">
      <c r="A6040" s="39">
        <v>3.12129512091002</v>
      </c>
      <c r="B6040" s="45">
        <v>10.9</v>
      </c>
      <c r="D6040" s="2"/>
      <c r="E6040" s="31"/>
      <c r="G6040" s="43"/>
      <c r="H6040" s="2"/>
    </row>
    <row r="6041" spans="1:8">
      <c r="A6041" s="39">
        <v>3.12115036656083</v>
      </c>
      <c r="B6041" s="45">
        <v>10.1</v>
      </c>
      <c r="D6041" s="2"/>
      <c r="E6041" s="31"/>
      <c r="G6041" s="43"/>
      <c r="H6041" s="2"/>
    </row>
    <row r="6042" spans="1:8">
      <c r="A6042" s="39">
        <v>3.11933899461616</v>
      </c>
      <c r="B6042" s="45">
        <v>0</v>
      </c>
      <c r="D6042" s="2"/>
      <c r="E6042" s="31"/>
      <c r="G6042" s="43"/>
      <c r="H6042" s="2"/>
    </row>
    <row r="6043" spans="1:8">
      <c r="A6043" s="39">
        <v>3.11933899461616</v>
      </c>
      <c r="B6043" s="45">
        <v>12</v>
      </c>
      <c r="D6043" s="2"/>
      <c r="E6043" s="31"/>
      <c r="G6043" s="43"/>
      <c r="H6043" s="2"/>
    </row>
    <row r="6044" spans="1:8">
      <c r="A6044" s="39">
        <v>3.11909697816178</v>
      </c>
      <c r="B6044" s="45">
        <v>10.1</v>
      </c>
      <c r="D6044" s="2"/>
      <c r="E6044" s="31"/>
      <c r="G6044" s="43"/>
      <c r="H6044" s="2"/>
    </row>
    <row r="6045" spans="1:8">
      <c r="A6045" s="39">
        <v>3.11888393946578</v>
      </c>
      <c r="B6045" s="45">
        <v>10.2</v>
      </c>
      <c r="D6045" s="2"/>
      <c r="E6045" s="31"/>
      <c r="G6045" s="43"/>
      <c r="H6045" s="2"/>
    </row>
    <row r="6046" spans="1:8">
      <c r="A6046" s="39">
        <v>3.11869472785958</v>
      </c>
      <c r="B6046" s="45">
        <v>7.4</v>
      </c>
      <c r="D6046" s="2"/>
      <c r="E6046" s="31"/>
      <c r="G6046" s="43"/>
      <c r="H6046" s="2"/>
    </row>
    <row r="6047" spans="1:8">
      <c r="A6047" s="39">
        <v>3.11642780563378</v>
      </c>
      <c r="B6047" s="45">
        <v>16.3</v>
      </c>
      <c r="D6047" s="2"/>
      <c r="E6047" s="31"/>
      <c r="G6047" s="43"/>
      <c r="H6047" s="2"/>
    </row>
    <row r="6048" spans="1:8">
      <c r="A6048" s="39">
        <v>3.11572442819542</v>
      </c>
      <c r="B6048" s="45">
        <v>8.5</v>
      </c>
      <c r="D6048" s="2"/>
      <c r="E6048" s="31"/>
      <c r="G6048" s="43"/>
      <c r="H6048" s="2"/>
    </row>
    <row r="6049" spans="1:8">
      <c r="A6049" s="39">
        <v>3.11558280625116</v>
      </c>
      <c r="B6049" s="45">
        <v>3.5</v>
      </c>
      <c r="D6049" s="2"/>
      <c r="E6049" s="31"/>
      <c r="G6049" s="43"/>
      <c r="H6049" s="2"/>
    </row>
    <row r="6050" spans="1:8">
      <c r="A6050" s="39">
        <v>3.11499020136367</v>
      </c>
      <c r="B6050" s="45">
        <v>2</v>
      </c>
      <c r="D6050" s="2"/>
      <c r="E6050" s="31"/>
      <c r="G6050" s="43"/>
      <c r="H6050" s="2"/>
    </row>
    <row r="6051" spans="1:8">
      <c r="A6051" s="39">
        <v>3.11496245924013</v>
      </c>
      <c r="B6051" s="45">
        <v>15.2</v>
      </c>
      <c r="D6051" s="2"/>
      <c r="E6051" s="31"/>
      <c r="G6051" s="43"/>
      <c r="H6051" s="2"/>
    </row>
    <row r="6052" spans="1:8">
      <c r="A6052" s="39">
        <v>3.11496245924013</v>
      </c>
      <c r="B6052" s="45">
        <v>2</v>
      </c>
      <c r="D6052" s="2"/>
      <c r="E6052" s="31"/>
      <c r="G6052" s="43"/>
      <c r="H6052" s="2"/>
    </row>
    <row r="6053" spans="1:8">
      <c r="A6053" s="39">
        <v>3.11432986469953</v>
      </c>
      <c r="B6053" s="45">
        <v>11.1</v>
      </c>
      <c r="D6053" s="2"/>
      <c r="E6053" s="31"/>
      <c r="G6053" s="43"/>
      <c r="H6053" s="2"/>
    </row>
    <row r="6054" spans="1:8">
      <c r="A6054" s="39">
        <v>3.11430887920252</v>
      </c>
      <c r="B6054" s="45">
        <v>6</v>
      </c>
      <c r="D6054" s="2"/>
      <c r="E6054" s="31"/>
      <c r="G6054" s="43"/>
      <c r="H6054" s="2"/>
    </row>
    <row r="6055" spans="1:8">
      <c r="A6055" s="39">
        <v>3.11430573856399</v>
      </c>
      <c r="B6055" s="45">
        <v>14.6</v>
      </c>
      <c r="D6055" s="2"/>
      <c r="E6055" s="31"/>
      <c r="G6055" s="43"/>
      <c r="H6055" s="2"/>
    </row>
    <row r="6056" spans="1:8">
      <c r="A6056" s="39">
        <v>3.11430573856399</v>
      </c>
      <c r="B6056" s="45">
        <v>11.8</v>
      </c>
      <c r="D6056" s="2"/>
      <c r="E6056" s="31"/>
      <c r="G6056" s="43"/>
      <c r="H6056" s="2"/>
    </row>
    <row r="6057" spans="1:8">
      <c r="A6057" s="39">
        <v>3.11430573856399</v>
      </c>
      <c r="B6057" s="45">
        <v>3</v>
      </c>
      <c r="D6057" s="2"/>
      <c r="E6057" s="31"/>
      <c r="G6057" s="43"/>
      <c r="H6057" s="2"/>
    </row>
    <row r="6058" spans="1:8">
      <c r="A6058" s="39">
        <v>3.11396552313265</v>
      </c>
      <c r="B6058" s="45">
        <v>8.7</v>
      </c>
      <c r="D6058" s="2"/>
      <c r="E6058" s="31"/>
      <c r="G6058" s="43"/>
      <c r="H6058" s="2"/>
    </row>
    <row r="6059" spans="1:8">
      <c r="A6059" s="39">
        <v>3.11360238750618</v>
      </c>
      <c r="B6059" s="45">
        <v>13.8</v>
      </c>
      <c r="D6059" s="2"/>
      <c r="E6059" s="31"/>
      <c r="G6059" s="43"/>
      <c r="H6059" s="2"/>
    </row>
    <row r="6060" spans="1:8">
      <c r="A6060" s="39">
        <v>3.1134166798063</v>
      </c>
      <c r="B6060" s="45">
        <v>10.4</v>
      </c>
      <c r="D6060" s="2"/>
      <c r="E6060" s="31"/>
      <c r="G6060" s="43"/>
      <c r="H6060" s="2"/>
    </row>
    <row r="6061" spans="1:8">
      <c r="A6061" s="39">
        <v>3.11293681296462</v>
      </c>
      <c r="B6061" s="45">
        <v>8.7</v>
      </c>
      <c r="D6061" s="2"/>
      <c r="E6061" s="31"/>
      <c r="G6061" s="43"/>
      <c r="H6061" s="2"/>
    </row>
    <row r="6062" spans="1:8">
      <c r="A6062" s="39">
        <v>3.11206102216022</v>
      </c>
      <c r="B6062" s="45">
        <v>14</v>
      </c>
      <c r="D6062" s="2"/>
      <c r="E6062" s="31"/>
      <c r="G6062" s="43"/>
      <c r="H6062" s="2"/>
    </row>
    <row r="6063" spans="1:8">
      <c r="A6063" s="39">
        <v>3.11169455905209</v>
      </c>
      <c r="B6063" s="45">
        <v>8.5</v>
      </c>
      <c r="D6063" s="2"/>
      <c r="E6063" s="31"/>
      <c r="G6063" s="43"/>
      <c r="H6063" s="2"/>
    </row>
    <row r="6064" spans="1:8">
      <c r="A6064" s="39">
        <v>3.11156788736525</v>
      </c>
      <c r="B6064" s="45">
        <v>5.3</v>
      </c>
      <c r="D6064" s="2"/>
      <c r="E6064" s="31"/>
      <c r="G6064" s="43"/>
      <c r="H6064" s="2"/>
    </row>
    <row r="6065" spans="1:8">
      <c r="A6065" s="39">
        <v>3.1104477130071</v>
      </c>
      <c r="B6065" s="45">
        <v>18</v>
      </c>
      <c r="D6065" s="2"/>
      <c r="E6065" s="31"/>
      <c r="G6065" s="43"/>
      <c r="H6065" s="2"/>
    </row>
    <row r="6066" spans="1:8">
      <c r="A6066" s="39">
        <v>3.1104477130071</v>
      </c>
      <c r="B6066" s="45">
        <v>14.2</v>
      </c>
      <c r="D6066" s="2"/>
      <c r="E6066" s="31"/>
      <c r="G6066" s="43"/>
      <c r="H6066" s="2"/>
    </row>
    <row r="6067" spans="1:8">
      <c r="A6067" s="39">
        <v>3.10997962362343</v>
      </c>
      <c r="B6067" s="45">
        <v>13.4</v>
      </c>
      <c r="D6067" s="2"/>
      <c r="E6067" s="31"/>
      <c r="G6067" s="43"/>
      <c r="H6067" s="2"/>
    </row>
    <row r="6068" spans="1:8">
      <c r="A6068" s="39">
        <v>3.10908023890166</v>
      </c>
      <c r="B6068" s="45">
        <v>6.2</v>
      </c>
      <c r="D6068" s="2"/>
      <c r="E6068" s="31"/>
      <c r="G6068" s="43"/>
      <c r="H6068" s="2"/>
    </row>
    <row r="6069" spans="1:8">
      <c r="A6069" s="39">
        <v>3.1090409000963</v>
      </c>
      <c r="B6069" s="45">
        <v>10.5</v>
      </c>
      <c r="D6069" s="2"/>
      <c r="E6069" s="31"/>
      <c r="G6069" s="43"/>
      <c r="H6069" s="2"/>
    </row>
    <row r="6070" spans="1:8">
      <c r="A6070" s="39">
        <v>3.10846666177708</v>
      </c>
      <c r="B6070" s="45">
        <v>8.3</v>
      </c>
      <c r="D6070" s="2"/>
      <c r="E6070" s="31"/>
      <c r="G6070" s="43"/>
      <c r="H6070" s="2"/>
    </row>
    <row r="6071" spans="1:8">
      <c r="A6071" s="39">
        <v>3.1079597191266</v>
      </c>
      <c r="B6071" s="45">
        <v>4.4</v>
      </c>
      <c r="D6071" s="2"/>
      <c r="E6071" s="31"/>
      <c r="G6071" s="43"/>
      <c r="H6071" s="2"/>
    </row>
    <row r="6072" spans="1:8">
      <c r="A6072" s="39">
        <v>3.1079597191266</v>
      </c>
      <c r="B6072" s="45">
        <v>7.2</v>
      </c>
      <c r="D6072" s="2"/>
      <c r="E6072" s="31"/>
      <c r="G6072" s="43"/>
      <c r="H6072" s="2"/>
    </row>
    <row r="6073" spans="1:8">
      <c r="A6073" s="39">
        <v>3.10763346490667</v>
      </c>
      <c r="B6073" s="45">
        <v>5.1</v>
      </c>
      <c r="D6073" s="2"/>
      <c r="E6073" s="31"/>
      <c r="G6073" s="43"/>
      <c r="H6073" s="2"/>
    </row>
    <row r="6074" spans="1:8">
      <c r="A6074" s="39">
        <v>3.10746111056714</v>
      </c>
      <c r="B6074" s="45">
        <v>2</v>
      </c>
      <c r="D6074" s="2"/>
      <c r="E6074" s="31"/>
      <c r="G6074" s="43"/>
      <c r="H6074" s="2"/>
    </row>
    <row r="6075" spans="1:8">
      <c r="A6075" s="39">
        <v>3.1070550927661</v>
      </c>
      <c r="B6075" s="45">
        <v>6.6</v>
      </c>
      <c r="D6075" s="2"/>
      <c r="E6075" s="31"/>
      <c r="G6075" s="43"/>
      <c r="H6075" s="2"/>
    </row>
    <row r="6076" spans="1:8">
      <c r="A6076" s="39">
        <v>3.1070550927661</v>
      </c>
      <c r="B6076" s="45">
        <v>7.7</v>
      </c>
      <c r="D6076" s="2"/>
      <c r="E6076" s="31"/>
      <c r="G6076" s="43"/>
      <c r="H6076" s="2"/>
    </row>
    <row r="6077" spans="1:8">
      <c r="A6077" s="39">
        <v>3.10593981462977</v>
      </c>
      <c r="B6077" s="45">
        <v>11.5</v>
      </c>
      <c r="D6077" s="2"/>
      <c r="E6077" s="31"/>
      <c r="G6077" s="43"/>
      <c r="H6077" s="2"/>
    </row>
    <row r="6078" spans="1:8">
      <c r="A6078" s="39">
        <v>3.10560013837942</v>
      </c>
      <c r="B6078" s="45">
        <v>12.3</v>
      </c>
      <c r="D6078" s="2"/>
      <c r="E6078" s="31"/>
      <c r="G6078" s="43"/>
      <c r="H6078" s="2"/>
    </row>
    <row r="6079" spans="1:8">
      <c r="A6079" s="39">
        <v>3.10551084694987</v>
      </c>
      <c r="B6079" s="45">
        <v>8.1</v>
      </c>
      <c r="D6079" s="2"/>
      <c r="E6079" s="31"/>
      <c r="G6079" s="43"/>
      <c r="H6079" s="2"/>
    </row>
    <row r="6080" spans="1:8">
      <c r="A6080" s="39">
        <v>3.10459321163188</v>
      </c>
      <c r="B6080" s="45">
        <v>12.5</v>
      </c>
      <c r="D6080" s="2"/>
      <c r="E6080" s="31"/>
      <c r="G6080" s="43"/>
      <c r="H6080" s="2"/>
    </row>
    <row r="6081" spans="1:8">
      <c r="A6081" s="39">
        <v>3.10341209275601</v>
      </c>
      <c r="B6081" s="45">
        <v>15</v>
      </c>
      <c r="D6081" s="2"/>
      <c r="E6081" s="31"/>
      <c r="G6081" s="43"/>
      <c r="H6081" s="2"/>
    </row>
    <row r="6082" spans="1:8">
      <c r="A6082" s="39">
        <v>3.1033167322108</v>
      </c>
      <c r="B6082" s="45">
        <v>5.2</v>
      </c>
      <c r="D6082" s="2"/>
      <c r="E6082" s="31"/>
      <c r="G6082" s="43"/>
      <c r="H6082" s="2"/>
    </row>
    <row r="6083" spans="1:8">
      <c r="A6083" s="39">
        <v>3.10249899394144</v>
      </c>
      <c r="B6083" s="45">
        <v>2.6</v>
      </c>
      <c r="D6083" s="2"/>
      <c r="E6083" s="31"/>
      <c r="G6083" s="43"/>
      <c r="H6083" s="2"/>
    </row>
    <row r="6084" spans="1:8">
      <c r="A6084" s="39">
        <v>3.10210759669075</v>
      </c>
      <c r="B6084" s="45">
        <v>12</v>
      </c>
      <c r="D6084" s="2"/>
      <c r="E6084" s="31"/>
      <c r="G6084" s="43"/>
      <c r="H6084" s="2"/>
    </row>
    <row r="6085" spans="1:8">
      <c r="A6085" s="39">
        <v>3.10210759669075</v>
      </c>
      <c r="B6085" s="45">
        <v>8.2</v>
      </c>
      <c r="D6085" s="2"/>
      <c r="E6085" s="31"/>
      <c r="G6085" s="43"/>
      <c r="H6085" s="2"/>
    </row>
    <row r="6086" spans="1:8">
      <c r="A6086" s="39">
        <v>3.10198540816967</v>
      </c>
      <c r="B6086" s="45">
        <v>7.5</v>
      </c>
      <c r="D6086" s="2"/>
      <c r="E6086" s="31"/>
      <c r="G6086" s="43"/>
      <c r="H6086" s="2"/>
    </row>
    <row r="6087" spans="1:8">
      <c r="A6087" s="39">
        <v>3.10195712910998</v>
      </c>
      <c r="B6087" s="45">
        <v>0</v>
      </c>
      <c r="D6087" s="2"/>
      <c r="E6087" s="31"/>
      <c r="G6087" s="43"/>
      <c r="H6087" s="2"/>
    </row>
    <row r="6088" spans="1:8">
      <c r="A6088" s="39">
        <v>3.1019000056361</v>
      </c>
      <c r="B6088" s="45">
        <v>8.5</v>
      </c>
      <c r="D6088" s="2"/>
      <c r="E6088" s="31"/>
      <c r="G6088" s="43"/>
      <c r="H6088" s="2"/>
    </row>
    <row r="6089" spans="1:8">
      <c r="A6089" s="39">
        <v>3.1019000056361</v>
      </c>
      <c r="B6089" s="45">
        <v>16.6</v>
      </c>
      <c r="D6089" s="2"/>
      <c r="E6089" s="31"/>
      <c r="G6089" s="43"/>
      <c r="H6089" s="2"/>
    </row>
    <row r="6090" spans="1:8">
      <c r="A6090" s="39">
        <v>3.10086351740273</v>
      </c>
      <c r="B6090" s="45">
        <v>2</v>
      </c>
      <c r="D6090" s="2"/>
      <c r="E6090" s="31"/>
      <c r="G6090" s="43"/>
      <c r="H6090" s="2"/>
    </row>
    <row r="6091" spans="1:8">
      <c r="A6091" s="39">
        <v>3.10086351740273</v>
      </c>
      <c r="B6091" s="45">
        <v>16.9</v>
      </c>
      <c r="D6091" s="2"/>
      <c r="E6091" s="31"/>
      <c r="G6091" s="43"/>
      <c r="H6091" s="2"/>
    </row>
    <row r="6092" spans="1:8">
      <c r="A6092" s="39">
        <v>3.1006164825703</v>
      </c>
      <c r="B6092" s="45">
        <v>17.9</v>
      </c>
      <c r="D6092" s="2"/>
      <c r="E6092" s="31"/>
      <c r="G6092" s="43"/>
      <c r="H6092" s="2"/>
    </row>
    <row r="6093" spans="1:8">
      <c r="A6093" s="39">
        <v>3.09989428263047</v>
      </c>
      <c r="B6093" s="45">
        <v>4.2</v>
      </c>
      <c r="D6093" s="2"/>
      <c r="E6093" s="31"/>
      <c r="G6093" s="43"/>
      <c r="H6093" s="2"/>
    </row>
    <row r="6094" spans="1:8">
      <c r="A6094" s="39">
        <v>3.09980846335442</v>
      </c>
      <c r="B6094" s="45">
        <v>9.8</v>
      </c>
      <c r="D6094" s="2"/>
      <c r="E6094" s="31"/>
      <c r="G6094" s="43"/>
      <c r="H6094" s="2"/>
    </row>
    <row r="6095" spans="1:8">
      <c r="A6095" s="39">
        <v>3.09968846898512</v>
      </c>
      <c r="B6095" s="45">
        <v>2.35</v>
      </c>
      <c r="D6095" s="2"/>
      <c r="E6095" s="31"/>
      <c r="G6095" s="43"/>
      <c r="H6095" s="2"/>
    </row>
    <row r="6096" spans="1:8">
      <c r="A6096" s="39">
        <v>3.09922804086402</v>
      </c>
      <c r="B6096" s="45">
        <v>5.3</v>
      </c>
      <c r="D6096" s="2"/>
      <c r="E6096" s="31"/>
      <c r="G6096" s="43"/>
      <c r="H6096" s="2"/>
    </row>
    <row r="6097" spans="1:8">
      <c r="A6097" s="39">
        <v>3.09862295829993</v>
      </c>
      <c r="B6097" s="45">
        <v>3.6</v>
      </c>
      <c r="D6097" s="2"/>
      <c r="E6097" s="31"/>
      <c r="G6097" s="43"/>
      <c r="H6097" s="2"/>
    </row>
    <row r="6098" spans="1:8">
      <c r="A6098" s="39">
        <v>3.09853349814138</v>
      </c>
      <c r="B6098" s="45">
        <v>6.5</v>
      </c>
      <c r="D6098" s="2"/>
      <c r="E6098" s="31"/>
      <c r="G6098" s="43"/>
      <c r="H6098" s="2"/>
    </row>
    <row r="6099" spans="1:8">
      <c r="A6099" s="39">
        <v>3.09796937826232</v>
      </c>
      <c r="B6099" s="45">
        <v>7.5</v>
      </c>
      <c r="D6099" s="2"/>
      <c r="E6099" s="31"/>
      <c r="G6099" s="43"/>
      <c r="H6099" s="2"/>
    </row>
    <row r="6100" spans="1:8">
      <c r="A6100" s="39">
        <v>3.09687041205931</v>
      </c>
      <c r="B6100" s="45">
        <v>11.65</v>
      </c>
      <c r="D6100" s="2"/>
      <c r="E6100" s="31"/>
      <c r="G6100" s="43"/>
      <c r="H6100" s="2"/>
    </row>
    <row r="6101" spans="1:8">
      <c r="A6101" s="39">
        <v>3.09637647250492</v>
      </c>
      <c r="B6101" s="45">
        <v>9.5</v>
      </c>
      <c r="D6101" s="2"/>
      <c r="E6101" s="31"/>
      <c r="G6101" s="43"/>
      <c r="H6101" s="2"/>
    </row>
    <row r="6102" spans="1:8">
      <c r="A6102" s="39">
        <v>3.09377185457346</v>
      </c>
      <c r="B6102" s="45">
        <v>8.9</v>
      </c>
      <c r="D6102" s="2"/>
      <c r="E6102" s="31"/>
      <c r="G6102" s="43"/>
      <c r="H6102" s="2"/>
    </row>
    <row r="6103" spans="1:8">
      <c r="A6103" s="39">
        <v>3.09377185457346</v>
      </c>
      <c r="B6103" s="45">
        <v>18</v>
      </c>
      <c r="D6103" s="2"/>
      <c r="E6103" s="31"/>
      <c r="G6103" s="43"/>
      <c r="H6103" s="2"/>
    </row>
    <row r="6104" spans="1:8">
      <c r="A6104" s="39">
        <v>3.09350387297851</v>
      </c>
      <c r="B6104" s="45">
        <v>7.6</v>
      </c>
      <c r="D6104" s="2"/>
      <c r="E6104" s="31"/>
      <c r="G6104" s="43"/>
      <c r="H6104" s="2"/>
    </row>
    <row r="6105" spans="1:8">
      <c r="A6105" s="39">
        <v>3.09321044339193</v>
      </c>
      <c r="B6105" s="45">
        <v>5.2</v>
      </c>
      <c r="D6105" s="2"/>
      <c r="E6105" s="31"/>
      <c r="G6105" s="43"/>
      <c r="H6105" s="2"/>
    </row>
    <row r="6106" spans="1:8">
      <c r="A6106" s="39">
        <v>3.09285866237938</v>
      </c>
      <c r="B6106" s="45">
        <v>24</v>
      </c>
      <c r="D6106" s="2"/>
      <c r="E6106" s="31"/>
      <c r="G6106" s="43"/>
      <c r="H6106" s="2"/>
    </row>
    <row r="6107" spans="1:8">
      <c r="A6107" s="39">
        <v>3.09180048315194</v>
      </c>
      <c r="B6107" s="45">
        <v>5.4</v>
      </c>
      <c r="D6107" s="2"/>
      <c r="E6107" s="31"/>
      <c r="G6107" s="43"/>
      <c r="H6107" s="2"/>
    </row>
    <row r="6108" spans="1:8">
      <c r="A6108" s="39">
        <v>3.0917642399607</v>
      </c>
      <c r="B6108" s="45">
        <v>6.6</v>
      </c>
      <c r="D6108" s="2"/>
      <c r="E6108" s="31"/>
      <c r="G6108" s="43"/>
      <c r="H6108" s="2"/>
    </row>
    <row r="6109" spans="1:8">
      <c r="A6109" s="39">
        <v>3.0917184661744</v>
      </c>
      <c r="B6109" s="45">
        <v>2</v>
      </c>
      <c r="D6109" s="2"/>
      <c r="E6109" s="31"/>
      <c r="G6109" s="43"/>
      <c r="H6109" s="2"/>
    </row>
    <row r="6110" spans="1:8">
      <c r="A6110" s="39">
        <v>3.09016914463735</v>
      </c>
      <c r="B6110" s="45">
        <v>10.5</v>
      </c>
      <c r="D6110" s="2"/>
      <c r="E6110" s="31"/>
      <c r="G6110" s="43"/>
      <c r="H6110" s="2"/>
    </row>
    <row r="6111" spans="1:8">
      <c r="A6111" s="39">
        <v>3.08947283777342</v>
      </c>
      <c r="B6111" s="45">
        <v>7</v>
      </c>
      <c r="D6111" s="2"/>
      <c r="E6111" s="31"/>
      <c r="G6111" s="43"/>
      <c r="H6111" s="2"/>
    </row>
    <row r="6112" spans="1:8">
      <c r="A6112" s="39">
        <v>3.08859744336237</v>
      </c>
      <c r="B6112" s="45">
        <v>0</v>
      </c>
      <c r="D6112" s="2"/>
      <c r="E6112" s="31"/>
      <c r="G6112" s="43"/>
      <c r="H6112" s="2"/>
    </row>
    <row r="6113" spans="1:8">
      <c r="A6113" s="39">
        <v>3.08859744336237</v>
      </c>
      <c r="B6113" s="45">
        <v>3.3</v>
      </c>
      <c r="D6113" s="2"/>
      <c r="E6113" s="31"/>
      <c r="G6113" s="43"/>
      <c r="H6113" s="2"/>
    </row>
    <row r="6114" spans="1:8">
      <c r="A6114" s="39">
        <v>3.08776067415827</v>
      </c>
      <c r="B6114" s="45">
        <v>6.5</v>
      </c>
      <c r="D6114" s="2"/>
      <c r="E6114" s="31"/>
      <c r="G6114" s="43"/>
      <c r="H6114" s="2"/>
    </row>
    <row r="6115" spans="1:8">
      <c r="A6115" s="39">
        <v>3.08763269073958</v>
      </c>
      <c r="B6115" s="45">
        <v>12.9</v>
      </c>
      <c r="D6115" s="2"/>
      <c r="E6115" s="31"/>
      <c r="G6115" s="43"/>
      <c r="H6115" s="2"/>
    </row>
    <row r="6116" spans="1:8">
      <c r="A6116" s="39">
        <v>3.08735414200047</v>
      </c>
      <c r="B6116" s="45">
        <v>13</v>
      </c>
      <c r="D6116" s="2"/>
      <c r="E6116" s="31"/>
      <c r="G6116" s="43"/>
      <c r="H6116" s="2"/>
    </row>
    <row r="6117" spans="1:8">
      <c r="A6117" s="39">
        <v>3.08735414200047</v>
      </c>
      <c r="B6117" s="45">
        <v>7.5</v>
      </c>
      <c r="D6117" s="2"/>
      <c r="E6117" s="31"/>
      <c r="G6117" s="43"/>
      <c r="H6117" s="2"/>
    </row>
    <row r="6118" spans="1:8">
      <c r="A6118" s="39">
        <v>3.08696196682366</v>
      </c>
      <c r="B6118" s="45">
        <v>6</v>
      </c>
      <c r="D6118" s="2"/>
      <c r="E6118" s="31"/>
      <c r="G6118" s="43"/>
      <c r="H6118" s="2"/>
    </row>
    <row r="6119" spans="1:8">
      <c r="A6119" s="39">
        <v>3.08665039134125</v>
      </c>
      <c r="B6119" s="45">
        <v>23</v>
      </c>
      <c r="D6119" s="2"/>
      <c r="E6119" s="31"/>
      <c r="G6119" s="43"/>
      <c r="H6119" s="2"/>
    </row>
    <row r="6120" spans="1:8">
      <c r="A6120" s="39">
        <v>3.0861442285543</v>
      </c>
      <c r="B6120" s="45">
        <v>5.7</v>
      </c>
      <c r="D6120" s="2"/>
      <c r="E6120" s="31"/>
      <c r="G6120" s="43"/>
      <c r="H6120" s="2"/>
    </row>
    <row r="6121" spans="1:8">
      <c r="A6121" s="39">
        <v>3.08594664068203</v>
      </c>
      <c r="B6121" s="45">
        <v>6</v>
      </c>
      <c r="D6121" s="2"/>
      <c r="E6121" s="31"/>
      <c r="G6121" s="43"/>
      <c r="H6121" s="2"/>
    </row>
    <row r="6122" spans="1:8">
      <c r="A6122" s="39">
        <v>3.08450875201559</v>
      </c>
      <c r="B6122" s="45">
        <v>6</v>
      </c>
      <c r="D6122" s="2"/>
      <c r="E6122" s="31"/>
      <c r="G6122" s="43"/>
      <c r="H6122" s="2"/>
    </row>
    <row r="6123" spans="1:8">
      <c r="A6123" s="39">
        <v>3.08439416666355</v>
      </c>
      <c r="B6123" s="45">
        <v>8</v>
      </c>
      <c r="D6123" s="2"/>
      <c r="E6123" s="31"/>
      <c r="G6123" s="43"/>
      <c r="H6123" s="2"/>
    </row>
    <row r="6124" spans="1:8">
      <c r="A6124" s="39">
        <v>3.08300879402785</v>
      </c>
      <c r="B6124" s="45">
        <v>11.8</v>
      </c>
      <c r="D6124" s="2"/>
      <c r="E6124" s="31"/>
      <c r="G6124" s="43"/>
      <c r="H6124" s="2"/>
    </row>
    <row r="6125" spans="1:8">
      <c r="A6125" s="39">
        <v>3.08230523200274</v>
      </c>
      <c r="B6125" s="45">
        <v>11</v>
      </c>
      <c r="D6125" s="2"/>
      <c r="E6125" s="31"/>
      <c r="G6125" s="43"/>
      <c r="H6125" s="2"/>
    </row>
    <row r="6126" spans="1:8">
      <c r="A6126" s="39">
        <v>3.08222133509086</v>
      </c>
      <c r="B6126" s="45">
        <v>0</v>
      </c>
      <c r="D6126" s="2"/>
      <c r="E6126" s="31"/>
      <c r="G6126" s="43"/>
      <c r="H6126" s="2"/>
    </row>
    <row r="6127" spans="1:8">
      <c r="A6127" s="39">
        <v>3.08164666807283</v>
      </c>
      <c r="B6127" s="45">
        <v>0</v>
      </c>
      <c r="D6127" s="2"/>
      <c r="E6127" s="31"/>
      <c r="G6127" s="43"/>
      <c r="H6127" s="2"/>
    </row>
    <row r="6128" spans="1:8">
      <c r="A6128" s="39">
        <v>3.08164666807283</v>
      </c>
      <c r="B6128" s="45">
        <v>5.8</v>
      </c>
      <c r="D6128" s="2"/>
      <c r="E6128" s="31"/>
      <c r="G6128" s="43"/>
      <c r="H6128" s="2"/>
    </row>
    <row r="6129" spans="1:8">
      <c r="A6129" s="39">
        <v>3.08160166997763</v>
      </c>
      <c r="B6129" s="45">
        <v>14.6</v>
      </c>
      <c r="D6129" s="2"/>
      <c r="E6129" s="31"/>
      <c r="G6129" s="43"/>
      <c r="H6129" s="2"/>
    </row>
    <row r="6130" spans="1:8">
      <c r="A6130" s="39">
        <v>3.08159339099911</v>
      </c>
      <c r="B6130" s="45">
        <v>5</v>
      </c>
      <c r="D6130" s="2"/>
      <c r="E6130" s="31"/>
      <c r="G6130" s="43"/>
      <c r="H6130" s="2"/>
    </row>
    <row r="6131" spans="1:8">
      <c r="A6131" s="39">
        <v>3.08089810795252</v>
      </c>
      <c r="B6131" s="45">
        <v>24</v>
      </c>
      <c r="D6131" s="2"/>
      <c r="E6131" s="31"/>
      <c r="G6131" s="43"/>
      <c r="H6131" s="2"/>
    </row>
    <row r="6132" spans="1:8">
      <c r="A6132" s="39">
        <v>3.0805214609063</v>
      </c>
      <c r="B6132" s="45">
        <v>6</v>
      </c>
      <c r="D6132" s="2"/>
      <c r="E6132" s="31"/>
      <c r="G6132" s="43"/>
      <c r="H6132" s="2"/>
    </row>
    <row r="6133" spans="1:8">
      <c r="A6133" s="39">
        <v>3.0805214609063</v>
      </c>
      <c r="B6133" s="45">
        <v>3</v>
      </c>
      <c r="D6133" s="2"/>
      <c r="E6133" s="31"/>
      <c r="G6133" s="43"/>
      <c r="H6133" s="2"/>
    </row>
    <row r="6134" spans="1:8">
      <c r="A6134" s="39">
        <v>3.08047047155438</v>
      </c>
      <c r="B6134" s="45">
        <v>8.5</v>
      </c>
      <c r="D6134" s="2"/>
      <c r="E6134" s="31"/>
      <c r="G6134" s="43"/>
      <c r="H6134" s="2"/>
    </row>
    <row r="6135" spans="1:8">
      <c r="A6135" s="39">
        <v>3.0804200606688</v>
      </c>
      <c r="B6135" s="45">
        <v>0</v>
      </c>
      <c r="D6135" s="2"/>
      <c r="E6135" s="31"/>
      <c r="G6135" s="43"/>
      <c r="H6135" s="2"/>
    </row>
    <row r="6136" spans="1:8">
      <c r="A6136" s="39">
        <v>3.0796691372093</v>
      </c>
      <c r="B6136" s="45">
        <v>8.5</v>
      </c>
      <c r="D6136" s="2"/>
      <c r="E6136" s="31"/>
      <c r="G6136" s="43"/>
      <c r="H6136" s="2"/>
    </row>
    <row r="6137" spans="1:8">
      <c r="A6137" s="39">
        <v>3.0796691372093</v>
      </c>
      <c r="B6137" s="45">
        <v>16</v>
      </c>
      <c r="D6137" s="2"/>
      <c r="E6137" s="31"/>
      <c r="G6137" s="43"/>
      <c r="H6137" s="2"/>
    </row>
    <row r="6138" spans="1:8">
      <c r="A6138" s="39">
        <v>3.0796691372093</v>
      </c>
      <c r="B6138" s="45">
        <v>2</v>
      </c>
      <c r="D6138" s="2"/>
      <c r="E6138" s="31"/>
      <c r="G6138" s="43"/>
      <c r="H6138" s="2"/>
    </row>
    <row r="6139" spans="1:8">
      <c r="A6139" s="39">
        <v>3.07931014610848</v>
      </c>
      <c r="B6139" s="45">
        <v>5.7</v>
      </c>
      <c r="D6139" s="2"/>
      <c r="E6139" s="31"/>
      <c r="G6139" s="43"/>
      <c r="H6139" s="2"/>
    </row>
    <row r="6140" spans="1:8">
      <c r="A6140" s="39">
        <v>3.07917232741977</v>
      </c>
      <c r="B6140" s="45">
        <v>8.6</v>
      </c>
      <c r="D6140" s="2"/>
      <c r="E6140" s="31"/>
      <c r="G6140" s="43"/>
      <c r="H6140" s="2"/>
    </row>
    <row r="6141" spans="1:8">
      <c r="A6141" s="39">
        <v>3.07832180579882</v>
      </c>
      <c r="B6141" s="45">
        <v>9.1</v>
      </c>
      <c r="D6141" s="2"/>
      <c r="E6141" s="31"/>
      <c r="G6141" s="43"/>
      <c r="H6141" s="2"/>
    </row>
    <row r="6142" spans="1:8">
      <c r="A6142" s="39">
        <v>3.07802921018071</v>
      </c>
      <c r="B6142" s="45">
        <v>17.3</v>
      </c>
      <c r="D6142" s="2"/>
      <c r="E6142" s="31"/>
      <c r="G6142" s="43"/>
      <c r="H6142" s="2"/>
    </row>
    <row r="6143" spans="1:8">
      <c r="A6143" s="39">
        <v>3.07766115167411</v>
      </c>
      <c r="B6143" s="45">
        <v>13.2</v>
      </c>
      <c r="D6143" s="2"/>
      <c r="E6143" s="31"/>
      <c r="G6143" s="43"/>
      <c r="H6143" s="2"/>
    </row>
    <row r="6144" spans="1:8">
      <c r="A6144" s="39">
        <v>3.07750163277138</v>
      </c>
      <c r="B6144" s="45">
        <v>8.2</v>
      </c>
      <c r="D6144" s="2"/>
      <c r="E6144" s="31"/>
      <c r="G6144" s="43"/>
      <c r="H6144" s="2"/>
    </row>
    <row r="6145" spans="1:8">
      <c r="A6145" s="39">
        <v>3.07722852783906</v>
      </c>
      <c r="B6145" s="45">
        <v>11.5</v>
      </c>
      <c r="D6145" s="2"/>
      <c r="E6145" s="31"/>
      <c r="G6145" s="43"/>
      <c r="H6145" s="2"/>
    </row>
    <row r="6146" spans="1:8">
      <c r="A6146" s="39">
        <v>3.07688936196178</v>
      </c>
      <c r="B6146" s="45">
        <v>14</v>
      </c>
      <c r="D6146" s="2"/>
      <c r="E6146" s="31"/>
      <c r="G6146" s="43"/>
      <c r="H6146" s="2"/>
    </row>
    <row r="6147" spans="1:8">
      <c r="A6147" s="39">
        <v>3.07640123702126</v>
      </c>
      <c r="B6147" s="45">
        <v>7</v>
      </c>
      <c r="D6147" s="2"/>
      <c r="E6147" s="31"/>
      <c r="G6147" s="43"/>
      <c r="H6147" s="2"/>
    </row>
    <row r="6148" spans="1:8">
      <c r="A6148" s="39">
        <v>3.07639895712611</v>
      </c>
      <c r="B6148" s="45">
        <v>8.5</v>
      </c>
      <c r="D6148" s="2"/>
      <c r="E6148" s="31"/>
      <c r="G6148" s="43"/>
      <c r="H6148" s="2"/>
    </row>
    <row r="6149" spans="1:8">
      <c r="A6149" s="39">
        <v>3.07633136932201</v>
      </c>
      <c r="B6149" s="45">
        <v>3.4</v>
      </c>
      <c r="D6149" s="2"/>
      <c r="E6149" s="31"/>
      <c r="G6149" s="43"/>
      <c r="H6149" s="2"/>
    </row>
    <row r="6150" spans="1:8">
      <c r="A6150" s="39">
        <v>3.07633136932201</v>
      </c>
      <c r="B6150" s="45">
        <v>2</v>
      </c>
      <c r="D6150" s="2"/>
      <c r="E6150" s="31"/>
      <c r="G6150" s="43"/>
      <c r="H6150" s="2"/>
    </row>
    <row r="6151" spans="1:8">
      <c r="A6151" s="39">
        <v>3.07633136932201</v>
      </c>
      <c r="B6151" s="45">
        <v>18.2</v>
      </c>
      <c r="D6151" s="2"/>
      <c r="E6151" s="31"/>
      <c r="G6151" s="43"/>
      <c r="H6151" s="2"/>
    </row>
    <row r="6152" spans="1:8">
      <c r="A6152" s="39">
        <v>3.07609413145294</v>
      </c>
      <c r="B6152" s="45">
        <v>5</v>
      </c>
      <c r="D6152" s="2"/>
      <c r="E6152" s="31"/>
      <c r="G6152" s="43"/>
      <c r="H6152" s="2"/>
    </row>
    <row r="6153" spans="1:8">
      <c r="A6153" s="39">
        <v>3.07597317377676</v>
      </c>
      <c r="B6153" s="45">
        <v>24</v>
      </c>
      <c r="D6153" s="2"/>
      <c r="E6153" s="31"/>
      <c r="G6153" s="43"/>
      <c r="H6153" s="2"/>
    </row>
    <row r="6154" spans="1:8">
      <c r="A6154" s="39">
        <v>3.07597317377676</v>
      </c>
      <c r="B6154" s="45">
        <v>7.6</v>
      </c>
      <c r="D6154" s="2"/>
      <c r="E6154" s="31"/>
      <c r="G6154" s="43"/>
      <c r="H6154" s="2"/>
    </row>
    <row r="6155" spans="1:8">
      <c r="A6155" s="39">
        <v>3.07597317377676</v>
      </c>
      <c r="B6155" s="45">
        <v>6</v>
      </c>
      <c r="D6155" s="2"/>
      <c r="E6155" s="31"/>
      <c r="G6155" s="43"/>
      <c r="H6155" s="2"/>
    </row>
    <row r="6156" spans="1:8">
      <c r="A6156" s="39">
        <v>3.07567115988051</v>
      </c>
      <c r="B6156" s="45">
        <v>8.2</v>
      </c>
      <c r="D6156" s="2"/>
      <c r="E6156" s="31"/>
      <c r="G6156" s="43"/>
      <c r="H6156" s="2"/>
    </row>
    <row r="6157" spans="1:8">
      <c r="A6157" s="39">
        <v>3.07551363105266</v>
      </c>
      <c r="B6157" s="45">
        <v>2</v>
      </c>
      <c r="D6157" s="2"/>
      <c r="E6157" s="31"/>
      <c r="G6157" s="43"/>
      <c r="H6157" s="2"/>
    </row>
    <row r="6158" spans="1:8">
      <c r="A6158" s="39">
        <v>3.07332608231148</v>
      </c>
      <c r="B6158" s="45">
        <v>1</v>
      </c>
      <c r="D6158" s="2"/>
      <c r="E6158" s="31"/>
      <c r="G6158" s="43"/>
      <c r="H6158" s="2"/>
    </row>
    <row r="6159" spans="1:8">
      <c r="A6159" s="39">
        <v>3.07330825236918</v>
      </c>
      <c r="B6159" s="45">
        <v>9</v>
      </c>
      <c r="D6159" s="2"/>
      <c r="E6159" s="31"/>
      <c r="G6159" s="43"/>
      <c r="H6159" s="2"/>
    </row>
    <row r="6160" spans="1:8">
      <c r="A6160" s="39">
        <v>3.07330825236918</v>
      </c>
      <c r="B6160" s="45">
        <v>12.7</v>
      </c>
      <c r="D6160" s="2"/>
      <c r="E6160" s="31"/>
      <c r="G6160" s="43"/>
      <c r="H6160" s="2"/>
    </row>
    <row r="6161" spans="1:8">
      <c r="A6161" s="39">
        <v>3.07330825236918</v>
      </c>
      <c r="B6161" s="45">
        <v>4.9</v>
      </c>
      <c r="D6161" s="2"/>
      <c r="E6161" s="31"/>
      <c r="G6161" s="43"/>
      <c r="H6161" s="2"/>
    </row>
    <row r="6162" spans="1:8">
      <c r="A6162" s="39">
        <v>3.07323797058292</v>
      </c>
      <c r="B6162" s="45">
        <v>14.5</v>
      </c>
      <c r="D6162" s="2"/>
      <c r="E6162" s="31"/>
      <c r="G6162" s="43"/>
      <c r="H6162" s="2"/>
    </row>
    <row r="6163" spans="1:8">
      <c r="A6163" s="39">
        <v>3.07306041624458</v>
      </c>
      <c r="B6163" s="45">
        <v>9</v>
      </c>
      <c r="D6163" s="2"/>
      <c r="E6163" s="31"/>
      <c r="G6163" s="43"/>
      <c r="H6163" s="2"/>
    </row>
    <row r="6164" spans="1:8">
      <c r="A6164" s="39">
        <v>3.07275997089814</v>
      </c>
      <c r="B6164" s="45">
        <v>2</v>
      </c>
      <c r="D6164" s="2"/>
      <c r="E6164" s="31"/>
      <c r="G6164" s="43"/>
      <c r="H6164" s="2"/>
    </row>
    <row r="6165" spans="1:8">
      <c r="A6165" s="39">
        <v>3.07275997089814</v>
      </c>
      <c r="B6165" s="45">
        <v>1</v>
      </c>
      <c r="D6165" s="2"/>
      <c r="E6165" s="31"/>
      <c r="G6165" s="43"/>
      <c r="H6165" s="2"/>
    </row>
    <row r="6166" spans="1:8">
      <c r="A6166" s="39">
        <v>3.07259203045066</v>
      </c>
      <c r="B6166" s="45">
        <v>11.7</v>
      </c>
      <c r="D6166" s="2"/>
      <c r="E6166" s="31"/>
      <c r="G6166" s="43"/>
      <c r="H6166" s="2"/>
    </row>
    <row r="6167" spans="1:8">
      <c r="A6167" s="39">
        <v>3.07224267797523</v>
      </c>
      <c r="B6167" s="45">
        <v>4.6</v>
      </c>
      <c r="D6167" s="2"/>
      <c r="E6167" s="31"/>
      <c r="G6167" s="43"/>
      <c r="H6167" s="2"/>
    </row>
    <row r="6168" spans="1:8">
      <c r="A6168" s="39">
        <v>3.07224267797523</v>
      </c>
      <c r="B6168" s="45">
        <v>4.5</v>
      </c>
      <c r="D6168" s="2"/>
      <c r="E6168" s="31"/>
      <c r="G6168" s="43"/>
      <c r="H6168" s="2"/>
    </row>
    <row r="6169" spans="1:8">
      <c r="A6169" s="39">
        <v>3.07142493970587</v>
      </c>
      <c r="B6169" s="45">
        <v>5.5</v>
      </c>
      <c r="D6169" s="2"/>
      <c r="E6169" s="31"/>
      <c r="G6169" s="43"/>
      <c r="H6169" s="2"/>
    </row>
    <row r="6170" spans="1:8">
      <c r="A6170" s="39">
        <v>3.07142493970587</v>
      </c>
      <c r="B6170" s="45">
        <v>5.5</v>
      </c>
      <c r="D6170" s="2"/>
      <c r="E6170" s="31"/>
      <c r="G6170" s="43"/>
      <c r="H6170" s="2"/>
    </row>
    <row r="6171" spans="1:8">
      <c r="A6171" s="39">
        <v>3.07130437640695</v>
      </c>
      <c r="B6171" s="45">
        <v>1</v>
      </c>
      <c r="D6171" s="2"/>
      <c r="E6171" s="31"/>
      <c r="G6171" s="43"/>
      <c r="H6171" s="2"/>
    </row>
    <row r="6172" spans="1:8">
      <c r="A6172" s="39">
        <v>3.071048239601</v>
      </c>
      <c r="B6172" s="45">
        <v>10.5</v>
      </c>
      <c r="D6172" s="2"/>
      <c r="E6172" s="31"/>
      <c r="G6172" s="43"/>
      <c r="H6172" s="2"/>
    </row>
    <row r="6173" spans="1:8">
      <c r="A6173" s="39">
        <v>3.071048239601</v>
      </c>
      <c r="B6173" s="45">
        <v>10.7</v>
      </c>
      <c r="D6173" s="2"/>
      <c r="E6173" s="31"/>
      <c r="G6173" s="43"/>
      <c r="H6173" s="2"/>
    </row>
    <row r="6174" spans="1:8">
      <c r="A6174" s="39">
        <v>3.07092813668467</v>
      </c>
      <c r="B6174" s="45">
        <v>2</v>
      </c>
      <c r="D6174" s="2"/>
      <c r="E6174" s="31"/>
      <c r="G6174" s="43"/>
      <c r="H6174" s="2"/>
    </row>
    <row r="6175" spans="1:8">
      <c r="A6175" s="39">
        <v>3.07068123309897</v>
      </c>
      <c r="B6175" s="45">
        <v>2</v>
      </c>
      <c r="D6175" s="2"/>
      <c r="E6175" s="31"/>
      <c r="G6175" s="43"/>
      <c r="H6175" s="2"/>
    </row>
    <row r="6176" spans="1:8">
      <c r="A6176" s="39">
        <v>3.07050011938419</v>
      </c>
      <c r="B6176" s="45">
        <v>8.8</v>
      </c>
      <c r="D6176" s="2"/>
      <c r="E6176" s="31"/>
      <c r="G6176" s="43"/>
      <c r="H6176" s="2"/>
    </row>
    <row r="6177" spans="1:8">
      <c r="A6177" s="39">
        <v>3.06986543664517</v>
      </c>
      <c r="B6177" s="45">
        <v>6.4</v>
      </c>
      <c r="D6177" s="2"/>
      <c r="E6177" s="31"/>
      <c r="G6177" s="43"/>
      <c r="H6177" s="2"/>
    </row>
    <row r="6178" spans="1:8">
      <c r="A6178" s="39">
        <v>3.06976037551995</v>
      </c>
      <c r="B6178" s="45">
        <v>9.7</v>
      </c>
      <c r="D6178" s="2"/>
      <c r="E6178" s="31"/>
      <c r="G6178" s="43"/>
      <c r="H6178" s="2"/>
    </row>
    <row r="6179" spans="1:8">
      <c r="A6179" s="39">
        <v>3.06922627871229</v>
      </c>
      <c r="B6179" s="45">
        <v>10.7</v>
      </c>
      <c r="D6179" s="2"/>
      <c r="E6179" s="31"/>
      <c r="G6179" s="43"/>
      <c r="H6179" s="2"/>
    </row>
    <row r="6180" spans="1:8">
      <c r="A6180" s="39">
        <v>3.06912098467017</v>
      </c>
      <c r="B6180" s="45">
        <v>12.9</v>
      </c>
      <c r="D6180" s="2"/>
      <c r="E6180" s="31"/>
      <c r="G6180" s="43"/>
      <c r="H6180" s="2"/>
    </row>
    <row r="6181" spans="1:8">
      <c r="A6181" s="39">
        <v>3.06823399150056</v>
      </c>
      <c r="B6181" s="45">
        <v>18</v>
      </c>
      <c r="D6181" s="2"/>
      <c r="E6181" s="31"/>
      <c r="G6181" s="43"/>
      <c r="H6181" s="2"/>
    </row>
    <row r="6182" spans="1:8">
      <c r="A6182" s="39">
        <v>3.06725111649474</v>
      </c>
      <c r="B6182" s="45">
        <v>12.5</v>
      </c>
      <c r="D6182" s="2"/>
      <c r="E6182" s="31"/>
      <c r="G6182" s="43"/>
      <c r="H6182" s="2"/>
    </row>
    <row r="6183" spans="1:8">
      <c r="A6183" s="39">
        <v>3.06646596807675</v>
      </c>
      <c r="B6183" s="45">
        <v>5.5</v>
      </c>
      <c r="D6183" s="2"/>
      <c r="E6183" s="31"/>
      <c r="G6183" s="43"/>
      <c r="H6183" s="2"/>
    </row>
    <row r="6184" spans="1:8">
      <c r="A6184" s="39">
        <v>3.06639334258608</v>
      </c>
      <c r="B6184" s="45">
        <v>7.9</v>
      </c>
      <c r="D6184" s="2"/>
      <c r="E6184" s="31"/>
      <c r="G6184" s="43"/>
      <c r="H6184" s="2"/>
    </row>
    <row r="6185" spans="1:8">
      <c r="A6185" s="39">
        <v>3.06631636993892</v>
      </c>
      <c r="B6185" s="45">
        <v>14</v>
      </c>
      <c r="D6185" s="2"/>
      <c r="E6185" s="31"/>
      <c r="G6185" s="43"/>
      <c r="H6185" s="2"/>
    </row>
    <row r="6186" spans="1:8">
      <c r="A6186" s="39">
        <v>3.06614603318398</v>
      </c>
      <c r="B6186" s="45">
        <v>12</v>
      </c>
      <c r="D6186" s="2"/>
      <c r="E6186" s="31"/>
      <c r="G6186" s="43"/>
      <c r="H6186" s="2"/>
    </row>
    <row r="6187" spans="1:8">
      <c r="A6187" s="39">
        <v>3.06614603318398</v>
      </c>
      <c r="B6187" s="45">
        <v>1</v>
      </c>
      <c r="D6187" s="2"/>
      <c r="E6187" s="31"/>
      <c r="G6187" s="43"/>
      <c r="H6187" s="2"/>
    </row>
    <row r="6188" spans="1:8">
      <c r="A6188" s="39">
        <v>3.06614603318398</v>
      </c>
      <c r="B6188" s="45">
        <v>10.5</v>
      </c>
      <c r="D6188" s="2"/>
      <c r="E6188" s="31"/>
      <c r="G6188" s="43"/>
      <c r="H6188" s="2"/>
    </row>
    <row r="6189" spans="1:8">
      <c r="A6189" s="39">
        <v>3.06502441698671</v>
      </c>
      <c r="B6189" s="45">
        <v>8</v>
      </c>
      <c r="D6189" s="2"/>
      <c r="E6189" s="31"/>
      <c r="G6189" s="43"/>
      <c r="H6189" s="2"/>
    </row>
    <row r="6190" spans="1:8">
      <c r="A6190" s="39">
        <v>3.06488303355101</v>
      </c>
      <c r="B6190" s="45">
        <v>10</v>
      </c>
      <c r="D6190" s="2"/>
      <c r="E6190" s="31"/>
      <c r="G6190" s="43"/>
      <c r="H6190" s="2"/>
    </row>
    <row r="6191" spans="1:8">
      <c r="A6191" s="39">
        <v>3.06471618137501</v>
      </c>
      <c r="B6191" s="45">
        <v>19.2</v>
      </c>
      <c r="D6191" s="2"/>
      <c r="E6191" s="31"/>
      <c r="G6191" s="43"/>
      <c r="H6191" s="2"/>
    </row>
    <row r="6192" spans="1:8">
      <c r="A6192" s="39">
        <v>3.06419512169522</v>
      </c>
      <c r="B6192" s="45">
        <v>2</v>
      </c>
      <c r="D6192" s="2"/>
      <c r="E6192" s="31"/>
      <c r="G6192" s="43"/>
      <c r="H6192" s="2"/>
    </row>
    <row r="6193" spans="1:8">
      <c r="A6193" s="39">
        <v>3.06406529528165</v>
      </c>
      <c r="B6193" s="45">
        <v>3.3</v>
      </c>
      <c r="D6193" s="2"/>
      <c r="E6193" s="31"/>
      <c r="G6193" s="43"/>
      <c r="H6193" s="2"/>
    </row>
    <row r="6194" spans="1:8">
      <c r="A6194" s="39">
        <v>3.06406529528165</v>
      </c>
      <c r="B6194" s="45">
        <v>3.3</v>
      </c>
      <c r="D6194" s="2"/>
      <c r="E6194" s="31"/>
      <c r="G6194" s="43"/>
      <c r="H6194" s="2"/>
    </row>
    <row r="6195" spans="1:8">
      <c r="A6195" s="39">
        <v>3.06406529528165</v>
      </c>
      <c r="B6195" s="45">
        <v>12</v>
      </c>
      <c r="D6195" s="2"/>
      <c r="E6195" s="31"/>
      <c r="G6195" s="43"/>
      <c r="H6195" s="2"/>
    </row>
    <row r="6196" spans="1:8">
      <c r="A6196" s="39">
        <v>3.06406529528165</v>
      </c>
      <c r="B6196" s="45">
        <v>8.8</v>
      </c>
      <c r="D6196" s="2"/>
      <c r="E6196" s="31"/>
      <c r="G6196" s="43"/>
      <c r="H6196" s="2"/>
    </row>
    <row r="6197" spans="1:8">
      <c r="A6197" s="39">
        <v>3.06365549138734</v>
      </c>
      <c r="B6197" s="45">
        <v>9.3</v>
      </c>
      <c r="D6197" s="2"/>
      <c r="E6197" s="31"/>
      <c r="G6197" s="43"/>
      <c r="H6197" s="2"/>
    </row>
    <row r="6198" spans="1:8">
      <c r="A6198" s="39">
        <v>3.06365549138734</v>
      </c>
      <c r="B6198" s="45">
        <v>4.1</v>
      </c>
      <c r="D6198" s="2"/>
      <c r="E6198" s="31"/>
      <c r="G6198" s="43"/>
      <c r="H6198" s="2"/>
    </row>
    <row r="6199" spans="1:8">
      <c r="A6199" s="39">
        <v>3.06340646116555</v>
      </c>
      <c r="B6199" s="45">
        <v>1</v>
      </c>
      <c r="D6199" s="2"/>
      <c r="E6199" s="31"/>
      <c r="G6199" s="43"/>
      <c r="H6199" s="2"/>
    </row>
    <row r="6200" spans="1:8">
      <c r="A6200" s="39">
        <v>3.06340646116555</v>
      </c>
      <c r="B6200" s="45">
        <v>5</v>
      </c>
      <c r="D6200" s="2"/>
      <c r="E6200" s="31"/>
      <c r="G6200" s="43"/>
      <c r="H6200" s="2"/>
    </row>
    <row r="6201" spans="1:8">
      <c r="A6201" s="39">
        <v>3.06332963626909</v>
      </c>
      <c r="B6201" s="45">
        <v>11</v>
      </c>
      <c r="D6201" s="2"/>
      <c r="E6201" s="31"/>
      <c r="G6201" s="43"/>
      <c r="H6201" s="2"/>
    </row>
    <row r="6202" spans="1:8">
      <c r="A6202" s="39">
        <v>3.06297102858766</v>
      </c>
      <c r="B6202" s="45">
        <v>12.7</v>
      </c>
      <c r="D6202" s="2"/>
      <c r="E6202" s="31"/>
      <c r="G6202" s="43"/>
      <c r="H6202" s="2"/>
    </row>
    <row r="6203" spans="1:8">
      <c r="A6203" s="39">
        <v>3.06256492359138</v>
      </c>
      <c r="B6203" s="45">
        <v>26</v>
      </c>
      <c r="D6203" s="2"/>
      <c r="E6203" s="31"/>
      <c r="G6203" s="43"/>
      <c r="H6203" s="2"/>
    </row>
    <row r="6204" spans="1:8">
      <c r="A6204" s="39">
        <v>3.06217521719839</v>
      </c>
      <c r="B6204" s="45">
        <v>13.6</v>
      </c>
      <c r="D6204" s="2"/>
      <c r="E6204" s="31"/>
      <c r="G6204" s="43"/>
      <c r="H6204" s="2"/>
    </row>
    <row r="6205" spans="1:8">
      <c r="A6205" s="39">
        <v>3.06202247619388</v>
      </c>
      <c r="B6205" s="45">
        <v>11.3</v>
      </c>
      <c r="D6205" s="2"/>
      <c r="E6205" s="31"/>
      <c r="G6205" s="43"/>
      <c r="H6205" s="2"/>
    </row>
    <row r="6206" spans="1:8">
      <c r="A6206" s="39">
        <v>3.06202247619388</v>
      </c>
      <c r="B6206" s="45">
        <v>6.3</v>
      </c>
      <c r="D6206" s="2"/>
      <c r="E6206" s="31"/>
      <c r="G6206" s="43"/>
      <c r="H6206" s="2"/>
    </row>
    <row r="6207" spans="1:8">
      <c r="A6207" s="39">
        <v>3.06201911826853</v>
      </c>
      <c r="B6207" s="45">
        <v>6</v>
      </c>
      <c r="D6207" s="2"/>
      <c r="E6207" s="31"/>
      <c r="G6207" s="43"/>
      <c r="H6207" s="2"/>
    </row>
    <row r="6208" spans="1:8">
      <c r="A6208" s="39">
        <v>3.06201911826853</v>
      </c>
      <c r="B6208" s="45">
        <v>15</v>
      </c>
      <c r="D6208" s="2"/>
      <c r="E6208" s="31"/>
      <c r="G6208" s="43"/>
      <c r="H6208" s="2"/>
    </row>
    <row r="6209" spans="1:8">
      <c r="A6209" s="39">
        <v>3.06190193327458</v>
      </c>
      <c r="B6209" s="45">
        <v>6</v>
      </c>
      <c r="D6209" s="2"/>
      <c r="E6209" s="31"/>
      <c r="G6209" s="43"/>
      <c r="H6209" s="2"/>
    </row>
    <row r="6210" spans="1:8">
      <c r="A6210" s="39">
        <v>3.06111521496863</v>
      </c>
      <c r="B6210" s="45">
        <v>14</v>
      </c>
      <c r="D6210" s="2"/>
      <c r="E6210" s="31"/>
      <c r="G6210" s="43"/>
      <c r="H6210" s="2"/>
    </row>
    <row r="6211" spans="1:8">
      <c r="A6211" s="39">
        <v>3.0608286142005</v>
      </c>
      <c r="B6211" s="45">
        <v>17</v>
      </c>
      <c r="D6211" s="2"/>
      <c r="E6211" s="31"/>
      <c r="G6211" s="43"/>
      <c r="H6211" s="2"/>
    </row>
    <row r="6212" spans="1:8">
      <c r="A6212" s="39">
        <v>3.06049655239218</v>
      </c>
      <c r="B6212" s="45">
        <v>0</v>
      </c>
      <c r="D6212" s="2"/>
      <c r="E6212" s="31"/>
      <c r="G6212" s="43"/>
      <c r="H6212" s="2"/>
    </row>
    <row r="6213" spans="1:8">
      <c r="A6213" s="39">
        <v>3.06006173608105</v>
      </c>
      <c r="B6213" s="45">
        <v>10.3</v>
      </c>
      <c r="D6213" s="2"/>
      <c r="E6213" s="31"/>
      <c r="G6213" s="43"/>
      <c r="H6213" s="2"/>
    </row>
    <row r="6214" spans="1:8">
      <c r="A6214" s="39">
        <v>3.05997660393487</v>
      </c>
      <c r="B6214" s="45">
        <v>0</v>
      </c>
      <c r="D6214" s="2"/>
      <c r="E6214" s="31"/>
      <c r="G6214" s="43"/>
      <c r="H6214" s="2"/>
    </row>
    <row r="6215" spans="1:8">
      <c r="A6215" s="39">
        <v>3.05976907519883</v>
      </c>
      <c r="B6215" s="45">
        <v>0</v>
      </c>
      <c r="D6215" s="2"/>
      <c r="E6215" s="31"/>
      <c r="G6215" s="43"/>
      <c r="H6215" s="2"/>
    </row>
    <row r="6216" spans="1:8">
      <c r="A6216" s="39">
        <v>3.05954871458924</v>
      </c>
      <c r="B6216" s="45">
        <v>7</v>
      </c>
      <c r="D6216" s="2"/>
      <c r="E6216" s="31"/>
      <c r="G6216" s="43"/>
      <c r="H6216" s="2"/>
    </row>
    <row r="6217" spans="1:8">
      <c r="A6217" s="39">
        <v>3.05915886566551</v>
      </c>
      <c r="B6217" s="45">
        <v>5.9</v>
      </c>
      <c r="D6217" s="2"/>
      <c r="E6217" s="31"/>
      <c r="G6217" s="43"/>
      <c r="H6217" s="2"/>
    </row>
    <row r="6218" spans="1:8">
      <c r="A6218" s="39">
        <v>3.05898381399878</v>
      </c>
      <c r="B6218" s="45">
        <v>24</v>
      </c>
      <c r="D6218" s="2"/>
      <c r="E6218" s="31"/>
      <c r="G6218" s="43"/>
      <c r="H6218" s="2"/>
    </row>
    <row r="6219" spans="1:8">
      <c r="A6219" s="39">
        <v>3.05831412081215</v>
      </c>
      <c r="B6219" s="45">
        <v>13.5</v>
      </c>
      <c r="D6219" s="2"/>
      <c r="E6219" s="31"/>
      <c r="G6219" s="43"/>
      <c r="H6219" s="2"/>
    </row>
    <row r="6220" spans="1:8">
      <c r="A6220" s="39">
        <v>3.05813540820473</v>
      </c>
      <c r="B6220" s="45">
        <v>12.3</v>
      </c>
      <c r="D6220" s="2"/>
      <c r="E6220" s="31"/>
      <c r="G6220" s="43"/>
      <c r="H6220" s="2"/>
    </row>
    <row r="6221" spans="1:8">
      <c r="A6221" s="39">
        <v>3.05768056112392</v>
      </c>
      <c r="B6221" s="45">
        <v>8.1</v>
      </c>
      <c r="D6221" s="2"/>
      <c r="E6221" s="31"/>
      <c r="G6221" s="43"/>
      <c r="H6221" s="2"/>
    </row>
    <row r="6222" spans="1:8">
      <c r="A6222" s="39">
        <v>3.05768056112392</v>
      </c>
      <c r="B6222" s="45">
        <v>9.9</v>
      </c>
      <c r="D6222" s="2"/>
      <c r="E6222" s="31"/>
      <c r="G6222" s="43"/>
      <c r="H6222" s="2"/>
    </row>
    <row r="6223" spans="1:8">
      <c r="A6223" s="39">
        <v>3.05768056112392</v>
      </c>
      <c r="B6223" s="45">
        <v>8.3</v>
      </c>
      <c r="D6223" s="2"/>
      <c r="E6223" s="31"/>
      <c r="G6223" s="43"/>
      <c r="H6223" s="2"/>
    </row>
    <row r="6224" spans="1:8">
      <c r="A6224" s="39">
        <v>3.05674843149507</v>
      </c>
      <c r="B6224" s="45">
        <v>4</v>
      </c>
      <c r="D6224" s="2"/>
      <c r="E6224" s="31"/>
      <c r="G6224" s="43"/>
      <c r="H6224" s="2"/>
    </row>
    <row r="6225" spans="1:8">
      <c r="A6225" s="39">
        <v>3.05612640059081</v>
      </c>
      <c r="B6225" s="45">
        <v>6.6</v>
      </c>
      <c r="D6225" s="2"/>
      <c r="E6225" s="31"/>
      <c r="G6225" s="43"/>
      <c r="H6225" s="2"/>
    </row>
    <row r="6226" spans="1:8">
      <c r="A6226" s="39">
        <v>3.05612640059081</v>
      </c>
      <c r="B6226" s="45">
        <v>8.2</v>
      </c>
      <c r="D6226" s="2"/>
      <c r="E6226" s="31"/>
      <c r="G6226" s="43"/>
      <c r="H6226" s="2"/>
    </row>
    <row r="6227" spans="1:8">
      <c r="A6227" s="39">
        <v>3.05588791258808</v>
      </c>
      <c r="B6227" s="45">
        <v>11</v>
      </c>
      <c r="D6227" s="2"/>
      <c r="E6227" s="31"/>
      <c r="G6227" s="43"/>
      <c r="H6227" s="2"/>
    </row>
    <row r="6228" spans="1:8">
      <c r="A6228" s="39">
        <v>3.05568536233554</v>
      </c>
      <c r="B6228" s="45">
        <v>5</v>
      </c>
      <c r="D6228" s="2"/>
      <c r="E6228" s="31"/>
      <c r="G6228" s="43"/>
      <c r="H6228" s="2"/>
    </row>
    <row r="6229" spans="1:8">
      <c r="A6229" s="39">
        <v>3.05568536233554</v>
      </c>
      <c r="B6229" s="45">
        <v>13</v>
      </c>
      <c r="D6229" s="2"/>
      <c r="E6229" s="31"/>
      <c r="G6229" s="43"/>
      <c r="H6229" s="2"/>
    </row>
    <row r="6230" spans="1:8">
      <c r="A6230" s="39">
        <v>3.05486631302349</v>
      </c>
      <c r="B6230" s="45">
        <v>9</v>
      </c>
      <c r="D6230" s="2"/>
      <c r="E6230" s="31"/>
      <c r="G6230" s="43"/>
      <c r="H6230" s="2"/>
    </row>
    <row r="6231" spans="1:8">
      <c r="A6231" s="39">
        <v>3.05486631302349</v>
      </c>
      <c r="B6231" s="45">
        <v>11.5</v>
      </c>
      <c r="D6231" s="2"/>
      <c r="E6231" s="31"/>
      <c r="G6231" s="43"/>
      <c r="H6231" s="2"/>
    </row>
    <row r="6232" spans="1:8">
      <c r="A6232" s="39">
        <v>3.05456503975828</v>
      </c>
      <c r="B6232" s="45">
        <v>2</v>
      </c>
      <c r="D6232" s="2"/>
      <c r="E6232" s="31"/>
      <c r="G6232" s="43"/>
      <c r="H6232" s="2"/>
    </row>
    <row r="6233" spans="1:8">
      <c r="A6233" s="39">
        <v>3.05416275099838</v>
      </c>
      <c r="B6233" s="45">
        <v>9.5</v>
      </c>
      <c r="D6233" s="2"/>
      <c r="E6233" s="31"/>
      <c r="G6233" s="43"/>
      <c r="H6233" s="2"/>
    </row>
    <row r="6234" spans="1:8">
      <c r="A6234" s="39">
        <v>3.05409559921106</v>
      </c>
      <c r="B6234" s="45">
        <v>10</v>
      </c>
      <c r="D6234" s="2"/>
      <c r="E6234" s="31"/>
      <c r="G6234" s="43"/>
      <c r="H6234" s="2"/>
    </row>
    <row r="6235" spans="1:8">
      <c r="A6235" s="39">
        <v>3.05352593570497</v>
      </c>
      <c r="B6235" s="45">
        <v>7</v>
      </c>
      <c r="D6235" s="2"/>
      <c r="E6235" s="31"/>
      <c r="G6235" s="43"/>
      <c r="H6235" s="2"/>
    </row>
    <row r="6236" spans="1:8">
      <c r="A6236" s="39">
        <v>3.05310740796072</v>
      </c>
      <c r="B6236" s="45">
        <v>13.2</v>
      </c>
      <c r="D6236" s="2"/>
      <c r="E6236" s="31"/>
      <c r="G6236" s="43"/>
      <c r="H6236" s="2"/>
    </row>
    <row r="6237" spans="1:8">
      <c r="A6237" s="39">
        <v>3.05287235566736</v>
      </c>
      <c r="B6237" s="45">
        <v>9</v>
      </c>
      <c r="D6237" s="2"/>
      <c r="E6237" s="31"/>
      <c r="G6237" s="43"/>
      <c r="H6237" s="2"/>
    </row>
    <row r="6238" spans="1:8">
      <c r="A6238" s="39">
        <v>3.05270408659239</v>
      </c>
      <c r="B6238" s="45">
        <v>11</v>
      </c>
      <c r="D6238" s="2"/>
      <c r="E6238" s="31"/>
      <c r="G6238" s="43"/>
      <c r="H6238" s="2"/>
    </row>
    <row r="6239" spans="1:8">
      <c r="A6239" s="39">
        <v>3.05270408659239</v>
      </c>
      <c r="B6239" s="45">
        <v>8</v>
      </c>
      <c r="D6239" s="2"/>
      <c r="E6239" s="31"/>
      <c r="G6239" s="43"/>
      <c r="H6239" s="2"/>
    </row>
    <row r="6240" spans="1:8">
      <c r="A6240" s="39">
        <v>3.05249430326541</v>
      </c>
      <c r="B6240" s="45">
        <v>6.5</v>
      </c>
      <c r="D6240" s="2"/>
      <c r="E6240" s="31"/>
      <c r="G6240" s="43"/>
      <c r="H6240" s="2"/>
    </row>
    <row r="6241" spans="1:8">
      <c r="A6241" s="39">
        <v>3.0517992212413</v>
      </c>
      <c r="B6241" s="45">
        <v>2.7</v>
      </c>
      <c r="D6241" s="2"/>
      <c r="E6241" s="31"/>
      <c r="G6241" s="43"/>
      <c r="H6241" s="2"/>
    </row>
    <row r="6242" spans="1:8">
      <c r="A6242" s="39">
        <v>3.05165385077591</v>
      </c>
      <c r="B6242" s="45">
        <v>12.9</v>
      </c>
      <c r="D6242" s="2"/>
      <c r="E6242" s="31"/>
      <c r="G6242" s="43"/>
      <c r="H6242" s="2"/>
    </row>
    <row r="6243" spans="1:8">
      <c r="A6243" s="39">
        <v>3.05156519559215</v>
      </c>
      <c r="B6243" s="45">
        <v>3</v>
      </c>
      <c r="D6243" s="2"/>
      <c r="E6243" s="31"/>
      <c r="G6243" s="43"/>
      <c r="H6243" s="2"/>
    </row>
    <row r="6244" spans="1:8">
      <c r="A6244" s="39">
        <v>3.05103934887872</v>
      </c>
      <c r="B6244" s="45">
        <v>9</v>
      </c>
      <c r="D6244" s="2"/>
      <c r="E6244" s="31"/>
      <c r="G6244" s="43"/>
      <c r="H6244" s="2"/>
    </row>
    <row r="6245" spans="1:8">
      <c r="A6245" s="39">
        <v>3.05098148297194</v>
      </c>
      <c r="B6245" s="45">
        <v>8</v>
      </c>
      <c r="D6245" s="2"/>
      <c r="E6245" s="31"/>
      <c r="G6245" s="43"/>
      <c r="H6245" s="2"/>
    </row>
    <row r="6246" spans="1:8">
      <c r="A6246" s="39">
        <v>3.05025803551693</v>
      </c>
      <c r="B6246" s="45">
        <v>5.9</v>
      </c>
      <c r="D6246" s="2"/>
      <c r="E6246" s="31"/>
      <c r="G6246" s="43"/>
      <c r="H6246" s="2"/>
    </row>
    <row r="6247" spans="1:8">
      <c r="A6247" s="39">
        <v>3.04874266179353</v>
      </c>
      <c r="B6247" s="45">
        <v>3.9</v>
      </c>
      <c r="D6247" s="2"/>
      <c r="E6247" s="31"/>
      <c r="G6247" s="43"/>
      <c r="H6247" s="2"/>
    </row>
    <row r="6248" spans="1:8">
      <c r="A6248" s="39">
        <v>3.04864785574334</v>
      </c>
      <c r="B6248" s="45">
        <v>6</v>
      </c>
      <c r="D6248" s="2"/>
      <c r="E6248" s="31"/>
      <c r="G6248" s="43"/>
      <c r="H6248" s="2"/>
    </row>
    <row r="6249" spans="1:8">
      <c r="A6249" s="39">
        <v>3.04853425479751</v>
      </c>
      <c r="B6249" s="45">
        <v>13</v>
      </c>
      <c r="D6249" s="2"/>
      <c r="E6249" s="31"/>
      <c r="G6249" s="43"/>
      <c r="H6249" s="2"/>
    </row>
    <row r="6250" spans="1:8">
      <c r="A6250" s="39">
        <v>3.04803588572056</v>
      </c>
      <c r="B6250" s="45">
        <v>4</v>
      </c>
      <c r="D6250" s="2"/>
      <c r="E6250" s="31"/>
      <c r="G6250" s="43"/>
      <c r="H6250" s="2"/>
    </row>
    <row r="6251" spans="1:8">
      <c r="A6251" s="39">
        <v>3.04803588572056</v>
      </c>
      <c r="B6251" s="45">
        <v>18.5</v>
      </c>
      <c r="D6251" s="2"/>
      <c r="E6251" s="31"/>
      <c r="G6251" s="43"/>
      <c r="H6251" s="2"/>
    </row>
    <row r="6252" spans="1:8">
      <c r="A6252" s="39">
        <v>3.04736258422162</v>
      </c>
      <c r="B6252" s="45">
        <v>7.3</v>
      </c>
      <c r="D6252" s="2"/>
      <c r="E6252" s="31"/>
      <c r="G6252" s="43"/>
      <c r="H6252" s="2"/>
    </row>
    <row r="6253" spans="1:8">
      <c r="A6253" s="39">
        <v>3.04655927005675</v>
      </c>
      <c r="B6253" s="45">
        <v>7.5</v>
      </c>
      <c r="D6253" s="2"/>
      <c r="E6253" s="31"/>
      <c r="G6253" s="43"/>
      <c r="H6253" s="2"/>
    </row>
    <row r="6254" spans="1:8">
      <c r="A6254" s="39">
        <v>3.04633655529128</v>
      </c>
      <c r="B6254" s="45">
        <v>9.1</v>
      </c>
      <c r="D6254" s="2"/>
      <c r="E6254" s="31"/>
      <c r="G6254" s="43"/>
      <c r="H6254" s="2"/>
    </row>
    <row r="6255" spans="1:8">
      <c r="A6255" s="39">
        <v>3.04585945859555</v>
      </c>
      <c r="B6255" s="45">
        <v>1.2</v>
      </c>
      <c r="D6255" s="2"/>
      <c r="E6255" s="31"/>
      <c r="G6255" s="43"/>
      <c r="H6255" s="2"/>
    </row>
    <row r="6256" spans="1:8">
      <c r="A6256" s="39">
        <v>3.04583147281116</v>
      </c>
      <c r="B6256" s="45">
        <v>12</v>
      </c>
      <c r="D6256" s="2"/>
      <c r="E6256" s="31"/>
      <c r="G6256" s="43"/>
      <c r="H6256" s="2"/>
    </row>
    <row r="6257" spans="1:8">
      <c r="A6257" s="39">
        <v>3.04521953133198</v>
      </c>
      <c r="B6257" s="45">
        <v>18</v>
      </c>
      <c r="D6257" s="2"/>
      <c r="E6257" s="31"/>
      <c r="G6257" s="43"/>
      <c r="H6257" s="2"/>
    </row>
    <row r="6258" spans="1:8">
      <c r="A6258" s="39">
        <v>3.04465937562838</v>
      </c>
      <c r="B6258" s="45">
        <v>14</v>
      </c>
      <c r="D6258" s="2"/>
      <c r="E6258" s="31"/>
      <c r="G6258" s="43"/>
      <c r="H6258" s="2"/>
    </row>
    <row r="6259" spans="1:8">
      <c r="A6259" s="39">
        <v>3.04449205413864</v>
      </c>
      <c r="B6259" s="45">
        <v>18</v>
      </c>
      <c r="D6259" s="2"/>
      <c r="E6259" s="31"/>
      <c r="G6259" s="43"/>
      <c r="H6259" s="2"/>
    </row>
    <row r="6260" spans="1:8">
      <c r="A6260" s="39">
        <v>3.04380607019649</v>
      </c>
      <c r="B6260" s="45">
        <v>5.3</v>
      </c>
      <c r="D6260" s="2"/>
      <c r="E6260" s="31"/>
      <c r="G6260" s="43"/>
      <c r="H6260" s="2"/>
    </row>
    <row r="6261" spans="1:8">
      <c r="A6261" s="39">
        <v>3.0437645769453</v>
      </c>
      <c r="B6261" s="45">
        <v>7.5</v>
      </c>
      <c r="D6261" s="2"/>
      <c r="E6261" s="31"/>
      <c r="G6261" s="43"/>
      <c r="H6261" s="2"/>
    </row>
    <row r="6262" spans="1:8">
      <c r="A6262" s="39">
        <v>3.04362183854772</v>
      </c>
      <c r="B6262" s="45">
        <v>2</v>
      </c>
      <c r="D6262" s="2"/>
      <c r="E6262" s="31"/>
      <c r="G6262" s="43"/>
      <c r="H6262" s="2"/>
    </row>
    <row r="6263" spans="1:8">
      <c r="A6263" s="39">
        <v>3.04241507506563</v>
      </c>
      <c r="B6263" s="45">
        <v>4.5</v>
      </c>
      <c r="D6263" s="2"/>
      <c r="E6263" s="31"/>
      <c r="G6263" s="43"/>
      <c r="H6263" s="2"/>
    </row>
    <row r="6264" spans="1:8">
      <c r="A6264" s="39">
        <v>3.04175268179744</v>
      </c>
      <c r="B6264" s="45">
        <v>12</v>
      </c>
      <c r="D6264" s="2"/>
      <c r="E6264" s="31"/>
      <c r="G6264" s="43"/>
      <c r="H6264" s="2"/>
    </row>
    <row r="6265" spans="1:8">
      <c r="A6265" s="39">
        <v>3.04158214536527</v>
      </c>
      <c r="B6265" s="45">
        <v>8</v>
      </c>
      <c r="D6265" s="2"/>
      <c r="E6265" s="31"/>
      <c r="G6265" s="43"/>
      <c r="H6265" s="2"/>
    </row>
    <row r="6266" spans="1:8">
      <c r="A6266" s="39">
        <v>3.04158214536527</v>
      </c>
      <c r="B6266" s="45">
        <v>23</v>
      </c>
      <c r="D6266" s="2"/>
      <c r="E6266" s="31"/>
      <c r="G6266" s="43"/>
      <c r="H6266" s="2"/>
    </row>
    <row r="6267" spans="1:8">
      <c r="A6267" s="39">
        <v>3.04090659849191</v>
      </c>
      <c r="B6267" s="45">
        <v>24</v>
      </c>
      <c r="D6267" s="2"/>
      <c r="E6267" s="31"/>
      <c r="G6267" s="43"/>
      <c r="H6267" s="2"/>
    </row>
    <row r="6268" spans="1:8">
      <c r="A6268" s="39">
        <v>3.04090659849191</v>
      </c>
      <c r="B6268" s="45">
        <v>11</v>
      </c>
      <c r="D6268" s="2"/>
      <c r="E6268" s="31"/>
      <c r="G6268" s="43"/>
      <c r="H6268" s="2"/>
    </row>
    <row r="6269" spans="1:8">
      <c r="A6269" s="39">
        <v>3.04062956923218</v>
      </c>
      <c r="B6269" s="45">
        <v>5.2</v>
      </c>
      <c r="D6269" s="2"/>
      <c r="E6269" s="31"/>
      <c r="G6269" s="43"/>
      <c r="H6269" s="2"/>
    </row>
    <row r="6270" spans="1:8">
      <c r="A6270" s="39">
        <v>3.04038375619807</v>
      </c>
      <c r="B6270" s="45">
        <v>6</v>
      </c>
      <c r="D6270" s="2"/>
      <c r="E6270" s="31"/>
      <c r="G6270" s="43"/>
      <c r="H6270" s="2"/>
    </row>
    <row r="6271" spans="1:8">
      <c r="A6271" s="39">
        <v>3.04038375619807</v>
      </c>
      <c r="B6271" s="45">
        <v>3.4</v>
      </c>
      <c r="D6271" s="2"/>
      <c r="E6271" s="31"/>
      <c r="G6271" s="43"/>
      <c r="H6271" s="2"/>
    </row>
    <row r="6272" spans="1:8">
      <c r="A6272" s="39">
        <v>3.0400915104962</v>
      </c>
      <c r="B6272" s="45">
        <v>17.3</v>
      </c>
      <c r="D6272" s="2"/>
      <c r="E6272" s="31"/>
      <c r="G6272" s="43"/>
      <c r="H6272" s="2"/>
    </row>
    <row r="6273" spans="1:8">
      <c r="A6273" s="39">
        <v>3.0400915104962</v>
      </c>
      <c r="B6273" s="45">
        <v>16</v>
      </c>
      <c r="D6273" s="2"/>
      <c r="E6273" s="31"/>
      <c r="G6273" s="43"/>
      <c r="H6273" s="2"/>
    </row>
    <row r="6274" spans="1:8">
      <c r="A6274" s="39">
        <v>3.03939971378524</v>
      </c>
      <c r="B6274" s="45">
        <v>14.5</v>
      </c>
      <c r="D6274" s="2"/>
      <c r="E6274" s="31"/>
      <c r="G6274" s="43"/>
      <c r="H6274" s="2"/>
    </row>
    <row r="6275" spans="1:8">
      <c r="A6275" s="39">
        <v>3.0390148305987</v>
      </c>
      <c r="B6275" s="45">
        <v>15.5</v>
      </c>
      <c r="D6275" s="2"/>
      <c r="E6275" s="31"/>
      <c r="G6275" s="43"/>
      <c r="H6275" s="2"/>
    </row>
    <row r="6276" spans="1:8">
      <c r="A6276" s="39">
        <v>3.0386722365919</v>
      </c>
      <c r="B6276" s="45">
        <v>8.8</v>
      </c>
      <c r="D6276" s="2"/>
      <c r="E6276" s="31"/>
      <c r="G6276" s="43"/>
      <c r="H6276" s="2"/>
    </row>
    <row r="6277" spans="1:8">
      <c r="A6277" s="39">
        <v>3.03833036779902</v>
      </c>
      <c r="B6277" s="45">
        <v>11</v>
      </c>
      <c r="D6277" s="2"/>
      <c r="E6277" s="31"/>
      <c r="G6277" s="43"/>
      <c r="H6277" s="2"/>
    </row>
    <row r="6278" spans="1:8">
      <c r="A6278" s="39">
        <v>3.03833036779902</v>
      </c>
      <c r="B6278" s="45">
        <v>11.8</v>
      </c>
      <c r="D6278" s="2"/>
      <c r="E6278" s="31"/>
      <c r="G6278" s="43"/>
      <c r="H6278" s="2"/>
    </row>
    <row r="6279" spans="1:8">
      <c r="A6279" s="39">
        <v>3.03738784519581</v>
      </c>
      <c r="B6279" s="45">
        <v>7.1</v>
      </c>
      <c r="D6279" s="2"/>
      <c r="E6279" s="31"/>
      <c r="G6279" s="43"/>
      <c r="H6279" s="2"/>
    </row>
    <row r="6280" spans="1:8">
      <c r="A6280" s="39">
        <v>3.03707993239286</v>
      </c>
      <c r="B6280" s="45">
        <v>5.2</v>
      </c>
      <c r="D6280" s="2"/>
      <c r="E6280" s="31"/>
      <c r="G6280" s="43"/>
      <c r="H6280" s="2"/>
    </row>
    <row r="6281" spans="1:8">
      <c r="A6281" s="39">
        <v>3.03559251660028</v>
      </c>
      <c r="B6281" s="45">
        <v>5</v>
      </c>
      <c r="D6281" s="2"/>
      <c r="E6281" s="31"/>
      <c r="G6281" s="43"/>
      <c r="H6281" s="2"/>
    </row>
    <row r="6282" spans="1:8">
      <c r="A6282" s="39">
        <v>3.03559251660028</v>
      </c>
      <c r="B6282" s="45">
        <v>7.3</v>
      </c>
      <c r="D6282" s="2"/>
      <c r="E6282" s="31"/>
      <c r="G6282" s="43"/>
      <c r="H6282" s="2"/>
    </row>
    <row r="6283" spans="1:8">
      <c r="A6283" s="39">
        <v>3.03491451412725</v>
      </c>
      <c r="B6283" s="45">
        <v>7.2</v>
      </c>
      <c r="D6283" s="2"/>
      <c r="E6283" s="31"/>
      <c r="G6283" s="43"/>
      <c r="H6283" s="2"/>
    </row>
    <row r="6284" spans="1:8">
      <c r="A6284" s="39">
        <v>3.0346322687691</v>
      </c>
      <c r="B6284" s="45">
        <v>10.5</v>
      </c>
      <c r="D6284" s="2"/>
      <c r="E6284" s="31"/>
      <c r="G6284" s="43"/>
      <c r="H6284" s="2"/>
    </row>
    <row r="6285" spans="1:8">
      <c r="A6285" s="39">
        <v>3.0346322687691</v>
      </c>
      <c r="B6285" s="45">
        <v>4</v>
      </c>
      <c r="D6285" s="2"/>
      <c r="E6285" s="31"/>
      <c r="G6285" s="43"/>
      <c r="H6285" s="2"/>
    </row>
    <row r="6286" spans="1:8">
      <c r="A6286" s="39">
        <v>3.03462671758479</v>
      </c>
      <c r="B6286" s="45">
        <v>2</v>
      </c>
      <c r="D6286" s="2"/>
      <c r="E6286" s="31"/>
      <c r="G6286" s="43"/>
      <c r="H6286" s="2"/>
    </row>
    <row r="6287" spans="1:8">
      <c r="A6287" s="39">
        <v>3.03462671758479</v>
      </c>
      <c r="B6287" s="45">
        <v>8</v>
      </c>
      <c r="D6287" s="2"/>
      <c r="E6287" s="31"/>
      <c r="G6287" s="43"/>
      <c r="H6287" s="2"/>
    </row>
    <row r="6288" spans="1:8">
      <c r="A6288" s="39">
        <v>3.03457284255893</v>
      </c>
      <c r="B6288" s="45">
        <v>8.9</v>
      </c>
      <c r="D6288" s="2"/>
      <c r="E6288" s="31"/>
      <c r="G6288" s="43"/>
      <c r="H6288" s="2"/>
    </row>
    <row r="6289" spans="1:8">
      <c r="A6289" s="39">
        <v>3.03430737343184</v>
      </c>
      <c r="B6289" s="45">
        <v>23</v>
      </c>
      <c r="D6289" s="2"/>
      <c r="E6289" s="31"/>
      <c r="G6289" s="43"/>
      <c r="H6289" s="2"/>
    </row>
    <row r="6290" spans="1:8">
      <c r="A6290" s="39">
        <v>3.03422359100091</v>
      </c>
      <c r="B6290" s="45">
        <v>9.3</v>
      </c>
      <c r="D6290" s="2"/>
      <c r="E6290" s="31"/>
      <c r="G6290" s="43"/>
      <c r="H6290" s="2"/>
    </row>
    <row r="6291" spans="1:8">
      <c r="A6291" s="39">
        <v>3.03391604685058</v>
      </c>
      <c r="B6291" s="45">
        <v>21</v>
      </c>
      <c r="D6291" s="2"/>
      <c r="E6291" s="31"/>
      <c r="G6291" s="43"/>
      <c r="H6291" s="2"/>
    </row>
    <row r="6292" spans="1:8">
      <c r="A6292" s="39">
        <v>3.03391604685058</v>
      </c>
      <c r="B6292" s="45">
        <v>7.6</v>
      </c>
      <c r="D6292" s="2"/>
      <c r="E6292" s="31"/>
      <c r="G6292" s="43"/>
      <c r="H6292" s="2"/>
    </row>
    <row r="6293" spans="1:8">
      <c r="A6293" s="39">
        <v>3.03305589024511</v>
      </c>
      <c r="B6293" s="45">
        <v>5.5</v>
      </c>
      <c r="D6293" s="2"/>
      <c r="E6293" s="31"/>
      <c r="G6293" s="43"/>
      <c r="H6293" s="2"/>
    </row>
    <row r="6294" spans="1:8">
      <c r="A6294" s="39">
        <v>3.03261137450151</v>
      </c>
      <c r="B6294" s="45">
        <v>8.5</v>
      </c>
      <c r="D6294" s="2"/>
      <c r="E6294" s="31"/>
      <c r="G6294" s="43"/>
      <c r="H6294" s="2"/>
    </row>
    <row r="6295" spans="1:8">
      <c r="A6295" s="39">
        <v>3.03217020260186</v>
      </c>
      <c r="B6295" s="45">
        <v>12.8</v>
      </c>
      <c r="D6295" s="2"/>
      <c r="E6295" s="31"/>
      <c r="G6295" s="43"/>
      <c r="H6295" s="2"/>
    </row>
    <row r="6296" spans="1:8">
      <c r="A6296" s="39">
        <v>3.03135576450736</v>
      </c>
      <c r="B6296" s="45">
        <v>0</v>
      </c>
      <c r="D6296" s="2"/>
      <c r="E6296" s="31"/>
      <c r="G6296" s="43"/>
      <c r="H6296" s="2"/>
    </row>
    <row r="6297" spans="1:8">
      <c r="A6297" s="39">
        <v>3.03120334824696</v>
      </c>
      <c r="B6297" s="45">
        <v>10.6</v>
      </c>
      <c r="D6297" s="2"/>
      <c r="E6297" s="31"/>
      <c r="G6297" s="43"/>
      <c r="H6297" s="2"/>
    </row>
    <row r="6298" spans="1:8">
      <c r="A6298" s="39">
        <v>3.0303503386036</v>
      </c>
      <c r="B6298" s="45">
        <v>14</v>
      </c>
      <c r="D6298" s="2"/>
      <c r="E6298" s="31"/>
      <c r="G6298" s="43"/>
      <c r="H6298" s="2"/>
    </row>
    <row r="6299" spans="1:8">
      <c r="A6299" s="39">
        <v>3.03024164214467</v>
      </c>
      <c r="B6299" s="45">
        <v>7.2</v>
      </c>
      <c r="D6299" s="2"/>
      <c r="E6299" s="31"/>
      <c r="G6299" s="43"/>
      <c r="H6299" s="2"/>
    </row>
    <row r="6300" spans="1:8">
      <c r="A6300" s="39">
        <v>3.03024164214467</v>
      </c>
      <c r="B6300" s="45">
        <v>7</v>
      </c>
      <c r="D6300" s="2"/>
      <c r="E6300" s="31"/>
      <c r="G6300" s="43"/>
      <c r="H6300" s="2"/>
    </row>
    <row r="6301" spans="1:8">
      <c r="A6301" s="39">
        <v>3.03011681420281</v>
      </c>
      <c r="B6301" s="45">
        <v>7.9</v>
      </c>
      <c r="D6301" s="2"/>
      <c r="E6301" s="31"/>
      <c r="G6301" s="43"/>
      <c r="H6301" s="2"/>
    </row>
    <row r="6302" spans="1:8">
      <c r="A6302" s="39">
        <v>3.02985674524907</v>
      </c>
      <c r="B6302" s="45">
        <v>9.3</v>
      </c>
      <c r="D6302" s="2"/>
      <c r="E6302" s="31"/>
      <c r="G6302" s="43"/>
      <c r="H6302" s="2"/>
    </row>
    <row r="6303" spans="1:8">
      <c r="A6303" s="39">
        <v>3.02964658794438</v>
      </c>
      <c r="B6303" s="45">
        <v>9.2</v>
      </c>
      <c r="D6303" s="2"/>
      <c r="E6303" s="31"/>
      <c r="G6303" s="43"/>
      <c r="H6303" s="2"/>
    </row>
    <row r="6304" spans="1:8">
      <c r="A6304" s="39">
        <v>3.02835496609387</v>
      </c>
      <c r="B6304" s="45">
        <v>5.8</v>
      </c>
      <c r="D6304" s="2"/>
      <c r="E6304" s="31"/>
      <c r="G6304" s="43"/>
      <c r="H6304" s="2"/>
    </row>
    <row r="6305" spans="1:8">
      <c r="A6305" s="39">
        <v>3.02808481142993</v>
      </c>
      <c r="B6305" s="45">
        <v>7</v>
      </c>
      <c r="D6305" s="2"/>
      <c r="E6305" s="31"/>
      <c r="G6305" s="43"/>
      <c r="H6305" s="2"/>
    </row>
    <row r="6306" spans="1:8">
      <c r="A6306" s="39">
        <v>3.02738273420065</v>
      </c>
      <c r="B6306" s="45">
        <v>4.3</v>
      </c>
      <c r="D6306" s="2"/>
      <c r="E6306" s="31"/>
      <c r="G6306" s="43"/>
      <c r="H6306" s="2"/>
    </row>
    <row r="6307" spans="1:8">
      <c r="A6307" s="39">
        <v>3.02726707316058</v>
      </c>
      <c r="B6307" s="45">
        <v>10.1</v>
      </c>
      <c r="D6307" s="2"/>
      <c r="E6307" s="31"/>
      <c r="G6307" s="43"/>
      <c r="H6307" s="2"/>
    </row>
    <row r="6308" spans="1:8">
      <c r="A6308" s="39">
        <v>3.02718346063711</v>
      </c>
      <c r="B6308" s="45">
        <v>7.1</v>
      </c>
      <c r="D6308" s="2"/>
      <c r="E6308" s="31"/>
      <c r="G6308" s="43"/>
      <c r="H6308" s="2"/>
    </row>
    <row r="6309" spans="1:8">
      <c r="A6309" s="39">
        <v>3.02675382766538</v>
      </c>
      <c r="B6309" s="45">
        <v>11</v>
      </c>
      <c r="D6309" s="2"/>
      <c r="E6309" s="31"/>
      <c r="G6309" s="43"/>
      <c r="H6309" s="2"/>
    </row>
    <row r="6310" spans="1:8">
      <c r="A6310" s="39">
        <v>3.02675382766538</v>
      </c>
      <c r="B6310" s="45">
        <v>11.4</v>
      </c>
      <c r="D6310" s="2"/>
      <c r="E6310" s="31"/>
      <c r="G6310" s="43"/>
      <c r="H6310" s="2"/>
    </row>
    <row r="6311" spans="1:8">
      <c r="A6311" s="39">
        <v>3.02644933489122</v>
      </c>
      <c r="B6311" s="45">
        <v>10.4</v>
      </c>
      <c r="D6311" s="2"/>
      <c r="E6311" s="31"/>
      <c r="G6311" s="43"/>
      <c r="H6311" s="2"/>
    </row>
    <row r="6312" spans="1:8">
      <c r="A6312" s="39">
        <v>3.02602026999402</v>
      </c>
      <c r="B6312" s="45">
        <v>17</v>
      </c>
      <c r="D6312" s="2"/>
      <c r="E6312" s="31"/>
      <c r="G6312" s="43"/>
      <c r="H6312" s="2"/>
    </row>
    <row r="6313" spans="1:8">
      <c r="A6313" s="39">
        <v>3.0260100374047</v>
      </c>
      <c r="B6313" s="45">
        <v>2</v>
      </c>
      <c r="D6313" s="2"/>
      <c r="E6313" s="31"/>
      <c r="G6313" s="43"/>
      <c r="H6313" s="2"/>
    </row>
    <row r="6314" spans="1:8">
      <c r="A6314" s="39">
        <v>3.02563159662186</v>
      </c>
      <c r="B6314" s="45">
        <v>4.5</v>
      </c>
      <c r="D6314" s="2"/>
      <c r="E6314" s="31"/>
      <c r="G6314" s="43"/>
      <c r="H6314" s="2"/>
    </row>
    <row r="6315" spans="1:8">
      <c r="A6315" s="39">
        <v>3.02563159662186</v>
      </c>
      <c r="B6315" s="45">
        <v>9</v>
      </c>
      <c r="D6315" s="2"/>
      <c r="E6315" s="31"/>
      <c r="G6315" s="43"/>
      <c r="H6315" s="2"/>
    </row>
    <row r="6316" spans="1:8">
      <c r="A6316" s="39">
        <v>3.02532557460502</v>
      </c>
      <c r="B6316" s="45">
        <v>4</v>
      </c>
      <c r="D6316" s="2"/>
      <c r="E6316" s="31"/>
      <c r="G6316" s="43"/>
      <c r="H6316" s="2"/>
    </row>
    <row r="6317" spans="1:8">
      <c r="A6317" s="39">
        <v>3.02532557460502</v>
      </c>
      <c r="B6317" s="45">
        <v>7.6</v>
      </c>
      <c r="D6317" s="2"/>
      <c r="E6317" s="31"/>
      <c r="G6317" s="43"/>
      <c r="H6317" s="2"/>
    </row>
    <row r="6318" spans="1:8">
      <c r="A6318" s="39">
        <v>3.02531670796891</v>
      </c>
      <c r="B6318" s="45">
        <v>13.6</v>
      </c>
      <c r="D6318" s="2"/>
      <c r="E6318" s="31"/>
      <c r="G6318" s="43"/>
      <c r="H6318" s="2"/>
    </row>
    <row r="6319" spans="1:8">
      <c r="A6319" s="39">
        <v>3.02475727679646</v>
      </c>
      <c r="B6319" s="45">
        <v>2.9</v>
      </c>
      <c r="D6319" s="2"/>
      <c r="E6319" s="31"/>
      <c r="G6319" s="43"/>
      <c r="H6319" s="2"/>
    </row>
    <row r="6320" spans="1:8">
      <c r="A6320" s="39">
        <v>3.02472535268893</v>
      </c>
      <c r="B6320" s="45">
        <v>8.5</v>
      </c>
      <c r="D6320" s="2"/>
      <c r="E6320" s="31"/>
      <c r="G6320" s="43"/>
      <c r="H6320" s="2"/>
    </row>
    <row r="6321" spans="1:8">
      <c r="A6321" s="39">
        <v>3.02447033325752</v>
      </c>
      <c r="B6321" s="45">
        <v>6.5</v>
      </c>
      <c r="D6321" s="2"/>
      <c r="E6321" s="31"/>
      <c r="G6321" s="43"/>
      <c r="H6321" s="2"/>
    </row>
    <row r="6322" spans="1:8">
      <c r="A6322" s="39">
        <v>3.02447033325752</v>
      </c>
      <c r="B6322" s="45">
        <v>11.5</v>
      </c>
      <c r="D6322" s="2"/>
      <c r="E6322" s="31"/>
      <c r="G6322" s="43"/>
      <c r="H6322" s="2"/>
    </row>
    <row r="6323" spans="1:8">
      <c r="A6323" s="39">
        <v>3.02379703175857</v>
      </c>
      <c r="B6323" s="45">
        <v>2</v>
      </c>
      <c r="D6323" s="2"/>
      <c r="E6323" s="31"/>
      <c r="G6323" s="43"/>
      <c r="H6323" s="2"/>
    </row>
    <row r="6324" spans="1:8">
      <c r="A6324" s="39">
        <v>3.02320602189358</v>
      </c>
      <c r="B6324" s="45">
        <v>10.3</v>
      </c>
      <c r="D6324" s="2"/>
      <c r="E6324" s="31"/>
      <c r="G6324" s="43"/>
      <c r="H6324" s="2"/>
    </row>
    <row r="6325" spans="1:8">
      <c r="A6325" s="39">
        <v>3.02317271807278</v>
      </c>
      <c r="B6325" s="45">
        <v>3.6</v>
      </c>
      <c r="D6325" s="2"/>
      <c r="E6325" s="31"/>
      <c r="G6325" s="43"/>
      <c r="H6325" s="2"/>
    </row>
    <row r="6326" spans="1:8">
      <c r="A6326" s="39">
        <v>3.02317271807278</v>
      </c>
      <c r="B6326" s="45">
        <v>10.9</v>
      </c>
      <c r="D6326" s="2"/>
      <c r="E6326" s="31"/>
      <c r="G6326" s="43"/>
      <c r="H6326" s="2"/>
    </row>
    <row r="6327" spans="1:8">
      <c r="A6327" s="39">
        <v>3.02317271807278</v>
      </c>
      <c r="B6327" s="45">
        <v>4</v>
      </c>
      <c r="D6327" s="2"/>
      <c r="E6327" s="31"/>
      <c r="G6327" s="43"/>
      <c r="H6327" s="2"/>
    </row>
    <row r="6328" spans="1:8">
      <c r="A6328" s="39">
        <v>3.02266773833836</v>
      </c>
      <c r="B6328" s="45">
        <v>26</v>
      </c>
      <c r="D6328" s="2"/>
      <c r="E6328" s="31"/>
      <c r="G6328" s="43"/>
      <c r="H6328" s="2"/>
    </row>
    <row r="6329" spans="1:8">
      <c r="A6329" s="39">
        <v>3.02250245986847</v>
      </c>
      <c r="B6329" s="45">
        <v>6.4</v>
      </c>
      <c r="D6329" s="2"/>
      <c r="E6329" s="31"/>
      <c r="G6329" s="43"/>
      <c r="H6329" s="2"/>
    </row>
    <row r="6330" spans="1:8">
      <c r="A6330" s="39">
        <v>3.02194026114502</v>
      </c>
      <c r="B6330" s="45">
        <v>10.6</v>
      </c>
      <c r="D6330" s="2"/>
      <c r="E6330" s="31"/>
      <c r="G6330" s="43"/>
      <c r="H6330" s="2"/>
    </row>
    <row r="6331" spans="1:8">
      <c r="A6331" s="39">
        <v>3.02190326060659</v>
      </c>
      <c r="B6331" s="45">
        <v>3.5</v>
      </c>
      <c r="D6331" s="2"/>
      <c r="E6331" s="31"/>
      <c r="G6331" s="43"/>
      <c r="H6331" s="2"/>
    </row>
    <row r="6332" spans="1:8">
      <c r="A6332" s="39">
        <v>3.02110382576279</v>
      </c>
      <c r="B6332" s="45">
        <v>4</v>
      </c>
      <c r="D6332" s="2"/>
      <c r="E6332" s="31"/>
      <c r="G6332" s="43"/>
      <c r="H6332" s="2"/>
    </row>
    <row r="6333" spans="1:8">
      <c r="A6333" s="39">
        <v>3.02108636646096</v>
      </c>
      <c r="B6333" s="45">
        <v>9</v>
      </c>
      <c r="D6333" s="2"/>
      <c r="E6333" s="31"/>
      <c r="G6333" s="43"/>
      <c r="H6333" s="2"/>
    </row>
    <row r="6334" spans="1:8">
      <c r="A6334" s="39">
        <v>3.02049782937452</v>
      </c>
      <c r="B6334" s="45">
        <v>12.5</v>
      </c>
      <c r="D6334" s="2"/>
      <c r="E6334" s="31"/>
      <c r="G6334" s="43"/>
      <c r="H6334" s="2"/>
    </row>
    <row r="6335" spans="1:8">
      <c r="A6335" s="39">
        <v>3.01990742873636</v>
      </c>
      <c r="B6335" s="45">
        <v>7</v>
      </c>
      <c r="D6335" s="2"/>
      <c r="E6335" s="31"/>
      <c r="G6335" s="43"/>
      <c r="H6335" s="2"/>
    </row>
    <row r="6336" spans="1:8">
      <c r="A6336" s="39">
        <v>3.01990742873636</v>
      </c>
      <c r="B6336" s="45">
        <v>7.1</v>
      </c>
      <c r="D6336" s="2"/>
      <c r="E6336" s="31"/>
      <c r="G6336" s="43"/>
      <c r="H6336" s="2"/>
    </row>
    <row r="6337" spans="1:8">
      <c r="A6337" s="39">
        <v>3.0197940787153</v>
      </c>
      <c r="B6337" s="45">
        <v>8</v>
      </c>
      <c r="D6337" s="2"/>
      <c r="E6337" s="31"/>
      <c r="G6337" s="43"/>
      <c r="H6337" s="2"/>
    </row>
    <row r="6338" spans="1:8">
      <c r="A6338" s="39">
        <v>3.01975782956499</v>
      </c>
      <c r="B6338" s="45">
        <v>14</v>
      </c>
      <c r="D6338" s="2"/>
      <c r="E6338" s="31"/>
      <c r="G6338" s="43"/>
      <c r="H6338" s="2"/>
    </row>
    <row r="6339" spans="1:8">
      <c r="A6339" s="39">
        <v>3.01959160848018</v>
      </c>
      <c r="B6339" s="45">
        <v>21.2</v>
      </c>
      <c r="D6339" s="2"/>
      <c r="E6339" s="31"/>
      <c r="G6339" s="43"/>
      <c r="H6339" s="2"/>
    </row>
    <row r="6340" spans="1:8">
      <c r="A6340" s="39">
        <v>3.01953977374935</v>
      </c>
      <c r="B6340" s="45">
        <v>6</v>
      </c>
      <c r="D6340" s="2"/>
      <c r="E6340" s="31"/>
      <c r="G6340" s="43"/>
      <c r="H6340" s="2"/>
    </row>
    <row r="6341" spans="1:8">
      <c r="A6341" s="39">
        <v>3.019089690467</v>
      </c>
      <c r="B6341" s="45">
        <v>6</v>
      </c>
      <c r="D6341" s="2"/>
      <c r="E6341" s="31"/>
      <c r="G6341" s="43"/>
      <c r="H6341" s="2"/>
    </row>
    <row r="6342" spans="1:8">
      <c r="A6342" s="39">
        <v>3.019089690467</v>
      </c>
      <c r="B6342" s="45">
        <v>5.7</v>
      </c>
      <c r="D6342" s="2"/>
      <c r="E6342" s="31"/>
      <c r="G6342" s="43"/>
      <c r="H6342" s="2"/>
    </row>
    <row r="6343" spans="1:8">
      <c r="A6343" s="39">
        <v>3.01898464974293</v>
      </c>
      <c r="B6343" s="45">
        <v>5</v>
      </c>
      <c r="D6343" s="2"/>
      <c r="E6343" s="31"/>
      <c r="G6343" s="43"/>
      <c r="H6343" s="2"/>
    </row>
    <row r="6344" spans="1:8">
      <c r="A6344" s="39">
        <v>3.01898464974293</v>
      </c>
      <c r="B6344" s="45">
        <v>11.5</v>
      </c>
      <c r="D6344" s="2"/>
      <c r="E6344" s="31"/>
      <c r="G6344" s="43"/>
      <c r="H6344" s="2"/>
    </row>
    <row r="6345" spans="1:8">
      <c r="A6345" s="39">
        <v>3.01848094660817</v>
      </c>
      <c r="B6345" s="45">
        <v>4.5</v>
      </c>
      <c r="D6345" s="2"/>
      <c r="E6345" s="31"/>
      <c r="G6345" s="43"/>
      <c r="H6345" s="2"/>
    </row>
    <row r="6346" spans="1:8">
      <c r="A6346" s="39">
        <v>3.0167267208061</v>
      </c>
      <c r="B6346" s="45">
        <v>6</v>
      </c>
      <c r="D6346" s="2"/>
      <c r="E6346" s="31"/>
      <c r="G6346" s="43"/>
      <c r="H6346" s="2"/>
    </row>
    <row r="6347" spans="1:8">
      <c r="A6347" s="39">
        <v>3.01581873738958</v>
      </c>
      <c r="B6347" s="45">
        <v>8.4</v>
      </c>
      <c r="D6347" s="2"/>
      <c r="E6347" s="31"/>
      <c r="G6347" s="43"/>
      <c r="H6347" s="2"/>
    </row>
    <row r="6348" spans="1:8">
      <c r="A6348" s="39">
        <v>3.01539296640494</v>
      </c>
      <c r="B6348" s="45">
        <v>13.5</v>
      </c>
      <c r="D6348" s="2"/>
      <c r="E6348" s="31"/>
      <c r="G6348" s="43"/>
      <c r="H6348" s="2"/>
    </row>
    <row r="6349" spans="1:8">
      <c r="A6349" s="39">
        <v>3.01500099912022</v>
      </c>
      <c r="B6349" s="45">
        <v>2.9</v>
      </c>
      <c r="D6349" s="2"/>
      <c r="E6349" s="31"/>
      <c r="G6349" s="43"/>
      <c r="H6349" s="2"/>
    </row>
    <row r="6350" spans="1:8">
      <c r="A6350" s="39">
        <v>3.0149647134861</v>
      </c>
      <c r="B6350" s="45">
        <v>3</v>
      </c>
      <c r="D6350" s="44"/>
      <c r="E6350" s="31"/>
      <c r="G6350" s="43"/>
      <c r="H6350" s="2"/>
    </row>
    <row r="6351" spans="1:8">
      <c r="A6351" s="39">
        <v>3.01486782410075</v>
      </c>
      <c r="B6351" s="45">
        <v>9.8</v>
      </c>
      <c r="D6351" s="2"/>
      <c r="E6351" s="31"/>
      <c r="G6351" s="43"/>
      <c r="H6351" s="2"/>
    </row>
    <row r="6352" spans="1:8">
      <c r="A6352" s="39">
        <v>3.01437081077335</v>
      </c>
      <c r="B6352" s="45">
        <v>5</v>
      </c>
      <c r="D6352" s="2"/>
      <c r="E6352" s="31"/>
      <c r="G6352" s="43"/>
      <c r="H6352" s="2"/>
    </row>
    <row r="6353" spans="1:8">
      <c r="A6353" s="39">
        <v>3.01380839400502</v>
      </c>
      <c r="B6353" s="45">
        <v>3</v>
      </c>
      <c r="D6353" s="2"/>
      <c r="E6353" s="31"/>
      <c r="G6353" s="43"/>
      <c r="H6353" s="2"/>
    </row>
    <row r="6354" spans="1:8">
      <c r="A6354" s="39">
        <v>3.01346032278231</v>
      </c>
      <c r="B6354" s="45">
        <v>31</v>
      </c>
      <c r="D6354" s="2"/>
      <c r="E6354" s="31"/>
      <c r="G6354" s="43"/>
      <c r="H6354" s="2"/>
    </row>
    <row r="6355" spans="1:8">
      <c r="A6355" s="39">
        <v>3.01346032278231</v>
      </c>
      <c r="B6355" s="45">
        <v>7.9</v>
      </c>
      <c r="D6355" s="2"/>
      <c r="E6355" s="31"/>
      <c r="G6355" s="43"/>
      <c r="H6355" s="2"/>
    </row>
    <row r="6356" spans="1:8">
      <c r="A6356" s="39">
        <v>3.01232078141101</v>
      </c>
      <c r="B6356" s="45">
        <v>16.3</v>
      </c>
      <c r="D6356" s="2"/>
      <c r="E6356" s="31"/>
      <c r="G6356" s="43"/>
      <c r="H6356" s="2"/>
    </row>
    <row r="6357" spans="1:8">
      <c r="A6357" s="39">
        <v>3.01194902949184</v>
      </c>
      <c r="B6357" s="45">
        <v>12</v>
      </c>
      <c r="D6357" s="2"/>
      <c r="E6357" s="31"/>
      <c r="G6357" s="43"/>
      <c r="H6357" s="2"/>
    </row>
    <row r="6358" spans="1:8">
      <c r="A6358" s="39">
        <v>3.01173004604279</v>
      </c>
      <c r="B6358" s="45">
        <v>7.9</v>
      </c>
      <c r="D6358" s="2"/>
      <c r="E6358" s="31"/>
      <c r="G6358" s="43"/>
      <c r="H6358" s="2"/>
    </row>
    <row r="6359" spans="1:8">
      <c r="A6359" s="39">
        <v>3.01134907080465</v>
      </c>
      <c r="B6359" s="45">
        <v>12</v>
      </c>
      <c r="D6359" s="2"/>
      <c r="E6359" s="31"/>
      <c r="G6359" s="43"/>
      <c r="H6359" s="2"/>
    </row>
    <row r="6360" spans="1:8">
      <c r="A6360" s="39">
        <v>3.01104323326045</v>
      </c>
      <c r="B6360" s="45">
        <v>9</v>
      </c>
      <c r="D6360" s="2"/>
      <c r="E6360" s="31"/>
      <c r="G6360" s="43"/>
      <c r="H6360" s="2"/>
    </row>
    <row r="6361" spans="1:8">
      <c r="A6361" s="39">
        <v>3.01102810324488</v>
      </c>
      <c r="B6361" s="45">
        <v>5.6</v>
      </c>
      <c r="D6361" s="2"/>
      <c r="E6361" s="31"/>
      <c r="G6361" s="43"/>
      <c r="H6361" s="2"/>
    </row>
    <row r="6362" spans="1:8">
      <c r="A6362" s="39">
        <v>3.01100430327863</v>
      </c>
      <c r="B6362" s="45">
        <v>7.5</v>
      </c>
      <c r="D6362" s="2"/>
      <c r="E6362" s="31"/>
      <c r="G6362" s="43"/>
      <c r="H6362" s="2"/>
    </row>
    <row r="6363" spans="1:8">
      <c r="A6363" s="39">
        <v>3.01091230777343</v>
      </c>
      <c r="B6363" s="45">
        <v>2</v>
      </c>
      <c r="D6363" s="2"/>
      <c r="E6363" s="31"/>
      <c r="G6363" s="43"/>
      <c r="H6363" s="2"/>
    </row>
    <row r="6364" spans="1:8">
      <c r="A6364" s="39">
        <v>3.01089720502264</v>
      </c>
      <c r="B6364" s="45">
        <v>7.4</v>
      </c>
      <c r="D6364" s="2"/>
      <c r="E6364" s="31"/>
      <c r="G6364" s="43"/>
      <c r="H6364" s="2"/>
    </row>
    <row r="6365" spans="1:8">
      <c r="A6365" s="39">
        <v>3.01026739301196</v>
      </c>
      <c r="B6365" s="45">
        <v>7</v>
      </c>
      <c r="D6365" s="2"/>
      <c r="E6365" s="31"/>
      <c r="G6365" s="43"/>
      <c r="H6365" s="2"/>
    </row>
    <row r="6366" spans="1:8">
      <c r="A6366" s="39">
        <v>3.01019012442906</v>
      </c>
      <c r="B6366" s="45">
        <v>5.6</v>
      </c>
      <c r="D6366" s="2"/>
      <c r="E6366" s="31"/>
      <c r="G6366" s="43"/>
      <c r="H6366" s="2"/>
    </row>
    <row r="6367" spans="1:8">
      <c r="A6367" s="39">
        <v>3.01016940777705</v>
      </c>
      <c r="B6367" s="45">
        <v>13</v>
      </c>
      <c r="D6367" s="2"/>
      <c r="E6367" s="31"/>
      <c r="G6367" s="43"/>
      <c r="H6367" s="2"/>
    </row>
    <row r="6368" spans="1:8">
      <c r="A6368" s="39">
        <v>3.00973607318523</v>
      </c>
      <c r="B6368" s="45">
        <v>5.8</v>
      </c>
      <c r="D6368" s="2"/>
      <c r="E6368" s="31"/>
      <c r="G6368" s="43"/>
      <c r="H6368" s="2"/>
    </row>
    <row r="6369" spans="1:8">
      <c r="A6369" s="39">
        <v>3.00965770028074</v>
      </c>
      <c r="B6369" s="45">
        <v>5.9</v>
      </c>
      <c r="D6369" s="2"/>
      <c r="E6369" s="31"/>
      <c r="G6369" s="43"/>
      <c r="H6369" s="2"/>
    </row>
    <row r="6370" spans="1:8">
      <c r="A6370" s="39">
        <v>3.00889846741259</v>
      </c>
      <c r="B6370" s="45">
        <v>15</v>
      </c>
      <c r="D6370" s="2"/>
      <c r="E6370" s="31"/>
      <c r="G6370" s="43"/>
      <c r="H6370" s="2"/>
    </row>
    <row r="6371" spans="1:8">
      <c r="A6371" s="39">
        <v>3.00884827970238</v>
      </c>
      <c r="B6371" s="45">
        <v>4.9</v>
      </c>
      <c r="D6371" s="2"/>
      <c r="E6371" s="31"/>
      <c r="G6371" s="43"/>
      <c r="H6371" s="2"/>
    </row>
    <row r="6372" spans="1:8">
      <c r="A6372" s="39">
        <v>3.00884827970238</v>
      </c>
      <c r="B6372" s="45">
        <v>10.5</v>
      </c>
      <c r="D6372" s="2"/>
      <c r="E6372" s="31"/>
      <c r="G6372" s="43"/>
      <c r="H6372" s="2"/>
    </row>
    <row r="6373" spans="1:8">
      <c r="A6373" s="39">
        <v>3.00843121936629</v>
      </c>
      <c r="B6373" s="45">
        <v>12</v>
      </c>
      <c r="D6373" s="2"/>
      <c r="E6373" s="31"/>
      <c r="G6373" s="43"/>
      <c r="H6373" s="2"/>
    </row>
    <row r="6374" spans="1:8">
      <c r="A6374" s="39">
        <v>3.00811819447151</v>
      </c>
      <c r="B6374" s="45">
        <v>10.8</v>
      </c>
      <c r="D6374" s="2"/>
      <c r="E6374" s="31"/>
      <c r="G6374" s="43"/>
      <c r="H6374" s="2"/>
    </row>
    <row r="6375" spans="1:8">
      <c r="A6375" s="39">
        <v>3.00739071727817</v>
      </c>
      <c r="B6375" s="45">
        <v>6.3</v>
      </c>
      <c r="D6375" s="2"/>
      <c r="E6375" s="31"/>
      <c r="G6375" s="43"/>
      <c r="H6375" s="2"/>
    </row>
    <row r="6376" spans="1:8">
      <c r="A6376" s="39">
        <v>3.0071217530348</v>
      </c>
      <c r="B6376" s="45">
        <v>9</v>
      </c>
      <c r="D6376" s="2"/>
      <c r="E6376" s="31"/>
      <c r="G6376" s="43"/>
      <c r="H6376" s="2"/>
    </row>
    <row r="6377" spans="1:8">
      <c r="A6377" s="39">
        <v>3.00669961394682</v>
      </c>
      <c r="B6377" s="45">
        <v>10.4</v>
      </c>
      <c r="D6377" s="2"/>
      <c r="E6377" s="31"/>
      <c r="G6377" s="43"/>
      <c r="H6377" s="2"/>
    </row>
    <row r="6378" spans="1:8">
      <c r="A6378" s="39">
        <v>3.00642281619011</v>
      </c>
      <c r="B6378" s="45">
        <v>10.4</v>
      </c>
      <c r="D6378" s="2"/>
      <c r="E6378" s="31"/>
      <c r="G6378" s="43"/>
      <c r="H6378" s="2"/>
    </row>
    <row r="6379" spans="1:8">
      <c r="A6379" s="39">
        <v>3.00642281619011</v>
      </c>
      <c r="B6379" s="45">
        <v>11.3</v>
      </c>
      <c r="D6379" s="2"/>
      <c r="E6379" s="31"/>
      <c r="G6379" s="43"/>
      <c r="H6379" s="2"/>
    </row>
    <row r="6380" spans="1:8">
      <c r="A6380" s="39">
        <v>3.00631911914724</v>
      </c>
      <c r="B6380" s="45">
        <v>9.3</v>
      </c>
      <c r="D6380" s="2"/>
      <c r="E6380" s="31"/>
      <c r="G6380" s="43"/>
      <c r="H6380" s="2"/>
    </row>
    <row r="6381" spans="1:8">
      <c r="A6381" s="39">
        <v>3.00600587815729</v>
      </c>
      <c r="B6381" s="45">
        <v>7.3</v>
      </c>
      <c r="D6381" s="2"/>
      <c r="E6381" s="31"/>
      <c r="G6381" s="43"/>
      <c r="H6381" s="2"/>
    </row>
    <row r="6382" spans="1:8">
      <c r="A6382" s="39">
        <v>3.00561697126585</v>
      </c>
      <c r="B6382" s="45">
        <v>13.5</v>
      </c>
      <c r="D6382" s="2"/>
      <c r="E6382" s="31"/>
      <c r="G6382" s="43"/>
      <c r="H6382" s="2"/>
    </row>
    <row r="6383" spans="1:8">
      <c r="A6383" s="39">
        <v>3.00561697126585</v>
      </c>
      <c r="B6383" s="45">
        <v>6</v>
      </c>
      <c r="D6383" s="2"/>
      <c r="E6383" s="31"/>
      <c r="G6383" s="43"/>
      <c r="H6383" s="2"/>
    </row>
    <row r="6384" spans="1:8">
      <c r="A6384" s="39">
        <v>3.00526717010978</v>
      </c>
      <c r="B6384" s="45">
        <v>10.6</v>
      </c>
      <c r="D6384" s="2"/>
      <c r="E6384" s="31"/>
      <c r="G6384" s="43"/>
      <c r="H6384" s="2"/>
    </row>
    <row r="6385" spans="1:8">
      <c r="A6385" s="39">
        <v>3.00526717010978</v>
      </c>
      <c r="B6385" s="45">
        <v>16</v>
      </c>
      <c r="D6385" s="2"/>
      <c r="E6385" s="31"/>
      <c r="G6385" s="43"/>
      <c r="H6385" s="2"/>
    </row>
    <row r="6386" spans="1:8">
      <c r="A6386" s="39">
        <v>3.00516101292197</v>
      </c>
      <c r="B6386" s="45">
        <v>7</v>
      </c>
      <c r="D6386" s="2"/>
      <c r="E6386" s="31"/>
      <c r="G6386" s="43"/>
      <c r="H6386" s="2"/>
    </row>
    <row r="6387" spans="1:8">
      <c r="A6387" s="39">
        <v>3.00494458978813</v>
      </c>
      <c r="B6387" s="45">
        <v>13.1</v>
      </c>
      <c r="D6387" s="2"/>
      <c r="E6387" s="31"/>
      <c r="G6387" s="43"/>
      <c r="H6387" s="2"/>
    </row>
    <row r="6388" spans="1:8">
      <c r="A6388" s="39">
        <v>3.00479169061448</v>
      </c>
      <c r="B6388" s="45">
        <v>14</v>
      </c>
      <c r="D6388" s="2"/>
      <c r="E6388" s="31"/>
      <c r="G6388" s="43"/>
      <c r="H6388" s="2"/>
    </row>
    <row r="6389" spans="1:8">
      <c r="A6389" s="39">
        <v>3.00427128828919</v>
      </c>
      <c r="B6389" s="45">
        <v>9.4</v>
      </c>
      <c r="D6389" s="2"/>
      <c r="E6389" s="31"/>
      <c r="G6389" s="43"/>
      <c r="H6389" s="2"/>
    </row>
    <row r="6390" spans="1:8">
      <c r="A6390" s="39">
        <v>3.00383472627274</v>
      </c>
      <c r="B6390" s="45">
        <v>7.5</v>
      </c>
      <c r="D6390" s="2"/>
      <c r="E6390" s="31"/>
      <c r="G6390" s="43"/>
      <c r="H6390" s="2"/>
    </row>
    <row r="6391" spans="1:8">
      <c r="A6391" s="39">
        <v>3.00360781355322</v>
      </c>
      <c r="B6391" s="45">
        <v>11</v>
      </c>
      <c r="D6391" s="2"/>
      <c r="E6391" s="31"/>
      <c r="G6391" s="43"/>
      <c r="H6391" s="2"/>
    </row>
    <row r="6392" spans="1:8">
      <c r="A6392" s="39">
        <v>3.00359798679024</v>
      </c>
      <c r="B6392" s="45">
        <v>5.7</v>
      </c>
      <c r="D6392" s="2"/>
      <c r="E6392" s="31"/>
      <c r="G6392" s="43"/>
      <c r="H6392" s="2"/>
    </row>
    <row r="6393" spans="1:8">
      <c r="A6393" s="39">
        <v>3.00350628519053</v>
      </c>
      <c r="B6393" s="45">
        <v>9.5</v>
      </c>
      <c r="D6393" s="2"/>
      <c r="E6393" s="31"/>
      <c r="G6393" s="43"/>
      <c r="H6393" s="2"/>
    </row>
    <row r="6394" spans="1:8">
      <c r="A6394" s="39">
        <v>3.00342276501512</v>
      </c>
      <c r="B6394" s="45">
        <v>7.4</v>
      </c>
      <c r="D6394" s="2"/>
      <c r="E6394" s="31"/>
      <c r="G6394" s="43"/>
      <c r="H6394" s="2"/>
    </row>
    <row r="6395" spans="1:8">
      <c r="A6395" s="39">
        <v>3.00302585411811</v>
      </c>
      <c r="B6395" s="45">
        <v>2</v>
      </c>
      <c r="D6395" s="2"/>
      <c r="E6395" s="31"/>
      <c r="G6395" s="43"/>
      <c r="H6395" s="2"/>
    </row>
    <row r="6396" spans="1:8">
      <c r="A6396" s="39">
        <v>3.00273492507986</v>
      </c>
      <c r="B6396" s="45">
        <v>9.4</v>
      </c>
      <c r="D6396" s="2"/>
      <c r="E6396" s="31"/>
      <c r="G6396" s="43"/>
      <c r="H6396" s="2"/>
    </row>
    <row r="6397" spans="1:8">
      <c r="A6397" s="39">
        <v>3.00220031223478</v>
      </c>
      <c r="B6397" s="45">
        <v>12</v>
      </c>
      <c r="D6397" s="2"/>
      <c r="E6397" s="31"/>
      <c r="G6397" s="43"/>
      <c r="H6397" s="2"/>
    </row>
    <row r="6398" spans="1:8">
      <c r="A6398" s="39">
        <v>3.00168606051718</v>
      </c>
      <c r="B6398" s="45">
        <v>4.8</v>
      </c>
      <c r="D6398" s="2"/>
      <c r="E6398" s="31"/>
      <c r="G6398" s="43"/>
      <c r="H6398" s="2"/>
    </row>
    <row r="6399" spans="1:8">
      <c r="A6399" s="39">
        <v>3.00168606051718</v>
      </c>
      <c r="B6399" s="45">
        <v>12.4</v>
      </c>
      <c r="D6399" s="2"/>
      <c r="E6399" s="31"/>
      <c r="G6399" s="43"/>
      <c r="H6399" s="2"/>
    </row>
    <row r="6400" spans="1:8">
      <c r="A6400" s="39">
        <v>3.00149656157556</v>
      </c>
      <c r="B6400" s="45">
        <v>30</v>
      </c>
      <c r="D6400" s="2"/>
      <c r="E6400" s="31"/>
      <c r="G6400" s="43"/>
      <c r="H6400" s="2"/>
    </row>
    <row r="6401" spans="1:8">
      <c r="A6401" s="39">
        <v>3.00123953269633</v>
      </c>
      <c r="B6401" s="45">
        <v>11.7</v>
      </c>
      <c r="D6401" s="2"/>
      <c r="E6401" s="31"/>
      <c r="G6401" s="43"/>
      <c r="H6401" s="2"/>
    </row>
    <row r="6402" spans="1:8">
      <c r="A6402" s="39">
        <v>3.00109944854115</v>
      </c>
      <c r="B6402" s="45">
        <v>7</v>
      </c>
      <c r="D6402" s="2"/>
      <c r="E6402" s="31"/>
      <c r="G6402" s="43"/>
      <c r="H6402" s="2"/>
    </row>
    <row r="6403" spans="1:8">
      <c r="A6403" s="39">
        <v>3.00096983859866</v>
      </c>
      <c r="B6403" s="45">
        <v>8.5</v>
      </c>
      <c r="D6403" s="2"/>
      <c r="E6403" s="31"/>
      <c r="G6403" s="43"/>
      <c r="H6403" s="2"/>
    </row>
    <row r="6404" spans="1:8">
      <c r="A6404" s="39">
        <v>3.00079281091634</v>
      </c>
      <c r="B6404" s="45">
        <v>9.6</v>
      </c>
      <c r="D6404" s="2"/>
      <c r="E6404" s="31"/>
      <c r="G6404" s="43"/>
      <c r="H6404" s="2"/>
    </row>
    <row r="6405" spans="1:8">
      <c r="A6405" s="39">
        <v>2.9993853095979</v>
      </c>
      <c r="B6405" s="45">
        <v>8</v>
      </c>
      <c r="D6405" s="2"/>
      <c r="E6405" s="31"/>
      <c r="G6405" s="43"/>
      <c r="H6405" s="2"/>
    </row>
    <row r="6406" spans="1:8">
      <c r="A6406" s="39">
        <v>2.99858135101476</v>
      </c>
      <c r="B6406" s="45">
        <v>10</v>
      </c>
      <c r="D6406" s="2"/>
      <c r="E6406" s="31"/>
      <c r="G6406" s="43"/>
      <c r="H6406" s="2"/>
    </row>
    <row r="6407" spans="1:8">
      <c r="A6407" s="39">
        <v>2.99794706261764</v>
      </c>
      <c r="B6407" s="45">
        <v>8.5</v>
      </c>
      <c r="D6407" s="2"/>
      <c r="E6407" s="31"/>
      <c r="G6407" s="43"/>
      <c r="H6407" s="2"/>
    </row>
    <row r="6408" spans="1:8">
      <c r="A6408" s="39">
        <v>2.99753827329975</v>
      </c>
      <c r="B6408" s="45">
        <v>7</v>
      </c>
      <c r="D6408" s="2"/>
      <c r="E6408" s="31"/>
      <c r="G6408" s="43"/>
      <c r="H6408" s="2"/>
    </row>
    <row r="6409" spans="1:8">
      <c r="A6409" s="39">
        <v>2.99753827329975</v>
      </c>
      <c r="B6409" s="45">
        <v>3.6</v>
      </c>
      <c r="D6409" s="2"/>
      <c r="E6409" s="31"/>
      <c r="G6409" s="43"/>
      <c r="H6409" s="2"/>
    </row>
    <row r="6410" spans="1:8">
      <c r="A6410" s="39">
        <v>2.99732489590372</v>
      </c>
      <c r="B6410" s="45">
        <v>8.3</v>
      </c>
      <c r="D6410" s="2"/>
      <c r="E6410" s="31"/>
      <c r="G6410" s="43"/>
      <c r="H6410" s="2"/>
    </row>
    <row r="6411" spans="1:8">
      <c r="A6411" s="39">
        <v>2.99731805247068</v>
      </c>
      <c r="B6411" s="45">
        <v>9.5</v>
      </c>
      <c r="D6411" s="2"/>
      <c r="E6411" s="31"/>
      <c r="G6411" s="43"/>
      <c r="H6411" s="2"/>
    </row>
    <row r="6412" spans="1:8">
      <c r="A6412" s="39">
        <v>2.99619167030186</v>
      </c>
      <c r="B6412" s="45">
        <v>7</v>
      </c>
      <c r="D6412" s="2"/>
      <c r="E6412" s="31"/>
      <c r="G6412" s="43"/>
      <c r="H6412" s="2"/>
    </row>
    <row r="6413" spans="1:8">
      <c r="A6413" s="39">
        <v>2.9958665563018</v>
      </c>
      <c r="B6413" s="45">
        <v>6.4</v>
      </c>
      <c r="D6413" s="2"/>
      <c r="E6413" s="31"/>
      <c r="G6413" s="43"/>
      <c r="H6413" s="44"/>
    </row>
    <row r="6414" spans="1:8">
      <c r="A6414" s="39">
        <v>2.99561346286517</v>
      </c>
      <c r="B6414" s="45">
        <v>15</v>
      </c>
      <c r="D6414" s="2"/>
      <c r="E6414" s="31"/>
      <c r="G6414" s="43"/>
      <c r="H6414" s="44"/>
    </row>
    <row r="6415" spans="1:8">
      <c r="A6415" s="39">
        <v>2.99506354088922</v>
      </c>
      <c r="B6415" s="45">
        <v>10.2</v>
      </c>
      <c r="D6415" s="2"/>
      <c r="E6415" s="31"/>
      <c r="G6415" s="43"/>
      <c r="H6415" s="44"/>
    </row>
    <row r="6416" spans="1:8">
      <c r="A6416" s="39">
        <v>2.99455754238629</v>
      </c>
      <c r="B6416" s="45">
        <v>5.4</v>
      </c>
      <c r="D6416" s="2"/>
      <c r="E6416" s="31"/>
      <c r="G6416" s="43"/>
      <c r="H6416" s="44"/>
    </row>
    <row r="6417" spans="1:8">
      <c r="A6417" s="39">
        <v>2.99455754238629</v>
      </c>
      <c r="B6417" s="45">
        <v>2</v>
      </c>
      <c r="D6417" s="2"/>
      <c r="E6417" s="31"/>
      <c r="G6417" s="43"/>
      <c r="H6417" s="44"/>
    </row>
    <row r="6418" spans="1:8">
      <c r="A6418" s="39">
        <v>2.994296127798</v>
      </c>
      <c r="B6418" s="45">
        <v>9.1</v>
      </c>
      <c r="D6418" s="2"/>
      <c r="E6418" s="31"/>
      <c r="G6418" s="43"/>
      <c r="H6418" s="44"/>
    </row>
    <row r="6419" spans="1:8">
      <c r="A6419" s="39">
        <v>2.99405015228264</v>
      </c>
      <c r="B6419" s="45">
        <v>8</v>
      </c>
      <c r="D6419" s="2"/>
      <c r="E6419" s="31"/>
      <c r="G6419" s="43"/>
      <c r="H6419" s="44"/>
    </row>
    <row r="6420" spans="1:8">
      <c r="A6420" s="39">
        <v>2.99373980411693</v>
      </c>
      <c r="B6420" s="45">
        <v>2.6</v>
      </c>
      <c r="D6420" s="2"/>
      <c r="E6420" s="31"/>
      <c r="G6420" s="43"/>
      <c r="H6420" s="44"/>
    </row>
    <row r="6421" spans="1:8">
      <c r="A6421" s="39">
        <v>2.99373980411693</v>
      </c>
      <c r="B6421" s="45">
        <v>2</v>
      </c>
      <c r="D6421" s="2"/>
      <c r="E6421" s="31"/>
      <c r="G6421" s="43"/>
      <c r="H6421" s="44"/>
    </row>
    <row r="6422" spans="1:8">
      <c r="A6422" s="39">
        <v>2.99373980411693</v>
      </c>
      <c r="B6422" s="45">
        <v>8</v>
      </c>
      <c r="D6422" s="2"/>
      <c r="E6422" s="31"/>
      <c r="G6422" s="43"/>
      <c r="H6422" s="2"/>
    </row>
    <row r="6423" spans="1:8">
      <c r="A6423" s="39">
        <v>2.99349846430608</v>
      </c>
      <c r="B6423" s="45">
        <v>10</v>
      </c>
      <c r="D6423" s="2"/>
      <c r="E6423" s="31"/>
      <c r="G6423" s="43"/>
      <c r="H6423" s="2"/>
    </row>
    <row r="6424" spans="1:8">
      <c r="A6424" s="39">
        <v>2.99282778428196</v>
      </c>
      <c r="B6424" s="45">
        <v>9</v>
      </c>
      <c r="D6424" s="2"/>
      <c r="E6424" s="31"/>
      <c r="G6424" s="43"/>
      <c r="H6424" s="2"/>
    </row>
    <row r="6425" spans="1:8">
      <c r="A6425" s="39">
        <v>2.99282516280714</v>
      </c>
      <c r="B6425" s="45">
        <v>9.4</v>
      </c>
      <c r="D6425" s="2"/>
      <c r="E6425" s="31"/>
      <c r="G6425" s="43"/>
      <c r="H6425" s="2"/>
    </row>
    <row r="6426" spans="1:8">
      <c r="A6426" s="39">
        <v>2.9911024346208</v>
      </c>
      <c r="B6426" s="45">
        <v>12</v>
      </c>
      <c r="D6426" s="2"/>
      <c r="E6426" s="31"/>
      <c r="G6426" s="43"/>
      <c r="H6426" s="2"/>
    </row>
    <row r="6427" spans="1:8">
      <c r="A6427" s="39">
        <v>2.9907822520946</v>
      </c>
      <c r="B6427" s="45">
        <v>7</v>
      </c>
      <c r="D6427" s="2"/>
      <c r="E6427" s="31"/>
      <c r="G6427" s="43"/>
      <c r="H6427" s="2"/>
    </row>
    <row r="6428" spans="1:8">
      <c r="A6428" s="39">
        <v>2.99065874183129</v>
      </c>
      <c r="B6428" s="45">
        <v>10.3</v>
      </c>
      <c r="D6428" s="2"/>
      <c r="E6428" s="31"/>
      <c r="G6428" s="43"/>
      <c r="H6428" s="2"/>
    </row>
    <row r="6429" spans="1:8">
      <c r="A6429" s="39">
        <v>2.9904688510395</v>
      </c>
      <c r="B6429" s="45">
        <v>9</v>
      </c>
      <c r="D6429" s="2"/>
      <c r="E6429" s="31"/>
      <c r="G6429" s="43"/>
      <c r="H6429" s="2"/>
    </row>
    <row r="6430" spans="1:8">
      <c r="A6430" s="39">
        <v>2.99022650982087</v>
      </c>
      <c r="B6430" s="45">
        <v>4.5</v>
      </c>
      <c r="D6430" s="2"/>
      <c r="E6430" s="31"/>
      <c r="G6430" s="43"/>
      <c r="H6430" s="2"/>
    </row>
    <row r="6431" spans="1:8">
      <c r="A6431" s="39">
        <v>2.9897868257009</v>
      </c>
      <c r="B6431" s="45">
        <v>9.7</v>
      </c>
      <c r="D6431" s="2"/>
      <c r="E6431" s="31"/>
      <c r="G6431" s="43"/>
      <c r="H6431" s="2"/>
    </row>
    <row r="6432" spans="1:8">
      <c r="A6432" s="39">
        <v>2.98908326367579</v>
      </c>
      <c r="B6432" s="45">
        <v>7</v>
      </c>
      <c r="D6432" s="2"/>
      <c r="E6432" s="31"/>
      <c r="G6432" s="43"/>
      <c r="H6432" s="2"/>
    </row>
    <row r="6433" spans="1:8">
      <c r="A6433" s="39">
        <v>2.98904904622174</v>
      </c>
      <c r="B6433" s="45">
        <v>10.5</v>
      </c>
      <c r="D6433" s="2"/>
      <c r="E6433" s="31"/>
      <c r="G6433" s="43"/>
      <c r="H6433" s="2"/>
    </row>
    <row r="6434" spans="1:8">
      <c r="A6434" s="39">
        <v>2.98882904970959</v>
      </c>
      <c r="B6434" s="45">
        <v>14</v>
      </c>
      <c r="D6434" s="2"/>
      <c r="E6434" s="31"/>
      <c r="G6434" s="43"/>
      <c r="H6434" s="2"/>
    </row>
    <row r="6435" spans="1:8">
      <c r="A6435" s="39">
        <v>2.98768012062237</v>
      </c>
      <c r="B6435" s="45">
        <v>2.5</v>
      </c>
      <c r="D6435" s="2"/>
      <c r="E6435" s="31"/>
      <c r="G6435" s="43"/>
      <c r="H6435" s="2"/>
    </row>
    <row r="6436" spans="1:8">
      <c r="A6436" s="39">
        <v>2.98760769316363</v>
      </c>
      <c r="B6436" s="45">
        <v>8</v>
      </c>
      <c r="D6436" s="2"/>
      <c r="E6436" s="31"/>
      <c r="G6436" s="43"/>
      <c r="H6436" s="2"/>
    </row>
    <row r="6437" spans="1:8">
      <c r="A6437" s="39">
        <v>2.98742154839115</v>
      </c>
      <c r="B6437" s="45">
        <v>7</v>
      </c>
      <c r="D6437" s="2"/>
      <c r="E6437" s="31"/>
      <c r="G6437" s="43"/>
      <c r="H6437" s="2"/>
    </row>
    <row r="6438" spans="1:8">
      <c r="A6438" s="39">
        <v>2.98736162214679</v>
      </c>
      <c r="B6438" s="45">
        <v>11.5</v>
      </c>
      <c r="D6438" s="2"/>
      <c r="E6438" s="31"/>
      <c r="G6438" s="43"/>
      <c r="H6438" s="2"/>
    </row>
    <row r="6439" spans="1:8">
      <c r="A6439" s="39">
        <v>2.98736162214679</v>
      </c>
      <c r="B6439" s="45">
        <v>15</v>
      </c>
      <c r="D6439" s="2"/>
      <c r="E6439" s="31"/>
      <c r="G6439" s="43"/>
      <c r="H6439" s="2"/>
    </row>
    <row r="6440" spans="1:8">
      <c r="A6440" s="39">
        <v>2.98541884631875</v>
      </c>
      <c r="B6440" s="45">
        <v>11.5</v>
      </c>
      <c r="D6440" s="2"/>
      <c r="E6440" s="31"/>
      <c r="G6440" s="43"/>
      <c r="H6440" s="2"/>
    </row>
    <row r="6441" spans="1:8">
      <c r="A6441" s="39">
        <v>2.98531029641349</v>
      </c>
      <c r="B6441" s="45">
        <v>10.6</v>
      </c>
      <c r="D6441" s="2"/>
      <c r="E6441" s="31"/>
      <c r="G6441" s="43"/>
      <c r="H6441" s="2"/>
    </row>
    <row r="6442" spans="1:8">
      <c r="A6442" s="39">
        <v>2.98424645171852</v>
      </c>
      <c r="B6442" s="45">
        <v>8</v>
      </c>
      <c r="D6442" s="2"/>
      <c r="E6442" s="31"/>
      <c r="G6442" s="43"/>
      <c r="H6442" s="2"/>
    </row>
    <row r="6443" spans="1:8">
      <c r="A6443" s="39">
        <v>2.98396870693566</v>
      </c>
      <c r="B6443" s="45">
        <v>2</v>
      </c>
      <c r="D6443" s="2"/>
      <c r="E6443" s="31"/>
      <c r="G6443" s="43"/>
      <c r="H6443" s="2"/>
    </row>
    <row r="6444" spans="1:8">
      <c r="A6444" s="39">
        <v>2.98396870693566</v>
      </c>
      <c r="B6444" s="45">
        <v>2</v>
      </c>
      <c r="D6444" s="2"/>
      <c r="E6444" s="31"/>
      <c r="G6444" s="43"/>
      <c r="H6444" s="2"/>
    </row>
    <row r="6445" spans="1:8">
      <c r="A6445" s="39">
        <v>2.98310920661528</v>
      </c>
      <c r="B6445" s="45">
        <v>7.2</v>
      </c>
      <c r="D6445" s="2"/>
      <c r="E6445" s="31"/>
      <c r="G6445" s="43"/>
      <c r="H6445" s="2"/>
    </row>
    <row r="6446" spans="1:8">
      <c r="A6446" s="39">
        <v>2.98229146834593</v>
      </c>
      <c r="B6446" s="45">
        <v>9.2</v>
      </c>
      <c r="D6446" s="2"/>
      <c r="E6446" s="31"/>
      <c r="G6446" s="43"/>
      <c r="H6446" s="2"/>
    </row>
    <row r="6447" spans="1:8">
      <c r="A6447" s="39">
        <v>2.98229146834593</v>
      </c>
      <c r="B6447" s="45">
        <v>9</v>
      </c>
      <c r="D6447" s="2"/>
      <c r="E6447" s="31"/>
      <c r="G6447" s="43"/>
      <c r="H6447" s="2"/>
    </row>
    <row r="6448" spans="1:8">
      <c r="A6448" s="39">
        <v>2.98179154311739</v>
      </c>
      <c r="B6448" s="45">
        <v>23.6</v>
      </c>
      <c r="D6448" s="2"/>
      <c r="E6448" s="31"/>
      <c r="G6448" s="43"/>
      <c r="H6448" s="2"/>
    </row>
    <row r="6449" spans="1:8">
      <c r="A6449" s="39">
        <v>2.98108779245817</v>
      </c>
      <c r="B6449" s="45">
        <v>11</v>
      </c>
      <c r="D6449" s="2"/>
      <c r="E6449" s="31"/>
      <c r="G6449" s="43"/>
      <c r="H6449" s="2"/>
    </row>
    <row r="6450" spans="1:8">
      <c r="A6450" s="39">
        <v>2.98105751795328</v>
      </c>
      <c r="B6450" s="45">
        <v>16</v>
      </c>
      <c r="D6450" s="2"/>
      <c r="E6450" s="31"/>
      <c r="G6450" s="43"/>
      <c r="H6450" s="2"/>
    </row>
    <row r="6451" spans="1:8">
      <c r="A6451" s="39">
        <v>2.98099230038704</v>
      </c>
      <c r="B6451" s="45">
        <v>7.2</v>
      </c>
      <c r="D6451" s="2"/>
      <c r="E6451" s="31"/>
      <c r="G6451" s="43"/>
      <c r="H6451" s="2"/>
    </row>
    <row r="6452" spans="1:8">
      <c r="A6452" s="39">
        <v>2.98028873836193</v>
      </c>
      <c r="B6452" s="45">
        <v>4.1</v>
      </c>
      <c r="D6452" s="2"/>
      <c r="E6452" s="31"/>
      <c r="G6452" s="43"/>
      <c r="H6452" s="2"/>
    </row>
    <row r="6453" spans="1:8">
      <c r="A6453" s="39">
        <v>2.9790205152685</v>
      </c>
      <c r="B6453" s="45">
        <v>7</v>
      </c>
      <c r="D6453" s="2"/>
      <c r="E6453" s="31"/>
      <c r="G6453" s="43"/>
      <c r="H6453" s="2"/>
    </row>
    <row r="6454" spans="1:8">
      <c r="A6454" s="39">
        <v>2.97876695912455</v>
      </c>
      <c r="B6454" s="45">
        <v>1</v>
      </c>
      <c r="D6454" s="2"/>
      <c r="E6454" s="31"/>
      <c r="G6454" s="43"/>
      <c r="H6454" s="2"/>
    </row>
    <row r="6455" spans="1:8">
      <c r="A6455" s="39">
        <v>2.97836423138004</v>
      </c>
      <c r="B6455" s="45">
        <v>7</v>
      </c>
      <c r="D6455" s="2"/>
      <c r="E6455" s="31"/>
      <c r="G6455" s="43"/>
      <c r="H6455" s="2"/>
    </row>
    <row r="6456" spans="1:8">
      <c r="A6456" s="39">
        <v>2.97820277699914</v>
      </c>
      <c r="B6456" s="45">
        <v>9.8</v>
      </c>
      <c r="D6456" s="2"/>
      <c r="E6456" s="31"/>
      <c r="G6456" s="43"/>
      <c r="H6456" s="2"/>
    </row>
    <row r="6457" spans="1:8">
      <c r="A6457" s="39">
        <v>2.97820277699914</v>
      </c>
      <c r="B6457" s="45">
        <v>3</v>
      </c>
      <c r="D6457" s="2"/>
      <c r="E6457" s="31"/>
      <c r="G6457" s="43"/>
      <c r="H6457" s="2"/>
    </row>
    <row r="6458" spans="1:8">
      <c r="A6458" s="39">
        <v>2.97747449026149</v>
      </c>
      <c r="B6458" s="45">
        <v>6</v>
      </c>
      <c r="D6458" s="2"/>
      <c r="E6458" s="31"/>
      <c r="G6458" s="43"/>
      <c r="H6458" s="2"/>
    </row>
    <row r="6459" spans="1:8">
      <c r="A6459" s="39">
        <v>2.97738503872978</v>
      </c>
      <c r="B6459" s="45">
        <v>2</v>
      </c>
      <c r="D6459" s="2"/>
      <c r="E6459" s="31"/>
      <c r="G6459" s="43"/>
      <c r="H6459" s="2"/>
    </row>
    <row r="6460" spans="1:8">
      <c r="A6460" s="39">
        <v>2.97705707130483</v>
      </c>
      <c r="B6460" s="45">
        <v>6.5</v>
      </c>
      <c r="D6460" s="2"/>
      <c r="E6460" s="31"/>
      <c r="G6460" s="43"/>
      <c r="H6460" s="2"/>
    </row>
    <row r="6461" spans="1:8">
      <c r="A6461" s="39">
        <v>2.97686528850284</v>
      </c>
      <c r="B6461" s="45">
        <v>15.6</v>
      </c>
      <c r="D6461" s="2"/>
      <c r="E6461" s="31"/>
      <c r="G6461" s="43"/>
      <c r="H6461" s="2"/>
    </row>
    <row r="6462" spans="1:8">
      <c r="A6462" s="39">
        <v>2.97677092823638</v>
      </c>
      <c r="B6462" s="45">
        <v>6</v>
      </c>
      <c r="D6462" s="2"/>
      <c r="E6462" s="31"/>
      <c r="G6462" s="43"/>
      <c r="H6462" s="2"/>
    </row>
    <row r="6463" spans="1:8">
      <c r="A6463" s="39">
        <v>2.97666592683247</v>
      </c>
      <c r="B6463" s="45">
        <v>3</v>
      </c>
      <c r="D6463" s="2"/>
      <c r="E6463" s="31"/>
      <c r="G6463" s="43"/>
      <c r="H6463" s="2"/>
    </row>
    <row r="6464" spans="1:8">
      <c r="A6464" s="39">
        <v>2.97666592683247</v>
      </c>
      <c r="B6464" s="45">
        <v>6.5</v>
      </c>
      <c r="D6464" s="2"/>
      <c r="E6464" s="31"/>
      <c r="G6464" s="43"/>
      <c r="H6464" s="2"/>
    </row>
    <row r="6465" spans="1:8">
      <c r="A6465" s="39">
        <v>2.97618847128144</v>
      </c>
      <c r="B6465" s="45">
        <v>14</v>
      </c>
      <c r="D6465" s="2"/>
      <c r="E6465" s="31"/>
      <c r="G6465" s="43"/>
      <c r="H6465" s="2"/>
    </row>
    <row r="6466" spans="1:8">
      <c r="A6466" s="39">
        <v>2.975096331192</v>
      </c>
      <c r="B6466" s="45">
        <v>7.4</v>
      </c>
      <c r="D6466" s="2"/>
      <c r="E6466" s="31"/>
      <c r="G6466" s="43"/>
      <c r="H6466" s="2"/>
    </row>
    <row r="6467" spans="1:8">
      <c r="A6467" s="39">
        <v>2.97465424357775</v>
      </c>
      <c r="B6467" s="45">
        <v>9.5</v>
      </c>
      <c r="D6467" s="2"/>
      <c r="E6467" s="31"/>
      <c r="G6467" s="43"/>
      <c r="H6467" s="2"/>
    </row>
    <row r="6468" spans="1:8">
      <c r="A6468" s="39">
        <v>2.97339529473565</v>
      </c>
      <c r="B6468" s="45">
        <v>4</v>
      </c>
      <c r="D6468" s="2"/>
      <c r="E6468" s="31"/>
      <c r="G6468" s="43"/>
      <c r="H6468" s="2"/>
    </row>
    <row r="6469" spans="1:8">
      <c r="A6469" s="39">
        <v>2.97303718377639</v>
      </c>
      <c r="B6469" s="45">
        <v>6</v>
      </c>
      <c r="D6469" s="2"/>
      <c r="E6469" s="31"/>
      <c r="G6469" s="43"/>
      <c r="H6469" s="2"/>
    </row>
    <row r="6470" spans="1:8">
      <c r="A6470" s="39">
        <v>2.97262611783881</v>
      </c>
      <c r="B6470" s="45">
        <v>15.3</v>
      </c>
      <c r="D6470" s="2"/>
      <c r="E6470" s="31"/>
      <c r="G6470" s="43"/>
      <c r="H6470" s="2"/>
    </row>
    <row r="6471" spans="1:8">
      <c r="A6471" s="39">
        <v>2.97247181199773</v>
      </c>
      <c r="B6471" s="45">
        <v>2</v>
      </c>
      <c r="D6471" s="2"/>
      <c r="E6471" s="31"/>
      <c r="G6471" s="43"/>
      <c r="H6471" s="2"/>
    </row>
    <row r="6472" spans="1:8">
      <c r="A6472" s="39">
        <v>2.97182843100396</v>
      </c>
      <c r="B6472" s="45">
        <v>7.7</v>
      </c>
      <c r="D6472" s="2"/>
      <c r="E6472" s="31"/>
      <c r="G6472" s="43"/>
      <c r="H6472" s="2"/>
    </row>
    <row r="6473" spans="1:8">
      <c r="A6473" s="39">
        <v>2.97174433480438</v>
      </c>
      <c r="B6473" s="45">
        <v>9.8</v>
      </c>
      <c r="D6473" s="2"/>
      <c r="E6473" s="31"/>
      <c r="G6473" s="43"/>
      <c r="H6473" s="2"/>
    </row>
    <row r="6474" spans="1:8">
      <c r="A6474" s="39">
        <v>2.97086835651497</v>
      </c>
      <c r="B6474" s="45">
        <v>8.7</v>
      </c>
      <c r="D6474" s="2"/>
      <c r="E6474" s="31"/>
      <c r="G6474" s="43"/>
      <c r="H6474" s="2"/>
    </row>
    <row r="6475" spans="1:8">
      <c r="A6475" s="39">
        <v>2.97002539430557</v>
      </c>
      <c r="B6475" s="45">
        <v>18</v>
      </c>
      <c r="D6475" s="2"/>
      <c r="E6475" s="31"/>
      <c r="G6475" s="43"/>
      <c r="H6475" s="2"/>
    </row>
    <row r="6476" spans="1:8">
      <c r="A6476" s="39">
        <v>2.96993291184303</v>
      </c>
      <c r="B6476" s="45">
        <v>2</v>
      </c>
      <c r="D6476" s="2"/>
      <c r="E6476" s="31"/>
      <c r="G6476" s="43"/>
      <c r="H6476" s="2"/>
    </row>
    <row r="6477" spans="1:8">
      <c r="A6477" s="39">
        <v>2.96973530798529</v>
      </c>
      <c r="B6477" s="45">
        <v>17</v>
      </c>
      <c r="D6477" s="2"/>
      <c r="E6477" s="31"/>
      <c r="G6477" s="43"/>
      <c r="H6477" s="2"/>
    </row>
    <row r="6478" spans="1:8">
      <c r="A6478" s="39">
        <v>2.96973530798529</v>
      </c>
      <c r="B6478" s="45">
        <v>5.8</v>
      </c>
      <c r="D6478" s="2"/>
      <c r="E6478" s="31"/>
      <c r="G6478" s="43"/>
      <c r="H6478" s="2"/>
    </row>
    <row r="6479" spans="1:8">
      <c r="A6479" s="39">
        <v>2.96903174596018</v>
      </c>
      <c r="B6479" s="45">
        <v>7</v>
      </c>
      <c r="D6479" s="2"/>
      <c r="E6479" s="31"/>
      <c r="G6479" s="43"/>
      <c r="H6479" s="2"/>
    </row>
    <row r="6480" spans="1:8">
      <c r="A6480" s="39">
        <v>2.96883442603101</v>
      </c>
      <c r="B6480" s="45">
        <v>5.5</v>
      </c>
      <c r="D6480" s="2"/>
      <c r="E6480" s="31"/>
      <c r="G6480" s="43"/>
      <c r="H6480" s="2"/>
    </row>
    <row r="6481" spans="1:8">
      <c r="A6481" s="39">
        <v>2.96790695077831</v>
      </c>
      <c r="B6481" s="45">
        <v>7.5</v>
      </c>
      <c r="D6481" s="2"/>
      <c r="E6481" s="31"/>
      <c r="G6481" s="43"/>
      <c r="H6481" s="2"/>
    </row>
    <row r="6482" spans="1:8">
      <c r="A6482" s="39">
        <v>2.96737947164433</v>
      </c>
      <c r="B6482" s="45">
        <v>20</v>
      </c>
      <c r="D6482" s="2"/>
      <c r="E6482" s="31"/>
      <c r="G6482" s="43"/>
      <c r="H6482" s="2"/>
    </row>
    <row r="6483" spans="1:8">
      <c r="A6483" s="39">
        <v>2.96737947164433</v>
      </c>
      <c r="B6483" s="45">
        <v>17</v>
      </c>
      <c r="D6483" s="2"/>
      <c r="E6483" s="31"/>
      <c r="G6483" s="43"/>
      <c r="H6483" s="2"/>
    </row>
    <row r="6484" spans="1:8">
      <c r="A6484" s="39">
        <v>2.9672533707407</v>
      </c>
      <c r="B6484" s="45">
        <v>9.2</v>
      </c>
      <c r="D6484" s="2"/>
      <c r="E6484" s="31"/>
      <c r="G6484" s="43"/>
      <c r="H6484" s="2"/>
    </row>
    <row r="6485" spans="1:8">
      <c r="A6485" s="39">
        <v>2.96701277927376</v>
      </c>
      <c r="B6485" s="45">
        <v>5.9</v>
      </c>
      <c r="D6485" s="2"/>
      <c r="E6485" s="31"/>
      <c r="G6485" s="43"/>
      <c r="H6485" s="2"/>
    </row>
    <row r="6486" spans="1:8">
      <c r="A6486" s="39">
        <v>2.96701277927376</v>
      </c>
      <c r="B6486" s="45">
        <v>7</v>
      </c>
      <c r="D6486" s="2"/>
      <c r="E6486" s="31"/>
      <c r="G6486" s="43"/>
      <c r="H6486" s="2"/>
    </row>
    <row r="6487" spans="1:8">
      <c r="A6487" s="39">
        <v>2.96656640434831</v>
      </c>
      <c r="B6487" s="45">
        <v>5.8</v>
      </c>
      <c r="D6487" s="2"/>
      <c r="E6487" s="31"/>
      <c r="G6487" s="43"/>
      <c r="H6487" s="2"/>
    </row>
    <row r="6488" spans="1:8">
      <c r="A6488" s="39">
        <v>2.96593670295878</v>
      </c>
      <c r="B6488" s="45">
        <v>3.3</v>
      </c>
      <c r="D6488" s="2"/>
      <c r="E6488" s="31"/>
      <c r="G6488" s="43"/>
      <c r="H6488" s="2"/>
    </row>
    <row r="6489" spans="1:8">
      <c r="A6489" s="39">
        <v>2.96593670295878</v>
      </c>
      <c r="B6489" s="45">
        <v>9.1</v>
      </c>
      <c r="D6489" s="2"/>
      <c r="E6489" s="31"/>
      <c r="G6489" s="43"/>
      <c r="H6489" s="2"/>
    </row>
    <row r="6490" spans="1:8">
      <c r="A6490" s="39">
        <v>2.96577731103247</v>
      </c>
      <c r="B6490" s="45">
        <v>8</v>
      </c>
      <c r="D6490" s="2"/>
      <c r="E6490" s="31"/>
      <c r="G6490" s="43"/>
      <c r="H6490" s="2"/>
    </row>
    <row r="6491" spans="1:8">
      <c r="A6491" s="39">
        <v>2.96509284823279</v>
      </c>
      <c r="B6491" s="45">
        <v>5.5</v>
      </c>
      <c r="D6491" s="2"/>
      <c r="E6491" s="31"/>
      <c r="G6491" s="43"/>
      <c r="H6491" s="2"/>
    </row>
    <row r="6492" spans="1:8">
      <c r="A6492" s="39">
        <v>2.96509284823279</v>
      </c>
      <c r="B6492" s="45">
        <v>11.7</v>
      </c>
      <c r="D6492" s="2"/>
      <c r="E6492" s="31"/>
      <c r="G6492" s="43"/>
      <c r="H6492" s="2"/>
    </row>
    <row r="6493" spans="1:8">
      <c r="A6493" s="39">
        <v>2.96419777663687</v>
      </c>
      <c r="B6493" s="45">
        <v>6.5</v>
      </c>
      <c r="D6493" s="2"/>
      <c r="E6493" s="31"/>
      <c r="G6493" s="43"/>
      <c r="H6493" s="2"/>
    </row>
    <row r="6494" spans="1:8">
      <c r="A6494" s="39">
        <v>2.96387319835253</v>
      </c>
      <c r="B6494" s="45">
        <v>6.2</v>
      </c>
      <c r="D6494" s="2"/>
      <c r="E6494" s="31"/>
      <c r="G6494" s="43"/>
      <c r="H6494" s="2"/>
    </row>
    <row r="6495" spans="1:8">
      <c r="A6495" s="39">
        <v>2.96372392263342</v>
      </c>
      <c r="B6495" s="45">
        <v>2</v>
      </c>
      <c r="D6495" s="2"/>
      <c r="E6495" s="31"/>
      <c r="G6495" s="43"/>
      <c r="H6495" s="2"/>
    </row>
    <row r="6496" spans="1:8">
      <c r="A6496" s="39">
        <v>2.96372392263342</v>
      </c>
      <c r="B6496" s="45">
        <v>5.2</v>
      </c>
      <c r="D6496" s="2"/>
      <c r="E6496" s="31"/>
      <c r="G6496" s="43"/>
      <c r="H6496" s="2"/>
    </row>
    <row r="6497" spans="1:8">
      <c r="A6497" s="39">
        <v>2.96340324975931</v>
      </c>
      <c r="B6497" s="45">
        <v>10</v>
      </c>
      <c r="D6497" s="2"/>
      <c r="E6497" s="31"/>
      <c r="G6497" s="43"/>
      <c r="H6497" s="2"/>
    </row>
    <row r="6498" spans="1:8">
      <c r="A6498" s="39">
        <v>2.96286258681343</v>
      </c>
      <c r="B6498" s="45">
        <v>7.4</v>
      </c>
      <c r="D6498" s="2"/>
      <c r="E6498" s="31"/>
      <c r="G6498" s="43"/>
      <c r="H6498" s="2"/>
    </row>
    <row r="6499" spans="1:8">
      <c r="A6499" s="39">
        <v>2.96208652465921</v>
      </c>
      <c r="B6499" s="45">
        <v>3.1</v>
      </c>
      <c r="D6499" s="2"/>
      <c r="E6499" s="31"/>
      <c r="G6499" s="43"/>
      <c r="H6499" s="2"/>
    </row>
    <row r="6500" spans="1:8">
      <c r="A6500" s="39">
        <v>2.96103027334264</v>
      </c>
      <c r="B6500" s="45">
        <v>2</v>
      </c>
      <c r="D6500" s="2"/>
      <c r="E6500" s="31"/>
      <c r="G6500" s="43"/>
      <c r="H6500" s="2"/>
    </row>
    <row r="6501" spans="1:8">
      <c r="A6501" s="39">
        <v>2.96071757036462</v>
      </c>
      <c r="B6501" s="45">
        <v>9.8</v>
      </c>
      <c r="D6501" s="2"/>
      <c r="E6501" s="31"/>
      <c r="G6501" s="43"/>
      <c r="H6501" s="2"/>
    </row>
    <row r="6502" spans="1:8">
      <c r="A6502" s="39">
        <v>2.96050669085781</v>
      </c>
      <c r="B6502" s="45">
        <v>4</v>
      </c>
      <c r="D6502" s="2"/>
      <c r="E6502" s="31"/>
      <c r="G6502" s="43"/>
      <c r="H6502" s="2"/>
    </row>
    <row r="6503" spans="1:8">
      <c r="A6503" s="39">
        <v>2.960301608635</v>
      </c>
      <c r="B6503" s="45">
        <v>5.7</v>
      </c>
      <c r="D6503" s="2"/>
      <c r="E6503" s="31"/>
      <c r="G6503" s="43"/>
      <c r="H6503" s="2"/>
    </row>
    <row r="6504" spans="1:8">
      <c r="A6504" s="39">
        <v>2.95918187760866</v>
      </c>
      <c r="B6504" s="45">
        <v>13</v>
      </c>
      <c r="D6504" s="2"/>
      <c r="E6504" s="31"/>
      <c r="G6504" s="43"/>
      <c r="H6504" s="2"/>
    </row>
    <row r="6505" spans="1:8">
      <c r="A6505" s="39">
        <v>2.95871274540599</v>
      </c>
      <c r="B6505" s="45">
        <v>8.3</v>
      </c>
      <c r="D6505" s="2"/>
      <c r="E6505" s="31"/>
      <c r="G6505" s="43"/>
      <c r="H6505" s="2"/>
    </row>
    <row r="6506" spans="1:8">
      <c r="A6506" s="39">
        <v>2.95871274540599</v>
      </c>
      <c r="B6506" s="45">
        <v>10</v>
      </c>
      <c r="D6506" s="2"/>
      <c r="E6506" s="31"/>
      <c r="G6506" s="43"/>
      <c r="H6506" s="2"/>
    </row>
    <row r="6507" spans="1:8">
      <c r="A6507" s="39">
        <v>2.95871274540599</v>
      </c>
      <c r="B6507" s="45">
        <v>12</v>
      </c>
      <c r="D6507" s="2"/>
      <c r="E6507" s="31"/>
      <c r="G6507" s="43"/>
      <c r="H6507" s="2"/>
    </row>
    <row r="6508" spans="1:8">
      <c r="A6508" s="39">
        <v>2.95847831558355</v>
      </c>
      <c r="B6508" s="45">
        <v>9.7</v>
      </c>
      <c r="D6508" s="2"/>
      <c r="E6508" s="31"/>
      <c r="G6508" s="43"/>
      <c r="H6508" s="2"/>
    </row>
    <row r="6509" spans="1:8">
      <c r="A6509" s="39">
        <v>2.95810325021419</v>
      </c>
      <c r="B6509" s="45">
        <v>11</v>
      </c>
      <c r="D6509" s="2"/>
      <c r="E6509" s="31"/>
      <c r="G6509" s="43"/>
      <c r="H6509" s="2"/>
    </row>
    <row r="6510" spans="1:8">
      <c r="A6510" s="39">
        <v>2.95792226813087</v>
      </c>
      <c r="B6510" s="45">
        <v>9.7</v>
      </c>
      <c r="D6510" s="2"/>
      <c r="E6510" s="31"/>
      <c r="G6510" s="43"/>
      <c r="H6510" s="2"/>
    </row>
    <row r="6511" spans="1:8">
      <c r="A6511" s="39">
        <v>2.95756375743626</v>
      </c>
      <c r="B6511" s="45">
        <v>11.2</v>
      </c>
      <c r="D6511" s="2"/>
      <c r="E6511" s="31"/>
      <c r="G6511" s="43"/>
      <c r="H6511" s="2"/>
    </row>
    <row r="6512" spans="1:8">
      <c r="A6512" s="39">
        <v>2.95687929463658</v>
      </c>
      <c r="B6512" s="45">
        <v>11.2</v>
      </c>
      <c r="D6512" s="2"/>
      <c r="E6512" s="31"/>
      <c r="G6512" s="43"/>
      <c r="H6512" s="2"/>
    </row>
    <row r="6513" spans="1:8">
      <c r="A6513" s="39">
        <v>2.95687929463658</v>
      </c>
      <c r="B6513" s="45">
        <v>2</v>
      </c>
      <c r="D6513" s="2"/>
      <c r="E6513" s="31"/>
      <c r="G6513" s="43"/>
      <c r="H6513" s="2"/>
    </row>
    <row r="6514" spans="1:8">
      <c r="A6514" s="39">
        <v>2.95687929463658</v>
      </c>
      <c r="B6514" s="45">
        <v>13.8</v>
      </c>
      <c r="D6514" s="2"/>
      <c r="E6514" s="31"/>
      <c r="G6514" s="43"/>
      <c r="H6514" s="2"/>
    </row>
    <row r="6515" spans="1:8">
      <c r="A6515" s="39">
        <v>2.95687929463658</v>
      </c>
      <c r="B6515" s="45">
        <v>4.1</v>
      </c>
      <c r="D6515" s="2"/>
      <c r="E6515" s="31"/>
      <c r="G6515" s="43"/>
      <c r="H6515" s="2"/>
    </row>
    <row r="6516" spans="1:8">
      <c r="A6516" s="39">
        <v>2.95636762950822</v>
      </c>
      <c r="B6516" s="45">
        <v>13</v>
      </c>
      <c r="D6516" s="2"/>
      <c r="E6516" s="31"/>
      <c r="G6516" s="43"/>
      <c r="H6516" s="2"/>
    </row>
    <row r="6517" spans="1:8">
      <c r="A6517" s="39">
        <v>2.95575276872623</v>
      </c>
      <c r="B6517" s="45">
        <v>6.5</v>
      </c>
      <c r="D6517" s="2"/>
      <c r="E6517" s="31"/>
      <c r="G6517" s="43"/>
      <c r="H6517" s="2"/>
    </row>
    <row r="6518" spans="1:8">
      <c r="A6518" s="39">
        <v>2.9548568171119</v>
      </c>
      <c r="B6518" s="45">
        <v>4</v>
      </c>
      <c r="D6518" s="2"/>
      <c r="E6518" s="31"/>
      <c r="G6518" s="43"/>
      <c r="H6518" s="2"/>
    </row>
    <row r="6519" spans="1:8">
      <c r="A6519" s="39">
        <v>2.95428488216416</v>
      </c>
      <c r="B6519" s="45">
        <v>10.2</v>
      </c>
      <c r="D6519" s="2"/>
      <c r="E6519" s="31"/>
      <c r="G6519" s="43"/>
      <c r="H6519" s="2"/>
    </row>
    <row r="6520" spans="1:8">
      <c r="A6520" s="39">
        <v>2.95425694343289</v>
      </c>
      <c r="B6520" s="45">
        <v>23</v>
      </c>
      <c r="D6520" s="2"/>
      <c r="E6520" s="31"/>
      <c r="G6520" s="43"/>
      <c r="H6520" s="2"/>
    </row>
    <row r="6521" spans="1:8">
      <c r="A6521" s="39">
        <v>2.95414144343784</v>
      </c>
      <c r="B6521" s="45">
        <v>8.1</v>
      </c>
      <c r="D6521" s="2"/>
      <c r="E6521" s="31"/>
      <c r="G6521" s="43"/>
      <c r="H6521" s="2"/>
    </row>
    <row r="6522" spans="1:8">
      <c r="A6522" s="39">
        <v>2.95414144343784</v>
      </c>
      <c r="B6522" s="45">
        <v>4.5</v>
      </c>
      <c r="D6522" s="2"/>
      <c r="E6522" s="31"/>
      <c r="G6522" s="43"/>
      <c r="H6522" s="2"/>
    </row>
    <row r="6523" spans="1:8">
      <c r="A6523" s="39">
        <v>2.95223401543012</v>
      </c>
      <c r="B6523" s="45">
        <v>6.5</v>
      </c>
      <c r="D6523" s="2"/>
      <c r="E6523" s="31"/>
      <c r="G6523" s="43"/>
      <c r="H6523" s="2"/>
    </row>
    <row r="6524" spans="1:8">
      <c r="A6524" s="39">
        <v>2.95155052622079</v>
      </c>
      <c r="B6524" s="45">
        <v>8</v>
      </c>
      <c r="D6524" s="2"/>
      <c r="E6524" s="31"/>
      <c r="G6524" s="43"/>
      <c r="H6524" s="2"/>
    </row>
    <row r="6525" spans="1:8">
      <c r="A6525" s="39">
        <v>2.95155052622079</v>
      </c>
      <c r="B6525" s="45">
        <v>9.8</v>
      </c>
      <c r="D6525" s="2"/>
      <c r="E6525" s="31"/>
      <c r="G6525" s="43"/>
      <c r="H6525" s="2"/>
    </row>
    <row r="6526" spans="1:8">
      <c r="A6526" s="39">
        <v>2.9509138698005</v>
      </c>
      <c r="B6526" s="45">
        <v>6</v>
      </c>
      <c r="D6526" s="2"/>
      <c r="E6526" s="31"/>
      <c r="G6526" s="43"/>
      <c r="H6526" s="2"/>
    </row>
    <row r="6527" spans="1:8">
      <c r="A6527" s="39">
        <v>2.95080854497567</v>
      </c>
      <c r="B6527" s="45">
        <v>4.8</v>
      </c>
      <c r="D6527" s="2"/>
      <c r="E6527" s="31"/>
      <c r="G6527" s="43"/>
      <c r="H6527" s="2"/>
    </row>
    <row r="6528" spans="1:8">
      <c r="A6528" s="39">
        <v>2.95080854497567</v>
      </c>
      <c r="B6528" s="45">
        <v>4.1</v>
      </c>
      <c r="D6528" s="2"/>
      <c r="E6528" s="31"/>
      <c r="G6528" s="43"/>
      <c r="H6528" s="2"/>
    </row>
    <row r="6529" spans="1:8">
      <c r="A6529" s="39">
        <v>2.95064749619745</v>
      </c>
      <c r="B6529" s="45">
        <v>10</v>
      </c>
      <c r="D6529" s="2"/>
      <c r="E6529" s="31"/>
      <c r="G6529" s="43"/>
      <c r="H6529" s="2"/>
    </row>
    <row r="6530" spans="1:8">
      <c r="A6530" s="39">
        <v>2.95064749619745</v>
      </c>
      <c r="B6530" s="45">
        <v>12.1</v>
      </c>
      <c r="D6530" s="2"/>
      <c r="E6530" s="31"/>
      <c r="G6530" s="43"/>
      <c r="H6530" s="2"/>
    </row>
    <row r="6531" spans="1:8">
      <c r="A6531" s="39">
        <v>2.94992001900411</v>
      </c>
      <c r="B6531" s="45">
        <v>16.3</v>
      </c>
      <c r="D6531" s="2"/>
      <c r="E6531" s="31"/>
      <c r="G6531" s="43"/>
      <c r="H6531" s="2"/>
    </row>
    <row r="6532" spans="1:8">
      <c r="A6532" s="39">
        <v>2.94960670972529</v>
      </c>
      <c r="B6532" s="45">
        <v>21.6</v>
      </c>
      <c r="D6532" s="2"/>
      <c r="E6532" s="31"/>
      <c r="G6532" s="43"/>
      <c r="H6532" s="2"/>
    </row>
    <row r="6533" spans="1:8">
      <c r="A6533" s="39">
        <v>2.94882880321409</v>
      </c>
      <c r="B6533" s="45">
        <v>4.4</v>
      </c>
      <c r="D6533" s="2"/>
      <c r="E6533" s="31"/>
      <c r="G6533" s="43"/>
      <c r="H6533" s="2"/>
    </row>
    <row r="6534" spans="1:8">
      <c r="A6534" s="39">
        <v>2.94862844723202</v>
      </c>
      <c r="B6534" s="45">
        <v>18</v>
      </c>
      <c r="D6534" s="2"/>
      <c r="E6534" s="31"/>
      <c r="G6534" s="43"/>
      <c r="H6534" s="2"/>
    </row>
    <row r="6535" spans="1:8">
      <c r="A6535" s="39">
        <v>2.94798127824068</v>
      </c>
      <c r="B6535" s="45">
        <v>19.3</v>
      </c>
      <c r="D6535" s="2"/>
      <c r="E6535" s="31"/>
      <c r="G6535" s="43"/>
      <c r="H6535" s="2"/>
    </row>
    <row r="6536" spans="1:8">
      <c r="A6536" s="39">
        <v>2.94792488520691</v>
      </c>
      <c r="B6536" s="45">
        <v>15.1</v>
      </c>
      <c r="D6536" s="2"/>
      <c r="E6536" s="31"/>
      <c r="G6536" s="43"/>
      <c r="H6536" s="2"/>
    </row>
    <row r="6537" spans="1:8">
      <c r="A6537" s="39">
        <v>2.94704066087893</v>
      </c>
      <c r="B6537" s="45">
        <v>1</v>
      </c>
      <c r="D6537" s="2"/>
      <c r="E6537" s="31"/>
      <c r="G6537" s="43"/>
      <c r="H6537" s="2"/>
    </row>
    <row r="6538" spans="1:8">
      <c r="A6538" s="39">
        <v>2.94467550795549</v>
      </c>
      <c r="B6538" s="45">
        <v>2</v>
      </c>
      <c r="D6538" s="2"/>
      <c r="E6538" s="31"/>
      <c r="G6538" s="43"/>
      <c r="H6538" s="2"/>
    </row>
    <row r="6539" spans="1:8">
      <c r="A6539" s="39">
        <v>2.94467550795549</v>
      </c>
      <c r="B6539" s="45">
        <v>2</v>
      </c>
      <c r="D6539" s="2"/>
      <c r="E6539" s="31"/>
      <c r="G6539" s="43"/>
      <c r="H6539" s="2"/>
    </row>
    <row r="6540" spans="1:8">
      <c r="A6540" s="39">
        <v>2.94467550795549</v>
      </c>
      <c r="B6540" s="45">
        <v>8</v>
      </c>
      <c r="D6540" s="2"/>
      <c r="E6540" s="31"/>
      <c r="G6540" s="43"/>
      <c r="H6540" s="2"/>
    </row>
    <row r="6541" spans="1:8">
      <c r="A6541" s="39">
        <v>2.94437806942442</v>
      </c>
      <c r="B6541" s="45">
        <v>7</v>
      </c>
      <c r="D6541" s="2"/>
      <c r="E6541" s="31"/>
      <c r="G6541" s="43"/>
      <c r="H6541" s="2"/>
    </row>
    <row r="6542" spans="1:8">
      <c r="A6542" s="39">
        <v>2.94304003141678</v>
      </c>
      <c r="B6542" s="45">
        <v>6.2</v>
      </c>
      <c r="D6542" s="2"/>
      <c r="E6542" s="31"/>
      <c r="G6542" s="43"/>
      <c r="H6542" s="2"/>
    </row>
    <row r="6543" spans="1:8">
      <c r="A6543" s="39">
        <v>2.94295586319855</v>
      </c>
      <c r="B6543" s="45">
        <v>10.4</v>
      </c>
      <c r="D6543" s="2"/>
      <c r="E6543" s="31"/>
      <c r="G6543" s="43"/>
      <c r="H6543" s="2"/>
    </row>
    <row r="6544" spans="1:8">
      <c r="A6544" s="39">
        <v>2.94191776987734</v>
      </c>
      <c r="B6544" s="45">
        <v>9.5</v>
      </c>
      <c r="D6544" s="2"/>
      <c r="E6544" s="31"/>
      <c r="G6544" s="43"/>
      <c r="H6544" s="2"/>
    </row>
    <row r="6545" spans="1:8">
      <c r="A6545" s="39">
        <v>2.94176374927399</v>
      </c>
      <c r="B6545" s="45">
        <v>3.6</v>
      </c>
      <c r="D6545" s="2"/>
      <c r="E6545" s="31"/>
      <c r="G6545" s="43"/>
      <c r="H6545" s="2"/>
    </row>
    <row r="6546" spans="1:8">
      <c r="A6546" s="39">
        <v>2.94159282698093</v>
      </c>
      <c r="B6546" s="45">
        <v>17.3</v>
      </c>
      <c r="D6546" s="2"/>
      <c r="E6546" s="31"/>
      <c r="G6546" s="43"/>
      <c r="H6546" s="2"/>
    </row>
    <row r="6547" spans="1:8">
      <c r="A6547" s="39">
        <v>2.94159282698093</v>
      </c>
      <c r="B6547" s="45">
        <v>19.5</v>
      </c>
      <c r="D6547" s="2"/>
      <c r="E6547" s="31"/>
      <c r="G6547" s="43"/>
      <c r="H6547" s="2"/>
    </row>
    <row r="6548" spans="1:8">
      <c r="A6548" s="39">
        <v>2.94140455487806</v>
      </c>
      <c r="B6548" s="45">
        <v>0</v>
      </c>
      <c r="D6548" s="2"/>
      <c r="E6548" s="31"/>
      <c r="G6548" s="43"/>
      <c r="H6548" s="2"/>
    </row>
    <row r="6549" spans="1:8">
      <c r="A6549" s="39">
        <v>2.94098094738843</v>
      </c>
      <c r="B6549" s="45">
        <v>17.1</v>
      </c>
      <c r="D6549" s="2"/>
      <c r="E6549" s="31"/>
      <c r="G6549" s="43"/>
      <c r="H6549" s="2"/>
    </row>
    <row r="6550" spans="1:8">
      <c r="A6550" s="39">
        <v>2.94058681660871</v>
      </c>
      <c r="B6550" s="45">
        <v>11</v>
      </c>
      <c r="D6550" s="2"/>
      <c r="E6550" s="31"/>
      <c r="G6550" s="43"/>
      <c r="H6550" s="2"/>
    </row>
    <row r="6551" spans="1:8">
      <c r="A6551" s="39">
        <v>2.93937475360595</v>
      </c>
      <c r="B6551" s="45">
        <v>10.5</v>
      </c>
      <c r="D6551" s="2"/>
      <c r="E6551" s="31"/>
      <c r="G6551" s="43"/>
      <c r="H6551" s="2"/>
    </row>
    <row r="6552" spans="1:8">
      <c r="A6552" s="39">
        <v>2.93914942912356</v>
      </c>
      <c r="B6552" s="45">
        <v>17</v>
      </c>
      <c r="D6552" s="2"/>
      <c r="E6552" s="31"/>
      <c r="G6552" s="43"/>
      <c r="H6552" s="2"/>
    </row>
    <row r="6553" spans="1:8">
      <c r="A6553" s="39">
        <v>2.93886275290493</v>
      </c>
      <c r="B6553" s="45">
        <v>3</v>
      </c>
      <c r="D6553" s="2"/>
      <c r="E6553" s="31"/>
      <c r="G6553" s="43"/>
      <c r="H6553" s="2"/>
    </row>
    <row r="6554" spans="1:8">
      <c r="A6554" s="39">
        <v>2.93886244482083</v>
      </c>
      <c r="B6554" s="45">
        <v>8.4</v>
      </c>
      <c r="D6554" s="2"/>
      <c r="E6554" s="31"/>
      <c r="G6554" s="43"/>
      <c r="H6554" s="2"/>
    </row>
    <row r="6555" spans="1:8">
      <c r="A6555" s="39">
        <v>2.93761443989371</v>
      </c>
      <c r="B6555" s="45">
        <v>10.9</v>
      </c>
      <c r="D6555" s="2"/>
      <c r="E6555" s="31"/>
      <c r="G6555" s="43"/>
      <c r="H6555" s="2"/>
    </row>
    <row r="6556" spans="1:8">
      <c r="A6556" s="39">
        <v>2.93737145483028</v>
      </c>
      <c r="B6556" s="45">
        <v>10</v>
      </c>
      <c r="D6556" s="2"/>
      <c r="E6556" s="31"/>
      <c r="G6556" s="43"/>
      <c r="H6556" s="2"/>
    </row>
    <row r="6557" spans="1:8">
      <c r="A6557" s="39">
        <v>2.93731586353128</v>
      </c>
      <c r="B6557" s="45">
        <v>6</v>
      </c>
      <c r="D6557" s="2"/>
      <c r="E6557" s="31"/>
      <c r="G6557" s="43"/>
      <c r="H6557" s="2"/>
    </row>
    <row r="6558" spans="1:8">
      <c r="A6558" s="39">
        <v>2.93731586353128</v>
      </c>
      <c r="B6558" s="45">
        <v>11</v>
      </c>
      <c r="D6558" s="2"/>
      <c r="E6558" s="31"/>
      <c r="G6558" s="43"/>
      <c r="H6558" s="2"/>
    </row>
    <row r="6559" spans="1:8">
      <c r="A6559" s="39">
        <v>2.93731586353128</v>
      </c>
      <c r="B6559" s="45">
        <v>10</v>
      </c>
      <c r="D6559" s="2"/>
      <c r="E6559" s="31"/>
      <c r="G6559" s="43"/>
      <c r="H6559" s="2"/>
    </row>
    <row r="6560" spans="1:8">
      <c r="A6560" s="39">
        <v>2.93722608785039</v>
      </c>
      <c r="B6560" s="45">
        <v>9.3</v>
      </c>
      <c r="D6560" s="2"/>
      <c r="E6560" s="31"/>
      <c r="G6560" s="43"/>
      <c r="H6560" s="2"/>
    </row>
    <row r="6561" spans="1:8">
      <c r="A6561" s="39">
        <v>2.93682542952394</v>
      </c>
      <c r="B6561" s="45">
        <v>3.6</v>
      </c>
      <c r="D6561" s="2"/>
      <c r="E6561" s="31"/>
      <c r="G6561" s="43"/>
      <c r="H6561" s="2"/>
    </row>
    <row r="6562" spans="1:8">
      <c r="A6562" s="39">
        <v>2.93649812526192</v>
      </c>
      <c r="B6562" s="45">
        <v>4.9</v>
      </c>
      <c r="D6562" s="2"/>
      <c r="E6562" s="31"/>
      <c r="G6562" s="43"/>
      <c r="H6562" s="2"/>
    </row>
    <row r="6563" spans="1:8">
      <c r="A6563" s="39">
        <v>2.93634541064605</v>
      </c>
      <c r="B6563" s="45">
        <v>16</v>
      </c>
      <c r="D6563" s="2"/>
      <c r="E6563" s="31"/>
      <c r="G6563" s="43"/>
      <c r="H6563" s="2"/>
    </row>
    <row r="6564" spans="1:8">
      <c r="A6564" s="39">
        <v>2.93626783689582</v>
      </c>
      <c r="B6564" s="45">
        <v>4.8</v>
      </c>
      <c r="D6564" s="2"/>
      <c r="E6564" s="31"/>
      <c r="G6564" s="43"/>
      <c r="H6564" s="2"/>
    </row>
    <row r="6565" spans="1:8">
      <c r="A6565" s="39">
        <v>2.93588152893552</v>
      </c>
      <c r="B6565" s="45">
        <v>12</v>
      </c>
      <c r="D6565" s="2"/>
      <c r="E6565" s="31"/>
      <c r="G6565" s="43"/>
      <c r="H6565" s="2"/>
    </row>
    <row r="6566" spans="1:8">
      <c r="A6566" s="39">
        <v>2.93464024894961</v>
      </c>
      <c r="B6566" s="45">
        <v>9</v>
      </c>
      <c r="D6566" s="2"/>
      <c r="E6566" s="31"/>
      <c r="G6566" s="43"/>
      <c r="H6566" s="2"/>
    </row>
    <row r="6567" spans="1:8">
      <c r="A6567" s="39">
        <v>2.93455720672984</v>
      </c>
      <c r="B6567" s="45">
        <v>21</v>
      </c>
      <c r="D6567" s="2"/>
      <c r="E6567" s="31"/>
      <c r="G6567" s="43"/>
      <c r="H6567" s="2"/>
    </row>
    <row r="6568" spans="1:8">
      <c r="A6568" s="39">
        <v>2.93445377958853</v>
      </c>
      <c r="B6568" s="45">
        <v>4.2</v>
      </c>
      <c r="D6568" s="2"/>
      <c r="E6568" s="31"/>
      <c r="G6568" s="43"/>
      <c r="H6568" s="2"/>
    </row>
    <row r="6569" spans="1:8">
      <c r="A6569" s="39">
        <v>2.93393649829039</v>
      </c>
      <c r="B6569" s="45">
        <v>10.9</v>
      </c>
      <c r="D6569" s="2"/>
      <c r="E6569" s="31"/>
      <c r="G6569" s="43"/>
      <c r="H6569" s="2"/>
    </row>
    <row r="6570" spans="1:8">
      <c r="A6570" s="39">
        <v>2.93375069698967</v>
      </c>
      <c r="B6570" s="45">
        <v>2</v>
      </c>
      <c r="D6570" s="2"/>
      <c r="E6570" s="31"/>
      <c r="G6570" s="43"/>
      <c r="H6570" s="2"/>
    </row>
    <row r="6571" spans="1:8">
      <c r="A6571" s="39">
        <v>2.93364497825779</v>
      </c>
      <c r="B6571" s="45">
        <v>21</v>
      </c>
      <c r="D6571" s="2"/>
      <c r="E6571" s="31"/>
      <c r="G6571" s="43"/>
      <c r="H6571" s="2"/>
    </row>
    <row r="6572" spans="1:8">
      <c r="A6572" s="39">
        <v>2.93357463090004</v>
      </c>
      <c r="B6572" s="45">
        <v>11.1</v>
      </c>
      <c r="D6572" s="2"/>
      <c r="E6572" s="31"/>
      <c r="G6572" s="43"/>
      <c r="H6572" s="2"/>
    </row>
    <row r="6573" spans="1:8">
      <c r="A6573" s="39">
        <v>2.93252899697195</v>
      </c>
      <c r="B6573" s="45">
        <v>9.5</v>
      </c>
      <c r="D6573" s="2"/>
      <c r="E6573" s="31"/>
      <c r="G6573" s="43"/>
      <c r="H6573" s="2"/>
    </row>
    <row r="6574" spans="1:8">
      <c r="A6574" s="39">
        <v>2.93159169564578</v>
      </c>
      <c r="B6574" s="45">
        <v>8.4</v>
      </c>
      <c r="D6574" s="2"/>
      <c r="E6574" s="31"/>
      <c r="G6574" s="43"/>
      <c r="H6574" s="2"/>
    </row>
    <row r="6575" spans="1:8">
      <c r="A6575" s="39">
        <v>2.93130646867226</v>
      </c>
      <c r="B6575" s="45">
        <v>10.3</v>
      </c>
      <c r="D6575" s="2"/>
      <c r="E6575" s="31"/>
      <c r="G6575" s="43"/>
      <c r="H6575" s="2"/>
    </row>
    <row r="6576" spans="1:8">
      <c r="A6576" s="39">
        <v>2.93033583457919</v>
      </c>
      <c r="B6576" s="45">
        <v>8.2</v>
      </c>
      <c r="D6576" s="2"/>
      <c r="E6576" s="31"/>
      <c r="G6576" s="43"/>
      <c r="H6576" s="2"/>
    </row>
    <row r="6577" spans="1:8">
      <c r="A6577" s="39">
        <v>2.93020812340532</v>
      </c>
      <c r="B6577" s="45">
        <v>4.5</v>
      </c>
      <c r="D6577" s="2"/>
      <c r="E6577" s="31"/>
      <c r="G6577" s="43"/>
      <c r="H6577" s="2"/>
    </row>
    <row r="6578" spans="1:8">
      <c r="A6578" s="39">
        <v>2.92999930859704</v>
      </c>
      <c r="B6578" s="45">
        <v>4</v>
      </c>
      <c r="D6578" s="2"/>
      <c r="E6578" s="31"/>
      <c r="G6578" s="43"/>
      <c r="H6578" s="2"/>
    </row>
    <row r="6579" spans="1:8">
      <c r="A6579" s="39">
        <v>2.92953482190638</v>
      </c>
      <c r="B6579" s="45">
        <v>10.6</v>
      </c>
      <c r="D6579" s="2"/>
      <c r="E6579" s="31"/>
      <c r="G6579" s="43"/>
      <c r="H6579" s="2"/>
    </row>
    <row r="6580" spans="1:8">
      <c r="A6580" s="39">
        <v>2.9295007826492</v>
      </c>
      <c r="B6580" s="45">
        <v>4.7</v>
      </c>
      <c r="D6580" s="2"/>
      <c r="E6580" s="31"/>
      <c r="G6580" s="43"/>
      <c r="H6580" s="2"/>
    </row>
    <row r="6581" spans="1:8">
      <c r="A6581" s="39">
        <v>2.92913848083771</v>
      </c>
      <c r="B6581" s="45">
        <v>2.7</v>
      </c>
      <c r="D6581" s="2"/>
      <c r="E6581" s="31"/>
      <c r="G6581" s="43"/>
      <c r="H6581" s="2"/>
    </row>
    <row r="6582" spans="1:8">
      <c r="A6582" s="39">
        <v>2.92832074256835</v>
      </c>
      <c r="B6582" s="45">
        <v>2</v>
      </c>
      <c r="D6582" s="2"/>
      <c r="E6582" s="31"/>
      <c r="G6582" s="43"/>
      <c r="H6582" s="2"/>
    </row>
    <row r="6583" spans="1:8">
      <c r="A6583" s="39">
        <v>2.92822514850386</v>
      </c>
      <c r="B6583" s="45">
        <v>6.4</v>
      </c>
      <c r="D6583" s="2"/>
      <c r="E6583" s="31"/>
      <c r="G6583" s="43"/>
      <c r="H6583" s="2"/>
    </row>
    <row r="6584" spans="1:8">
      <c r="A6584" s="39">
        <v>2.92809570320383</v>
      </c>
      <c r="B6584" s="45">
        <v>10</v>
      </c>
      <c r="D6584" s="2"/>
      <c r="E6584" s="31"/>
      <c r="G6584" s="43"/>
      <c r="H6584" s="2"/>
    </row>
    <row r="6585" spans="1:8">
      <c r="A6585" s="39">
        <v>2.92752158647875</v>
      </c>
      <c r="B6585" s="45">
        <v>5</v>
      </c>
      <c r="D6585" s="2"/>
      <c r="E6585" s="31"/>
      <c r="G6585" s="43"/>
      <c r="H6585" s="2"/>
    </row>
    <row r="6586" spans="1:8">
      <c r="A6586" s="39">
        <v>2.92752158647875</v>
      </c>
      <c r="B6586" s="45">
        <v>5.8</v>
      </c>
      <c r="D6586" s="2"/>
      <c r="E6586" s="31"/>
      <c r="G6586" s="43"/>
      <c r="H6586" s="2"/>
    </row>
    <row r="6587" spans="1:8">
      <c r="A6587" s="39">
        <v>2.9268416159106</v>
      </c>
      <c r="B6587" s="45">
        <v>2</v>
      </c>
      <c r="D6587" s="2"/>
      <c r="E6587" s="31"/>
      <c r="G6587" s="43"/>
      <c r="H6587" s="2"/>
    </row>
    <row r="6588" spans="1:8">
      <c r="A6588" s="39">
        <v>2.92648275907259</v>
      </c>
      <c r="B6588" s="45">
        <v>11</v>
      </c>
      <c r="D6588" s="2"/>
      <c r="E6588" s="31"/>
      <c r="G6588" s="43"/>
      <c r="H6588" s="2"/>
    </row>
    <row r="6589" spans="1:8">
      <c r="A6589" s="39">
        <v>2.92647272453373</v>
      </c>
      <c r="B6589" s="45">
        <v>6</v>
      </c>
      <c r="D6589" s="2"/>
      <c r="E6589" s="31"/>
      <c r="G6589" s="43"/>
      <c r="H6589" s="2"/>
    </row>
    <row r="6590" spans="1:8">
      <c r="A6590" s="39">
        <v>2.92647272453373</v>
      </c>
      <c r="B6590" s="45">
        <v>9</v>
      </c>
      <c r="D6590" s="2"/>
      <c r="E6590" s="31"/>
      <c r="G6590" s="43"/>
      <c r="H6590" s="2"/>
    </row>
    <row r="6591" spans="1:8">
      <c r="A6591" s="39">
        <v>2.92616831441166</v>
      </c>
      <c r="B6591" s="45">
        <v>5.5</v>
      </c>
      <c r="D6591" s="2"/>
      <c r="E6591" s="31"/>
      <c r="G6591" s="43"/>
      <c r="H6591" s="2"/>
    </row>
    <row r="6592" spans="1:8">
      <c r="A6592" s="39">
        <v>2.9260778283714</v>
      </c>
      <c r="B6592" s="45">
        <v>12.7</v>
      </c>
      <c r="D6592" s="2"/>
      <c r="E6592" s="31"/>
      <c r="G6592" s="43"/>
      <c r="H6592" s="2"/>
    </row>
    <row r="6593" spans="1:8">
      <c r="A6593" s="39">
        <v>2.92586752776028</v>
      </c>
      <c r="B6593" s="45">
        <v>7.8</v>
      </c>
      <c r="D6593" s="2"/>
      <c r="E6593" s="31"/>
      <c r="G6593" s="43"/>
      <c r="H6593" s="2"/>
    </row>
    <row r="6594" spans="1:8">
      <c r="A6594" s="39">
        <v>2.92477066829618</v>
      </c>
      <c r="B6594" s="45">
        <v>5.7</v>
      </c>
      <c r="D6594" s="2"/>
      <c r="E6594" s="31"/>
      <c r="G6594" s="43"/>
      <c r="H6594" s="2"/>
    </row>
    <row r="6595" spans="1:8">
      <c r="A6595" s="39">
        <v>2.92470954305141</v>
      </c>
      <c r="B6595" s="45">
        <v>1</v>
      </c>
      <c r="D6595" s="2"/>
      <c r="E6595" s="31"/>
      <c r="G6595" s="43"/>
      <c r="H6595" s="2"/>
    </row>
    <row r="6596" spans="1:8">
      <c r="A6596" s="39">
        <v>2.92423205122156</v>
      </c>
      <c r="B6596" s="45">
        <v>5.6</v>
      </c>
      <c r="D6596" s="2"/>
      <c r="E6596" s="31"/>
      <c r="G6596" s="43"/>
      <c r="H6596" s="2"/>
    </row>
    <row r="6597" spans="1:8">
      <c r="A6597" s="39">
        <v>2.92414840991482</v>
      </c>
      <c r="B6597" s="45">
        <v>12.4</v>
      </c>
      <c r="D6597" s="2"/>
      <c r="E6597" s="31"/>
      <c r="G6597" s="43"/>
      <c r="H6597" s="2"/>
    </row>
    <row r="6598" spans="1:8">
      <c r="A6598" s="39">
        <v>2.92356153555135</v>
      </c>
      <c r="B6598" s="45">
        <v>2</v>
      </c>
      <c r="D6598" s="2"/>
      <c r="E6598" s="31"/>
      <c r="G6598" s="43"/>
      <c r="H6598" s="2"/>
    </row>
    <row r="6599" spans="1:8">
      <c r="A6599" s="39">
        <v>2.92280180691693</v>
      </c>
      <c r="B6599" s="45">
        <v>8.6</v>
      </c>
      <c r="D6599" s="2"/>
      <c r="E6599" s="31"/>
      <c r="G6599" s="43"/>
      <c r="H6599" s="2"/>
    </row>
    <row r="6600" spans="1:8">
      <c r="A6600" s="39">
        <v>2.92267648774286</v>
      </c>
      <c r="B6600" s="45">
        <v>10</v>
      </c>
      <c r="D6600" s="2"/>
      <c r="E6600" s="31"/>
      <c r="G6600" s="43"/>
      <c r="H6600" s="2"/>
    </row>
    <row r="6601" spans="1:8">
      <c r="A6601" s="39">
        <v>2.92215634814575</v>
      </c>
      <c r="B6601" s="45">
        <v>7.5</v>
      </c>
      <c r="D6601" s="2"/>
      <c r="E6601" s="31"/>
      <c r="G6601" s="43"/>
      <c r="H6601" s="2"/>
    </row>
    <row r="6602" spans="1:8">
      <c r="A6602" s="39">
        <v>2.92197273708364</v>
      </c>
      <c r="B6602" s="45">
        <v>9.4</v>
      </c>
      <c r="D6602" s="2"/>
      <c r="E6602" s="31"/>
      <c r="G6602" s="43"/>
      <c r="H6602" s="2"/>
    </row>
    <row r="6603" spans="1:8">
      <c r="A6603" s="39">
        <v>2.92154840846375</v>
      </c>
      <c r="B6603" s="45">
        <v>18</v>
      </c>
      <c r="D6603" s="2"/>
      <c r="E6603" s="31"/>
      <c r="G6603" s="43"/>
      <c r="H6603" s="2"/>
    </row>
    <row r="6604" spans="1:8">
      <c r="A6604" s="39">
        <v>2.92048596622766</v>
      </c>
      <c r="B6604" s="45">
        <v>6</v>
      </c>
      <c r="D6604" s="2"/>
      <c r="E6604" s="31"/>
      <c r="G6604" s="43"/>
      <c r="H6604" s="2"/>
    </row>
    <row r="6605" spans="1:8">
      <c r="A6605" s="39">
        <v>2.92003676180591</v>
      </c>
      <c r="B6605" s="45">
        <v>9</v>
      </c>
      <c r="D6605" s="2"/>
      <c r="E6605" s="31"/>
      <c r="G6605" s="43"/>
      <c r="H6605" s="2"/>
    </row>
    <row r="6606" spans="1:8">
      <c r="A6606" s="39">
        <v>2.91992254932338</v>
      </c>
      <c r="B6606" s="45">
        <v>6.5</v>
      </c>
      <c r="D6606" s="2"/>
      <c r="E6606" s="31"/>
      <c r="G6606" s="43"/>
      <c r="H6606" s="2"/>
    </row>
    <row r="6607" spans="1:8">
      <c r="A6607" s="39">
        <v>2.91991830345362</v>
      </c>
      <c r="B6607" s="45">
        <v>4.6</v>
      </c>
      <c r="D6607" s="2"/>
      <c r="E6607" s="31"/>
      <c r="G6607" s="43"/>
      <c r="H6607" s="2"/>
    </row>
    <row r="6608" spans="1:8">
      <c r="A6608" s="39">
        <v>2.91943529942221</v>
      </c>
      <c r="B6608" s="45">
        <v>6.5</v>
      </c>
      <c r="D6608" s="2"/>
      <c r="E6608" s="31"/>
      <c r="G6608" s="43"/>
      <c r="H6608" s="2"/>
    </row>
    <row r="6609" spans="1:8">
      <c r="A6609" s="39">
        <v>2.91932562160542</v>
      </c>
      <c r="B6609" s="45">
        <v>7.8</v>
      </c>
      <c r="D6609" s="2"/>
      <c r="E6609" s="31"/>
      <c r="G6609" s="43"/>
      <c r="H6609" s="2"/>
    </row>
    <row r="6610" spans="1:8">
      <c r="A6610" s="39">
        <v>2.91888844795771</v>
      </c>
      <c r="B6610" s="45">
        <v>12</v>
      </c>
      <c r="D6610" s="2"/>
      <c r="E6610" s="31"/>
      <c r="G6610" s="43"/>
      <c r="H6610" s="2"/>
    </row>
    <row r="6611" spans="1:8">
      <c r="A6611" s="39">
        <v>2.91888844795771</v>
      </c>
      <c r="B6611" s="45">
        <v>8.8</v>
      </c>
      <c r="D6611" s="2"/>
      <c r="E6611" s="31"/>
      <c r="G6611" s="43"/>
      <c r="H6611" s="2"/>
    </row>
    <row r="6612" spans="1:8">
      <c r="A6612" s="39">
        <v>2.9184669548322</v>
      </c>
      <c r="B6612" s="45">
        <v>3</v>
      </c>
      <c r="D6612" s="2"/>
      <c r="E6612" s="31"/>
      <c r="G6612" s="43"/>
      <c r="H6612" s="2"/>
    </row>
    <row r="6613" spans="1:8">
      <c r="A6613" s="39">
        <v>2.91718354530369</v>
      </c>
      <c r="B6613" s="45">
        <v>18</v>
      </c>
      <c r="D6613" s="2"/>
      <c r="E6613" s="31"/>
      <c r="G6613" s="43"/>
      <c r="H6613" s="2"/>
    </row>
    <row r="6614" spans="1:8">
      <c r="A6614" s="39">
        <v>2.91717187413183</v>
      </c>
      <c r="B6614" s="45">
        <v>9.5</v>
      </c>
      <c r="D6614" s="2"/>
      <c r="E6614" s="31"/>
      <c r="G6614" s="43"/>
      <c r="H6614" s="2"/>
    </row>
    <row r="6615" spans="1:8">
      <c r="A6615" s="39">
        <v>2.91674209342644</v>
      </c>
      <c r="B6615" s="45">
        <v>4.5</v>
      </c>
      <c r="D6615" s="2"/>
      <c r="E6615" s="31"/>
      <c r="G6615" s="43"/>
      <c r="H6615" s="2"/>
    </row>
    <row r="6616" spans="1:8">
      <c r="A6616" s="39">
        <v>2.9164959894552</v>
      </c>
      <c r="B6616" s="45">
        <v>10.5</v>
      </c>
      <c r="D6616" s="2"/>
      <c r="E6616" s="31"/>
      <c r="G6616" s="43"/>
      <c r="H6616" s="2"/>
    </row>
    <row r="6617" spans="1:8">
      <c r="A6617" s="39">
        <v>2.91628356309541</v>
      </c>
      <c r="B6617" s="45">
        <v>5.5</v>
      </c>
      <c r="D6617" s="2"/>
      <c r="E6617" s="31"/>
      <c r="G6617" s="43"/>
      <c r="H6617" s="2"/>
    </row>
    <row r="6618" spans="1:8">
      <c r="A6618" s="39">
        <v>2.91627412780727</v>
      </c>
      <c r="B6618" s="45">
        <v>9.9</v>
      </c>
      <c r="D6618" s="2"/>
      <c r="E6618" s="31"/>
      <c r="G6618" s="43"/>
      <c r="H6618" s="2"/>
    </row>
    <row r="6619" spans="1:8">
      <c r="A6619" s="39">
        <v>2.91606879192749</v>
      </c>
      <c r="B6619" s="45">
        <v>22.3</v>
      </c>
      <c r="D6619" s="2"/>
      <c r="E6619" s="31"/>
      <c r="G6619" s="43"/>
      <c r="H6619" s="2"/>
    </row>
    <row r="6620" spans="1:8">
      <c r="A6620" s="39">
        <v>2.91605466852799</v>
      </c>
      <c r="B6620" s="45">
        <v>4.4</v>
      </c>
      <c r="D6620" s="2"/>
      <c r="E6620" s="31"/>
      <c r="G6620" s="43"/>
      <c r="H6620" s="2"/>
    </row>
    <row r="6621" spans="1:8">
      <c r="A6621" s="39">
        <v>2.91605466852799</v>
      </c>
      <c r="B6621" s="45">
        <v>10.7</v>
      </c>
      <c r="D6621" s="2"/>
      <c r="E6621" s="31"/>
      <c r="G6621" s="43"/>
      <c r="H6621" s="2"/>
    </row>
    <row r="6622" spans="1:8">
      <c r="A6622" s="39">
        <v>2.91345034597657</v>
      </c>
      <c r="B6622" s="45">
        <v>9.2</v>
      </c>
      <c r="D6622" s="2"/>
      <c r="E6622" s="31"/>
      <c r="G6622" s="43"/>
      <c r="H6622" s="2"/>
    </row>
    <row r="6623" spans="1:8">
      <c r="A6623" s="39">
        <v>2.91337558593172</v>
      </c>
      <c r="B6623" s="45">
        <v>10.4</v>
      </c>
      <c r="D6623" s="2"/>
      <c r="E6623" s="31"/>
      <c r="G6623" s="43"/>
      <c r="H6623" s="2"/>
    </row>
    <row r="6624" spans="1:8">
      <c r="A6624" s="39">
        <v>2.91337558593172</v>
      </c>
      <c r="B6624" s="45">
        <v>12.4</v>
      </c>
      <c r="D6624" s="2"/>
      <c r="E6624" s="31"/>
      <c r="G6624" s="43"/>
      <c r="H6624" s="2"/>
    </row>
    <row r="6625" spans="1:8">
      <c r="A6625" s="39">
        <v>2.91300622761923</v>
      </c>
      <c r="B6625" s="45">
        <v>3.7</v>
      </c>
      <c r="D6625" s="2"/>
      <c r="E6625" s="31"/>
      <c r="G6625" s="43"/>
      <c r="H6625" s="2"/>
    </row>
    <row r="6626" spans="1:8">
      <c r="A6626" s="39">
        <v>2.91238921265709</v>
      </c>
      <c r="B6626" s="45">
        <v>5.8</v>
      </c>
      <c r="D6626" s="2"/>
      <c r="E6626" s="31"/>
      <c r="G6626" s="43"/>
      <c r="H6626" s="2"/>
    </row>
    <row r="6627" spans="1:8">
      <c r="A6627" s="39">
        <v>2.91209120495029</v>
      </c>
      <c r="B6627" s="45">
        <v>4.5</v>
      </c>
      <c r="D6627" s="2"/>
      <c r="E6627" s="31"/>
      <c r="G6627" s="43"/>
      <c r="H6627" s="2"/>
    </row>
    <row r="6628" spans="1:8">
      <c r="A6628" s="39">
        <v>2.91114823891185</v>
      </c>
      <c r="B6628" s="45">
        <v>5.9</v>
      </c>
      <c r="D6628" s="2"/>
      <c r="E6628" s="31"/>
      <c r="G6628" s="43"/>
      <c r="H6628" s="2"/>
    </row>
    <row r="6629" spans="1:8">
      <c r="A6629" s="39">
        <v>2.90908474739359</v>
      </c>
      <c r="B6629" s="45">
        <v>16</v>
      </c>
      <c r="D6629" s="2"/>
      <c r="E6629" s="31"/>
      <c r="G6629" s="43"/>
      <c r="H6629" s="2"/>
    </row>
    <row r="6630" spans="1:8">
      <c r="A6630" s="39">
        <v>2.90896689865867</v>
      </c>
      <c r="B6630" s="45">
        <v>2</v>
      </c>
      <c r="D6630" s="2"/>
      <c r="E6630" s="31"/>
      <c r="G6630" s="43"/>
      <c r="H6630" s="2"/>
    </row>
    <row r="6631" spans="1:8">
      <c r="A6631" s="39">
        <v>2.90896689865867</v>
      </c>
      <c r="B6631" s="45">
        <v>13.4</v>
      </c>
      <c r="D6631" s="2"/>
      <c r="E6631" s="31"/>
      <c r="G6631" s="43"/>
      <c r="H6631" s="2"/>
    </row>
    <row r="6632" spans="1:8">
      <c r="A6632" s="39">
        <v>2.90896689865867</v>
      </c>
      <c r="B6632" s="45">
        <v>17</v>
      </c>
      <c r="D6632" s="2"/>
      <c r="E6632" s="31"/>
      <c r="G6632" s="43"/>
      <c r="H6632" s="2"/>
    </row>
    <row r="6633" spans="1:8">
      <c r="A6633" s="39">
        <v>2.90896689865867</v>
      </c>
      <c r="B6633" s="45">
        <v>11.5</v>
      </c>
      <c r="D6633" s="2"/>
      <c r="E6633" s="31"/>
      <c r="G6633" s="43"/>
      <c r="H6633" s="2"/>
    </row>
    <row r="6634" spans="1:8">
      <c r="A6634" s="39">
        <v>2.90857721110959</v>
      </c>
      <c r="B6634" s="45">
        <v>10.6</v>
      </c>
      <c r="D6634" s="2"/>
      <c r="E6634" s="31"/>
      <c r="G6634" s="43"/>
      <c r="H6634" s="2"/>
    </row>
    <row r="6635" spans="1:8">
      <c r="A6635" s="39">
        <v>2.90789772389923</v>
      </c>
      <c r="B6635" s="45">
        <v>8</v>
      </c>
      <c r="D6635" s="2"/>
      <c r="E6635" s="31"/>
      <c r="G6635" s="43"/>
      <c r="H6635" s="2"/>
    </row>
    <row r="6636" spans="1:8">
      <c r="A6636" s="39">
        <v>2.90714476727255</v>
      </c>
      <c r="B6636" s="45">
        <v>15</v>
      </c>
      <c r="D6636" s="2"/>
      <c r="E6636" s="31"/>
      <c r="G6636" s="43"/>
      <c r="H6636" s="2"/>
    </row>
    <row r="6637" spans="1:8">
      <c r="A6637" s="39">
        <v>2.90691351025962</v>
      </c>
      <c r="B6637" s="45">
        <v>4.8</v>
      </c>
      <c r="D6637" s="2"/>
      <c r="E6637" s="31"/>
      <c r="G6637" s="43"/>
      <c r="H6637" s="2"/>
    </row>
    <row r="6638" spans="1:8">
      <c r="A6638" s="39">
        <v>2.90641472572548</v>
      </c>
      <c r="B6638" s="45">
        <v>23</v>
      </c>
      <c r="D6638" s="2"/>
      <c r="E6638" s="31"/>
      <c r="G6638" s="43"/>
      <c r="H6638" s="2"/>
    </row>
    <row r="6639" spans="1:8">
      <c r="A6639" s="39">
        <v>2.90627138740355</v>
      </c>
      <c r="B6639" s="45">
        <v>6.5</v>
      </c>
      <c r="D6639" s="2"/>
      <c r="E6639" s="31"/>
      <c r="G6639" s="43"/>
      <c r="H6639" s="2"/>
    </row>
    <row r="6640" spans="1:8">
      <c r="A6640" s="39">
        <v>2.9053666044115</v>
      </c>
      <c r="B6640" s="45">
        <v>9.4</v>
      </c>
      <c r="D6640" s="2"/>
      <c r="E6640" s="31"/>
      <c r="G6640" s="43"/>
      <c r="H6640" s="2"/>
    </row>
    <row r="6641" spans="1:8">
      <c r="A6641" s="39">
        <v>2.9053666044115</v>
      </c>
      <c r="B6641" s="45">
        <v>7.8</v>
      </c>
      <c r="D6641" s="2"/>
      <c r="E6641" s="31"/>
      <c r="G6641" s="43"/>
      <c r="H6641" s="2"/>
    </row>
    <row r="6642" spans="1:8">
      <c r="A6642" s="39">
        <v>2.90463880716591</v>
      </c>
      <c r="B6642" s="45">
        <v>11</v>
      </c>
      <c r="D6642" s="2"/>
      <c r="E6642" s="31"/>
      <c r="G6642" s="43"/>
      <c r="H6642" s="2"/>
    </row>
    <row r="6643" spans="1:8">
      <c r="A6643" s="39">
        <v>2.90460633275699</v>
      </c>
      <c r="B6643" s="45">
        <v>14.8</v>
      </c>
      <c r="D6643" s="2"/>
      <c r="E6643" s="31"/>
      <c r="G6643" s="43"/>
      <c r="H6643" s="2"/>
    </row>
    <row r="6644" spans="1:8">
      <c r="A6644" s="39">
        <v>2.90212227066183</v>
      </c>
      <c r="B6644" s="45">
        <v>5.6</v>
      </c>
      <c r="D6644" s="2"/>
      <c r="E6644" s="31"/>
      <c r="G6644" s="43"/>
      <c r="H6644" s="2"/>
    </row>
    <row r="6645" spans="1:8">
      <c r="A6645" s="39">
        <v>2.90212227066183</v>
      </c>
      <c r="B6645" s="45">
        <v>8.2</v>
      </c>
      <c r="D6645" s="2"/>
      <c r="E6645" s="31"/>
      <c r="G6645" s="43"/>
      <c r="H6645" s="2"/>
    </row>
    <row r="6646" spans="1:8">
      <c r="A6646" s="39">
        <v>2.90172761818353</v>
      </c>
      <c r="B6646" s="45">
        <v>5.3</v>
      </c>
      <c r="D6646" s="2"/>
      <c r="E6646" s="31"/>
      <c r="G6646" s="43"/>
      <c r="H6646" s="2"/>
    </row>
    <row r="6647" spans="1:8">
      <c r="A6647" s="39">
        <v>2.90141499192439</v>
      </c>
      <c r="B6647" s="45">
        <v>8.7</v>
      </c>
      <c r="D6647" s="2"/>
      <c r="E6647" s="31"/>
      <c r="G6647" s="43"/>
      <c r="H6647" s="2"/>
    </row>
    <row r="6648" spans="1:8">
      <c r="A6648" s="39">
        <v>2.90117904705016</v>
      </c>
      <c r="B6648" s="45">
        <v>14</v>
      </c>
      <c r="D6648" s="2"/>
      <c r="E6648" s="31"/>
      <c r="G6648" s="43"/>
      <c r="H6648" s="2"/>
    </row>
    <row r="6649" spans="1:8">
      <c r="A6649" s="39">
        <v>2.90069877000587</v>
      </c>
      <c r="B6649" s="45">
        <v>13.6</v>
      </c>
      <c r="D6649" s="2"/>
      <c r="E6649" s="31"/>
      <c r="G6649" s="43"/>
      <c r="H6649" s="2"/>
    </row>
    <row r="6650" spans="1:8">
      <c r="A6650" s="39">
        <v>2.90006888226277</v>
      </c>
      <c r="B6650" s="45">
        <v>4.5</v>
      </c>
      <c r="D6650" s="2"/>
      <c r="E6650" s="31"/>
      <c r="G6650" s="43"/>
      <c r="H6650" s="2"/>
    </row>
    <row r="6651" spans="1:8">
      <c r="A6651" s="39">
        <v>2.89990955595283</v>
      </c>
      <c r="B6651" s="45">
        <v>3.6</v>
      </c>
      <c r="D6651" s="2"/>
      <c r="E6651" s="31"/>
      <c r="G6651" s="43"/>
      <c r="H6651" s="2"/>
    </row>
    <row r="6652" spans="1:8">
      <c r="A6652" s="39">
        <v>2.89937910547439</v>
      </c>
      <c r="B6652" s="45">
        <v>3</v>
      </c>
      <c r="D6652" s="2"/>
      <c r="E6652" s="31"/>
      <c r="G6652" s="43"/>
      <c r="H6652" s="2"/>
    </row>
    <row r="6653" spans="1:8">
      <c r="A6653" s="39">
        <v>2.89808863195556</v>
      </c>
      <c r="B6653" s="45">
        <v>8.9</v>
      </c>
      <c r="D6653" s="2"/>
      <c r="E6653" s="31"/>
      <c r="G6653" s="43"/>
      <c r="H6653" s="2"/>
    </row>
    <row r="6654" spans="1:8">
      <c r="A6654" s="39">
        <v>2.89586974695917</v>
      </c>
      <c r="B6654" s="45">
        <v>7.6</v>
      </c>
      <c r="D6654" s="2"/>
      <c r="E6654" s="31"/>
      <c r="G6654" s="43"/>
      <c r="H6654" s="2"/>
    </row>
    <row r="6655" spans="1:8">
      <c r="A6655" s="39">
        <v>2.89586974695917</v>
      </c>
      <c r="B6655" s="45">
        <v>2</v>
      </c>
      <c r="D6655" s="2"/>
      <c r="E6655" s="31"/>
      <c r="G6655" s="43"/>
      <c r="H6655" s="2"/>
    </row>
    <row r="6656" spans="1:8">
      <c r="A6656" s="39">
        <v>2.89515773332373</v>
      </c>
      <c r="B6656" s="45">
        <v>10</v>
      </c>
      <c r="D6656" s="2"/>
      <c r="E6656" s="31"/>
      <c r="G6656" s="43"/>
      <c r="H6656" s="2"/>
    </row>
    <row r="6657" spans="1:8">
      <c r="A6657" s="39">
        <v>2.89425277273919</v>
      </c>
      <c r="B6657" s="45">
        <v>10.4</v>
      </c>
      <c r="D6657" s="2"/>
      <c r="E6657" s="31"/>
      <c r="G6657" s="43"/>
      <c r="H6657" s="2"/>
    </row>
    <row r="6658" spans="1:8">
      <c r="A6658" s="39">
        <v>2.89425277273919</v>
      </c>
      <c r="B6658" s="45">
        <v>9.9</v>
      </c>
      <c r="D6658" s="2"/>
      <c r="E6658" s="31"/>
      <c r="G6658" s="43"/>
      <c r="H6658" s="2"/>
    </row>
    <row r="6659" spans="1:8">
      <c r="A6659" s="39">
        <v>2.89425277273919</v>
      </c>
      <c r="B6659" s="45">
        <v>18.8</v>
      </c>
      <c r="D6659" s="2"/>
      <c r="E6659" s="31"/>
      <c r="G6659" s="43"/>
      <c r="H6659" s="2"/>
    </row>
    <row r="6660" spans="1:8">
      <c r="A6660" s="39">
        <v>2.89390871706561</v>
      </c>
      <c r="B6660" s="45">
        <v>6.7</v>
      </c>
      <c r="D6660" s="2"/>
      <c r="E6660" s="31"/>
      <c r="G6660" s="43"/>
      <c r="H6660" s="2"/>
    </row>
    <row r="6661" spans="1:8">
      <c r="A6661" s="39">
        <v>2.89317654096339</v>
      </c>
      <c r="B6661" s="45">
        <v>7.5</v>
      </c>
      <c r="D6661" s="2"/>
      <c r="E6661" s="31"/>
      <c r="G6661" s="43"/>
      <c r="H6661" s="2"/>
    </row>
    <row r="6662" spans="1:8">
      <c r="A6662" s="39">
        <v>2.89304704724841</v>
      </c>
      <c r="B6662" s="45">
        <v>6</v>
      </c>
      <c r="D6662" s="2"/>
      <c r="E6662" s="31"/>
      <c r="G6662" s="43"/>
      <c r="H6662" s="2"/>
    </row>
    <row r="6663" spans="1:8">
      <c r="A6663" s="39">
        <v>2.89152252044727</v>
      </c>
      <c r="B6663" s="45">
        <v>8.2</v>
      </c>
      <c r="D6663" s="2"/>
      <c r="E6663" s="31"/>
      <c r="G6663" s="43"/>
      <c r="H6663" s="2"/>
    </row>
    <row r="6664" spans="1:8">
      <c r="A6664" s="39">
        <v>2.89081065949962</v>
      </c>
      <c r="B6664" s="45">
        <v>11</v>
      </c>
      <c r="D6664" s="2"/>
      <c r="E6664" s="31"/>
      <c r="G6664" s="43"/>
      <c r="H6664" s="2"/>
    </row>
    <row r="6665" spans="1:8">
      <c r="A6665" s="39">
        <v>2.89070478217792</v>
      </c>
      <c r="B6665" s="45">
        <v>6.7</v>
      </c>
      <c r="D6665" s="2"/>
      <c r="E6665" s="31"/>
      <c r="G6665" s="43"/>
      <c r="H6665" s="2"/>
    </row>
    <row r="6666" spans="1:8">
      <c r="A6666" s="39">
        <v>2.88947734626534</v>
      </c>
      <c r="B6666" s="45">
        <v>9</v>
      </c>
      <c r="D6666" s="2"/>
      <c r="E6666" s="31"/>
      <c r="G6666" s="43"/>
      <c r="H6666" s="2"/>
    </row>
    <row r="6667" spans="1:8">
      <c r="A6667" s="39">
        <v>2.88913673196972</v>
      </c>
      <c r="B6667" s="45">
        <v>11</v>
      </c>
      <c r="D6667" s="2"/>
      <c r="E6667" s="31"/>
      <c r="G6667" s="43"/>
      <c r="H6667" s="2"/>
    </row>
    <row r="6668" spans="1:8">
      <c r="A6668" s="39">
        <v>2.88911747746782</v>
      </c>
      <c r="B6668" s="45">
        <v>10.9</v>
      </c>
      <c r="D6668" s="2"/>
      <c r="E6668" s="31"/>
      <c r="G6668" s="43"/>
      <c r="H6668" s="2"/>
    </row>
    <row r="6669" spans="1:8">
      <c r="A6669" s="39">
        <v>2.88881193476333</v>
      </c>
      <c r="B6669" s="45">
        <v>23</v>
      </c>
      <c r="D6669" s="2"/>
      <c r="E6669" s="31"/>
      <c r="G6669" s="43"/>
      <c r="H6669" s="2"/>
    </row>
    <row r="6670" spans="1:8">
      <c r="A6670" s="39">
        <v>2.8886858978498</v>
      </c>
      <c r="B6670" s="45">
        <v>0</v>
      </c>
      <c r="D6670" s="2"/>
      <c r="E6670" s="31"/>
      <c r="G6670" s="43"/>
      <c r="H6670" s="2"/>
    </row>
    <row r="6671" spans="1:8">
      <c r="A6671" s="39">
        <v>2.88846343047078</v>
      </c>
      <c r="B6671" s="45">
        <v>18.7</v>
      </c>
      <c r="D6671" s="2"/>
      <c r="E6671" s="31"/>
      <c r="G6671" s="43"/>
      <c r="H6671" s="2"/>
    </row>
    <row r="6672" spans="1:8">
      <c r="A6672" s="39">
        <v>2.88825156736984</v>
      </c>
      <c r="B6672" s="45">
        <v>4</v>
      </c>
      <c r="D6672" s="2"/>
      <c r="E6672" s="31"/>
      <c r="G6672" s="43"/>
      <c r="H6672" s="2"/>
    </row>
    <row r="6673" spans="1:8">
      <c r="A6673" s="39">
        <v>2.88825156736984</v>
      </c>
      <c r="B6673" s="45">
        <v>6</v>
      </c>
      <c r="D6673" s="2"/>
      <c r="E6673" s="31"/>
      <c r="G6673" s="43"/>
      <c r="H6673" s="2"/>
    </row>
    <row r="6674" spans="1:8">
      <c r="A6674" s="39">
        <v>2.88825156736984</v>
      </c>
      <c r="B6674" s="45">
        <v>15.8</v>
      </c>
      <c r="D6674" s="2"/>
      <c r="E6674" s="31"/>
      <c r="G6674" s="43"/>
      <c r="H6674" s="2"/>
    </row>
    <row r="6675" spans="1:8">
      <c r="A6675" s="39">
        <v>2.88709055355399</v>
      </c>
      <c r="B6675" s="45">
        <v>12.5</v>
      </c>
      <c r="D6675" s="2"/>
      <c r="E6675" s="31"/>
      <c r="G6675" s="43"/>
      <c r="H6675" s="2"/>
    </row>
    <row r="6676" spans="1:8">
      <c r="A6676" s="39">
        <v>2.88709055355399</v>
      </c>
      <c r="B6676" s="45">
        <v>7.6</v>
      </c>
      <c r="D6676" s="2"/>
      <c r="E6676" s="31"/>
      <c r="G6676" s="43"/>
      <c r="H6676" s="2"/>
    </row>
    <row r="6677" spans="1:8">
      <c r="A6677" s="39">
        <v>2.88644387602606</v>
      </c>
      <c r="B6677" s="45">
        <v>10</v>
      </c>
      <c r="D6677" s="2"/>
      <c r="E6677" s="31"/>
      <c r="G6677" s="43"/>
      <c r="H6677" s="2"/>
    </row>
    <row r="6678" spans="1:8">
      <c r="A6678" s="39">
        <v>2.88644352597395</v>
      </c>
      <c r="B6678" s="45">
        <v>14</v>
      </c>
      <c r="D6678" s="2"/>
      <c r="E6678" s="31"/>
      <c r="G6678" s="43"/>
      <c r="H6678" s="2"/>
    </row>
    <row r="6679" spans="1:8">
      <c r="A6679" s="39">
        <v>2.8860814534634</v>
      </c>
      <c r="B6679" s="45">
        <v>16</v>
      </c>
      <c r="D6679" s="2"/>
      <c r="E6679" s="31"/>
      <c r="G6679" s="43"/>
      <c r="H6679" s="2"/>
    </row>
    <row r="6680" spans="1:8">
      <c r="A6680" s="39">
        <v>2.88571607878046</v>
      </c>
      <c r="B6680" s="45">
        <v>8.4</v>
      </c>
      <c r="D6680" s="2"/>
      <c r="E6680" s="31"/>
      <c r="G6680" s="43"/>
      <c r="H6680" s="2"/>
    </row>
    <row r="6681" spans="1:8">
      <c r="A6681" s="39">
        <v>2.88501070066972</v>
      </c>
      <c r="B6681" s="45">
        <v>5.2</v>
      </c>
      <c r="D6681" s="2"/>
      <c r="E6681" s="31"/>
      <c r="G6681" s="43"/>
      <c r="H6681" s="2"/>
    </row>
    <row r="6682" spans="1:8">
      <c r="A6682" s="39">
        <v>2.88494188779843</v>
      </c>
      <c r="B6682" s="45">
        <v>10.3</v>
      </c>
      <c r="D6682" s="2"/>
      <c r="E6682" s="31"/>
      <c r="G6682" s="43"/>
      <c r="H6682" s="2"/>
    </row>
    <row r="6683" spans="1:8">
      <c r="A6683" s="39">
        <v>2.88390074092199</v>
      </c>
      <c r="B6683" s="45">
        <v>19.4</v>
      </c>
      <c r="D6683" s="2"/>
      <c r="E6683" s="31"/>
      <c r="G6683" s="43"/>
      <c r="H6683" s="2"/>
    </row>
    <row r="6684" spans="1:8">
      <c r="A6684" s="39">
        <v>2.88359512592687</v>
      </c>
      <c r="B6684" s="45">
        <v>8.2</v>
      </c>
      <c r="D6684" s="2"/>
      <c r="E6684" s="31"/>
      <c r="G6684" s="43"/>
      <c r="H6684" s="2"/>
    </row>
    <row r="6685" spans="1:8">
      <c r="A6685" s="39">
        <v>2.88307701847922</v>
      </c>
      <c r="B6685" s="45">
        <v>9</v>
      </c>
      <c r="D6685" s="2"/>
      <c r="E6685" s="31"/>
      <c r="G6685" s="43"/>
      <c r="H6685" s="2"/>
    </row>
    <row r="6686" spans="1:8">
      <c r="A6686" s="39">
        <v>2.88280488979809</v>
      </c>
      <c r="B6686" s="45">
        <v>7</v>
      </c>
      <c r="D6686" s="2"/>
      <c r="E6686" s="31"/>
      <c r="G6686" s="43"/>
      <c r="H6686" s="2"/>
    </row>
    <row r="6687" spans="1:8">
      <c r="A6687" s="39">
        <v>2.88256270016729</v>
      </c>
      <c r="B6687" s="45">
        <v>5.4</v>
      </c>
      <c r="D6687" s="2"/>
      <c r="E6687" s="31"/>
      <c r="G6687" s="43"/>
      <c r="H6687" s="2"/>
    </row>
    <row r="6688" spans="1:8">
      <c r="A6688" s="39">
        <v>2.88240371698028</v>
      </c>
      <c r="B6688" s="45">
        <v>17.3</v>
      </c>
      <c r="D6688" s="2"/>
      <c r="E6688" s="31"/>
      <c r="G6688" s="43"/>
      <c r="H6688" s="2"/>
    </row>
    <row r="6689" spans="1:8">
      <c r="A6689" s="39">
        <v>2.88158838667129</v>
      </c>
      <c r="B6689" s="45">
        <v>1.2</v>
      </c>
      <c r="D6689" s="2"/>
      <c r="E6689" s="31"/>
      <c r="G6689" s="43"/>
      <c r="H6689" s="2"/>
    </row>
    <row r="6690" spans="1:8">
      <c r="A6690" s="39">
        <v>2.88158838667129</v>
      </c>
      <c r="B6690" s="45">
        <v>14</v>
      </c>
      <c r="D6690" s="2"/>
      <c r="E6690" s="31"/>
      <c r="G6690" s="43"/>
      <c r="H6690" s="2"/>
    </row>
    <row r="6691" spans="1:8">
      <c r="A6691" s="39">
        <v>2.88158838667129</v>
      </c>
      <c r="B6691" s="45">
        <v>7.7</v>
      </c>
      <c r="D6691" s="2"/>
      <c r="E6691" s="31"/>
      <c r="G6691" s="43"/>
      <c r="H6691" s="2"/>
    </row>
    <row r="6692" spans="1:8">
      <c r="A6692" s="39">
        <v>2.88105711398239</v>
      </c>
      <c r="B6692" s="45">
        <v>14</v>
      </c>
      <c r="D6692" s="2"/>
      <c r="E6692" s="31"/>
      <c r="G6692" s="43"/>
      <c r="H6692" s="2"/>
    </row>
    <row r="6693" spans="1:8">
      <c r="A6693" s="39">
        <v>2.88021946107192</v>
      </c>
      <c r="B6693" s="45">
        <v>11.75</v>
      </c>
      <c r="D6693" s="2"/>
      <c r="E6693" s="31"/>
      <c r="G6693" s="43"/>
      <c r="H6693" s="2"/>
    </row>
    <row r="6694" spans="1:8">
      <c r="A6694" s="39">
        <v>2.87974769753041</v>
      </c>
      <c r="B6694" s="45">
        <v>9.6</v>
      </c>
      <c r="D6694" s="2"/>
      <c r="E6694" s="31"/>
      <c r="G6694" s="43"/>
      <c r="H6694" s="2"/>
    </row>
    <row r="6695" spans="1:8">
      <c r="A6695" s="39">
        <v>2.8797105109845</v>
      </c>
      <c r="B6695" s="45">
        <v>9.5</v>
      </c>
      <c r="D6695" s="2"/>
      <c r="E6695" s="31"/>
      <c r="G6695" s="43"/>
      <c r="H6695" s="2"/>
    </row>
    <row r="6696" spans="1:8">
      <c r="A6696" s="39">
        <v>2.87902006566361</v>
      </c>
      <c r="B6696" s="45">
        <v>8</v>
      </c>
      <c r="D6696" s="2"/>
      <c r="E6696" s="31"/>
      <c r="G6696" s="43"/>
      <c r="H6696" s="2"/>
    </row>
    <row r="6697" spans="1:8">
      <c r="A6697" s="39">
        <v>2.87827224472112</v>
      </c>
      <c r="B6697" s="45">
        <v>9.5</v>
      </c>
      <c r="D6697" s="2"/>
      <c r="E6697" s="31"/>
      <c r="G6697" s="43"/>
      <c r="H6697" s="2"/>
    </row>
    <row r="6698" spans="1:8">
      <c r="A6698" s="39">
        <v>2.87680323159884</v>
      </c>
      <c r="B6698" s="45">
        <v>7.5</v>
      </c>
      <c r="D6698" s="2"/>
      <c r="E6698" s="31"/>
      <c r="G6698" s="43"/>
      <c r="H6698" s="2"/>
    </row>
    <row r="6699" spans="1:8">
      <c r="A6699" s="39">
        <v>2.8767971470735</v>
      </c>
      <c r="B6699" s="45">
        <v>9.5</v>
      </c>
      <c r="D6699" s="2"/>
      <c r="E6699" s="31"/>
      <c r="G6699" s="43"/>
      <c r="H6699" s="2"/>
    </row>
    <row r="6700" spans="1:8">
      <c r="A6700" s="39">
        <v>2.87634722477619</v>
      </c>
      <c r="B6700" s="45">
        <v>1.85</v>
      </c>
      <c r="D6700" s="2"/>
      <c r="E6700" s="31"/>
      <c r="G6700" s="43"/>
      <c r="H6700" s="2"/>
    </row>
    <row r="6701" spans="1:8">
      <c r="A6701" s="39">
        <v>2.87625471458774</v>
      </c>
      <c r="B6701" s="45">
        <v>18.2</v>
      </c>
      <c r="D6701" s="2"/>
      <c r="E6701" s="31"/>
      <c r="G6701" s="43"/>
      <c r="H6701" s="2"/>
    </row>
    <row r="6702" spans="1:8">
      <c r="A6702" s="39">
        <v>2.87622894423431</v>
      </c>
      <c r="B6702" s="45">
        <v>14.7</v>
      </c>
      <c r="D6702" s="2"/>
      <c r="E6702" s="31"/>
      <c r="G6702" s="43"/>
      <c r="H6702" s="2"/>
    </row>
    <row r="6703" spans="1:8">
      <c r="A6703" s="39">
        <v>2.87611268427382</v>
      </c>
      <c r="B6703" s="45">
        <v>5</v>
      </c>
      <c r="D6703" s="2"/>
      <c r="E6703" s="31"/>
      <c r="G6703" s="43"/>
      <c r="H6703" s="2"/>
    </row>
    <row r="6704" spans="1:8">
      <c r="A6704" s="39">
        <v>2.87598549332948</v>
      </c>
      <c r="B6704" s="45">
        <v>9</v>
      </c>
      <c r="D6704" s="2"/>
      <c r="E6704" s="31"/>
      <c r="G6704" s="43"/>
      <c r="H6704" s="2"/>
    </row>
    <row r="6705" spans="1:8">
      <c r="A6705" s="39">
        <v>2.87567070199084</v>
      </c>
      <c r="B6705" s="45">
        <v>15.7</v>
      </c>
      <c r="D6705" s="2"/>
      <c r="E6705" s="31"/>
      <c r="G6705" s="43"/>
      <c r="H6705" s="2"/>
    </row>
    <row r="6706" spans="1:8">
      <c r="A6706" s="39">
        <v>2.87444500540036</v>
      </c>
      <c r="B6706" s="45">
        <v>6.7</v>
      </c>
      <c r="D6706" s="2"/>
      <c r="E6706" s="31"/>
      <c r="G6706" s="43"/>
      <c r="H6706" s="2"/>
    </row>
    <row r="6707" spans="1:8">
      <c r="A6707" s="39">
        <v>2.87379142536275</v>
      </c>
      <c r="B6707" s="45">
        <v>5.7</v>
      </c>
      <c r="D6707" s="2"/>
      <c r="E6707" s="31"/>
      <c r="G6707" s="43"/>
      <c r="H6707" s="2"/>
    </row>
    <row r="6708" spans="1:8">
      <c r="A6708" s="39">
        <v>2.87334352560536</v>
      </c>
      <c r="B6708" s="45">
        <v>13</v>
      </c>
      <c r="D6708" s="2"/>
      <c r="E6708" s="31"/>
      <c r="G6708" s="43"/>
      <c r="H6708" s="2"/>
    </row>
    <row r="6709" spans="1:8">
      <c r="A6709" s="39">
        <v>2.87276611518359</v>
      </c>
      <c r="B6709" s="45">
        <v>12</v>
      </c>
      <c r="D6709" s="2"/>
      <c r="E6709" s="31"/>
      <c r="G6709" s="43"/>
      <c r="H6709" s="2"/>
    </row>
    <row r="6710" spans="1:8">
      <c r="A6710" s="39">
        <v>2.87271454025206</v>
      </c>
      <c r="B6710" s="45">
        <v>8.1</v>
      </c>
      <c r="D6710" s="2"/>
      <c r="E6710" s="31"/>
      <c r="G6710" s="43"/>
      <c r="H6710" s="2"/>
    </row>
    <row r="6711" spans="1:8">
      <c r="A6711" s="39">
        <v>2.8718968019827</v>
      </c>
      <c r="B6711" s="45">
        <v>14.9</v>
      </c>
      <c r="D6711" s="2"/>
      <c r="E6711" s="31"/>
      <c r="G6711" s="43"/>
      <c r="H6711" s="2"/>
    </row>
    <row r="6712" spans="1:8">
      <c r="A6712" s="39">
        <v>2.87132144467603</v>
      </c>
      <c r="B6712" s="45">
        <v>1.2</v>
      </c>
      <c r="D6712" s="2"/>
      <c r="E6712" s="31"/>
      <c r="G6712" s="43"/>
      <c r="H6712" s="2"/>
    </row>
    <row r="6713" spans="1:8">
      <c r="A6713" s="39">
        <v>2.87130268961976</v>
      </c>
      <c r="B6713" s="45">
        <v>10.5</v>
      </c>
      <c r="D6713" s="2"/>
      <c r="E6713" s="31"/>
      <c r="G6713" s="43"/>
      <c r="H6713" s="2"/>
    </row>
    <row r="6714" spans="1:8">
      <c r="A6714" s="39">
        <v>2.87123662447003</v>
      </c>
      <c r="B6714" s="45">
        <v>17</v>
      </c>
      <c r="D6714" s="2"/>
      <c r="E6714" s="31"/>
      <c r="G6714" s="43"/>
      <c r="H6714" s="2"/>
    </row>
    <row r="6715" spans="1:8">
      <c r="A6715" s="39">
        <v>2.87123662447003</v>
      </c>
      <c r="B6715" s="45">
        <v>11</v>
      </c>
      <c r="D6715" s="2"/>
      <c r="E6715" s="31"/>
      <c r="G6715" s="43"/>
      <c r="H6715" s="2"/>
    </row>
    <row r="6716" spans="1:8">
      <c r="A6716" s="39">
        <v>2.86848768698288</v>
      </c>
      <c r="B6716" s="45">
        <v>8</v>
      </c>
      <c r="D6716" s="2"/>
      <c r="E6716" s="31"/>
      <c r="G6716" s="43"/>
      <c r="H6716" s="2"/>
    </row>
    <row r="6717" spans="1:8">
      <c r="A6717" s="39">
        <v>2.86842237636959</v>
      </c>
      <c r="B6717" s="45">
        <v>8.6</v>
      </c>
      <c r="D6717" s="2"/>
      <c r="E6717" s="31"/>
      <c r="G6717" s="43"/>
      <c r="H6717" s="2"/>
    </row>
    <row r="6718" spans="1:8">
      <c r="A6718" s="39">
        <v>2.8682489448862</v>
      </c>
      <c r="B6718" s="45">
        <v>6.6</v>
      </c>
      <c r="D6718" s="2"/>
      <c r="E6718" s="31"/>
      <c r="G6718" s="43"/>
      <c r="H6718" s="2"/>
    </row>
    <row r="6719" spans="1:8">
      <c r="A6719" s="39">
        <v>2.8677150961564</v>
      </c>
      <c r="B6719" s="45">
        <v>25</v>
      </c>
      <c r="D6719" s="2"/>
      <c r="E6719" s="31"/>
      <c r="G6719" s="43"/>
      <c r="H6719" s="2"/>
    </row>
    <row r="6720" spans="1:8">
      <c r="A6720" s="39">
        <v>2.86701525231937</v>
      </c>
      <c r="B6720" s="45">
        <v>9.8</v>
      </c>
      <c r="D6720" s="2"/>
      <c r="E6720" s="31"/>
      <c r="G6720" s="43"/>
      <c r="H6720" s="2"/>
    </row>
    <row r="6721" spans="1:8">
      <c r="A6721" s="39">
        <v>2.86699037236655</v>
      </c>
      <c r="B6721" s="45">
        <v>5.5</v>
      </c>
      <c r="D6721" s="2"/>
      <c r="E6721" s="31"/>
      <c r="G6721" s="43"/>
      <c r="H6721" s="2"/>
    </row>
    <row r="6722" spans="1:8">
      <c r="A6722" s="39">
        <v>2.86699037236655</v>
      </c>
      <c r="B6722" s="45">
        <v>9.9</v>
      </c>
      <c r="D6722" s="2"/>
      <c r="E6722" s="31"/>
      <c r="G6722" s="43"/>
      <c r="H6722" s="2"/>
    </row>
    <row r="6723" spans="1:8">
      <c r="A6723" s="39">
        <v>2.86624448100562</v>
      </c>
      <c r="B6723" s="45">
        <v>15.2</v>
      </c>
      <c r="D6723" s="2"/>
      <c r="E6723" s="31"/>
      <c r="G6723" s="43"/>
      <c r="H6723" s="2"/>
    </row>
    <row r="6724" spans="1:8">
      <c r="A6724" s="39">
        <v>2.865672684346</v>
      </c>
      <c r="B6724" s="45">
        <v>9.5</v>
      </c>
      <c r="D6724" s="2"/>
      <c r="E6724" s="31"/>
      <c r="G6724" s="43"/>
      <c r="H6724" s="2"/>
    </row>
    <row r="6725" spans="1:8">
      <c r="A6725" s="39">
        <v>2.86560389599839</v>
      </c>
      <c r="B6725" s="45">
        <v>7.6</v>
      </c>
      <c r="D6725" s="2"/>
      <c r="E6725" s="31"/>
      <c r="G6725" s="43"/>
      <c r="H6725" s="2"/>
    </row>
    <row r="6726" spans="1:8">
      <c r="A6726" s="39">
        <v>2.86560389599839</v>
      </c>
      <c r="B6726" s="45">
        <v>10</v>
      </c>
      <c r="D6726" s="2"/>
      <c r="E6726" s="31"/>
      <c r="G6726" s="43"/>
      <c r="H6726" s="2"/>
    </row>
    <row r="6727" spans="1:8">
      <c r="A6727" s="39">
        <v>2.86560389599839</v>
      </c>
      <c r="B6727" s="45">
        <v>7.8</v>
      </c>
      <c r="D6727" s="2"/>
      <c r="E6727" s="31"/>
      <c r="G6727" s="43"/>
      <c r="H6727" s="2"/>
    </row>
    <row r="6728" spans="1:8">
      <c r="A6728" s="39">
        <v>2.86553266457637</v>
      </c>
      <c r="B6728" s="45">
        <v>12.2</v>
      </c>
      <c r="D6728" s="2"/>
      <c r="E6728" s="31"/>
      <c r="G6728" s="43"/>
      <c r="H6728" s="2"/>
    </row>
    <row r="6729" spans="1:8">
      <c r="A6729" s="39">
        <v>2.86533775590383</v>
      </c>
      <c r="B6729" s="45">
        <v>12</v>
      </c>
      <c r="D6729" s="2"/>
      <c r="E6729" s="31"/>
      <c r="G6729" s="43"/>
      <c r="H6729" s="2"/>
    </row>
    <row r="6730" spans="1:8">
      <c r="A6730" s="39">
        <v>2.86345523024283</v>
      </c>
      <c r="B6730" s="45">
        <v>8.5</v>
      </c>
      <c r="D6730" s="2"/>
      <c r="E6730" s="31"/>
      <c r="G6730" s="43"/>
      <c r="H6730" s="2"/>
    </row>
    <row r="6731" spans="1:8">
      <c r="A6731" s="39">
        <v>2.86310789107982</v>
      </c>
      <c r="B6731" s="45">
        <v>5.8</v>
      </c>
      <c r="D6731" s="2"/>
      <c r="E6731" s="31"/>
      <c r="G6731" s="43"/>
      <c r="H6731" s="2"/>
    </row>
    <row r="6732" spans="1:8">
      <c r="A6732" s="39">
        <v>2.86290168101977</v>
      </c>
      <c r="B6732" s="45">
        <v>8</v>
      </c>
      <c r="D6732" s="2"/>
      <c r="E6732" s="31"/>
      <c r="G6732" s="43"/>
      <c r="H6732" s="2"/>
    </row>
    <row r="6733" spans="1:8">
      <c r="A6733" s="39">
        <v>2.86285768170912</v>
      </c>
      <c r="B6733" s="45">
        <v>7</v>
      </c>
      <c r="D6733" s="2"/>
      <c r="E6733" s="31"/>
      <c r="G6733" s="43"/>
      <c r="H6733" s="2"/>
    </row>
    <row r="6734" spans="1:8">
      <c r="A6734" s="39">
        <v>2.8621539310499</v>
      </c>
      <c r="B6734" s="45">
        <v>21.2</v>
      </c>
      <c r="D6734" s="2"/>
      <c r="E6734" s="31"/>
      <c r="G6734" s="43"/>
      <c r="H6734" s="2"/>
    </row>
    <row r="6735" spans="1:8">
      <c r="A6735" s="39">
        <v>2.86169876967586</v>
      </c>
      <c r="B6735" s="45">
        <v>8.7</v>
      </c>
      <c r="D6735" s="2"/>
      <c r="E6735" s="31"/>
      <c r="G6735" s="43"/>
      <c r="H6735" s="2"/>
    </row>
    <row r="6736" spans="1:8">
      <c r="A6736" s="39">
        <v>2.86169876967586</v>
      </c>
      <c r="B6736" s="45">
        <v>9.5</v>
      </c>
      <c r="D6736" s="2"/>
      <c r="E6736" s="31"/>
      <c r="G6736" s="43"/>
      <c r="H6736" s="2"/>
    </row>
    <row r="6737" spans="1:8">
      <c r="A6737" s="39">
        <v>2.86169876967586</v>
      </c>
      <c r="B6737" s="45">
        <v>12</v>
      </c>
      <c r="D6737" s="2"/>
      <c r="E6737" s="31"/>
      <c r="G6737" s="43"/>
      <c r="H6737" s="2"/>
    </row>
    <row r="6738" spans="1:8">
      <c r="A6738" s="39">
        <v>2.86097097243026</v>
      </c>
      <c r="B6738" s="45">
        <v>8.8</v>
      </c>
      <c r="D6738" s="2"/>
      <c r="E6738" s="31"/>
      <c r="G6738" s="43"/>
      <c r="H6738" s="2"/>
    </row>
    <row r="6739" spans="1:8">
      <c r="A6739" s="39">
        <v>2.8604484662117</v>
      </c>
      <c r="B6739" s="45">
        <v>6.8</v>
      </c>
      <c r="D6739" s="2"/>
      <c r="E6739" s="31"/>
      <c r="G6739" s="43"/>
      <c r="H6739" s="2"/>
    </row>
    <row r="6740" spans="1:8">
      <c r="A6740" s="39">
        <v>2.85963072794234</v>
      </c>
      <c r="B6740" s="45">
        <v>6</v>
      </c>
      <c r="D6740" s="2"/>
      <c r="E6740" s="31"/>
      <c r="G6740" s="43"/>
      <c r="H6740" s="2"/>
    </row>
    <row r="6741" spans="1:8">
      <c r="A6741" s="39">
        <v>2.85951146601618</v>
      </c>
      <c r="B6741" s="45">
        <v>4</v>
      </c>
      <c r="D6741" s="2"/>
      <c r="E6741" s="31"/>
      <c r="G6741" s="43"/>
      <c r="H6741" s="2"/>
    </row>
    <row r="6742" spans="1:8">
      <c r="A6742" s="39">
        <v>2.85941266453537</v>
      </c>
      <c r="B6742" s="45">
        <v>6</v>
      </c>
      <c r="D6742" s="2"/>
      <c r="E6742" s="31"/>
      <c r="G6742" s="43"/>
      <c r="H6742" s="2"/>
    </row>
    <row r="6743" spans="1:8">
      <c r="A6743" s="39">
        <v>2.85898536983629</v>
      </c>
      <c r="B6743" s="45">
        <v>12.7</v>
      </c>
      <c r="D6743" s="2"/>
      <c r="E6743" s="31"/>
      <c r="G6743" s="43"/>
      <c r="H6743" s="2"/>
    </row>
    <row r="6744" spans="1:8">
      <c r="A6744" s="39">
        <v>2.85898536983629</v>
      </c>
      <c r="B6744" s="45">
        <v>10.4</v>
      </c>
      <c r="D6744" s="2"/>
      <c r="E6744" s="31"/>
      <c r="G6744" s="43"/>
      <c r="H6744" s="2"/>
    </row>
    <row r="6745" spans="1:8">
      <c r="A6745" s="39">
        <v>2.85863517775379</v>
      </c>
      <c r="B6745" s="45">
        <v>14</v>
      </c>
      <c r="D6745" s="2"/>
      <c r="E6745" s="31"/>
      <c r="G6745" s="43"/>
      <c r="H6745" s="2"/>
    </row>
    <row r="6746" spans="1:8">
      <c r="A6746" s="39">
        <v>2.85816486301829</v>
      </c>
      <c r="B6746" s="45">
        <v>10</v>
      </c>
      <c r="D6746" s="2"/>
      <c r="E6746" s="31"/>
      <c r="G6746" s="43"/>
      <c r="H6746" s="2"/>
    </row>
    <row r="6747" spans="1:8">
      <c r="A6747" s="39">
        <v>2.85799525140362</v>
      </c>
      <c r="B6747" s="45">
        <v>6.2</v>
      </c>
      <c r="D6747" s="2"/>
      <c r="E6747" s="31"/>
      <c r="G6747" s="43"/>
      <c r="H6747" s="2"/>
    </row>
    <row r="6748" spans="1:8">
      <c r="A6748" s="39">
        <v>2.85772545489467</v>
      </c>
      <c r="B6748" s="45">
        <v>5.7</v>
      </c>
      <c r="D6748" s="2"/>
      <c r="E6748" s="31"/>
      <c r="G6748" s="43"/>
      <c r="H6748" s="2"/>
    </row>
    <row r="6749" spans="1:8">
      <c r="A6749" s="39">
        <v>2.85607546106292</v>
      </c>
      <c r="B6749" s="45">
        <v>3</v>
      </c>
      <c r="D6749" s="2"/>
      <c r="E6749" s="31"/>
      <c r="G6749" s="43"/>
      <c r="H6749" s="2"/>
    </row>
    <row r="6750" spans="1:8">
      <c r="A6750" s="39">
        <v>2.85462050667623</v>
      </c>
      <c r="B6750" s="45">
        <v>9</v>
      </c>
      <c r="D6750" s="2"/>
      <c r="E6750" s="31"/>
      <c r="G6750" s="43"/>
      <c r="H6750" s="2"/>
    </row>
    <row r="6751" spans="1:8">
      <c r="A6751" s="39">
        <v>2.85442079721992</v>
      </c>
      <c r="B6751" s="45">
        <v>3.8</v>
      </c>
      <c r="D6751" s="2"/>
      <c r="E6751" s="31"/>
      <c r="G6751" s="43"/>
      <c r="H6751" s="2"/>
    </row>
    <row r="6752" spans="1:8">
      <c r="A6752" s="39">
        <v>2.85284094908455</v>
      </c>
      <c r="B6752" s="45">
        <v>2</v>
      </c>
      <c r="D6752" s="2"/>
      <c r="E6752" s="31"/>
      <c r="G6752" s="43"/>
      <c r="H6752" s="2"/>
    </row>
    <row r="6753" spans="1:8">
      <c r="A6753" s="39">
        <v>2.85277845102673</v>
      </c>
      <c r="B6753" s="45">
        <v>4</v>
      </c>
      <c r="D6753" s="2"/>
      <c r="E6753" s="31"/>
      <c r="G6753" s="43"/>
      <c r="H6753" s="2"/>
    </row>
    <row r="6754" spans="1:8">
      <c r="A6754" s="39">
        <v>2.85159767116159</v>
      </c>
      <c r="B6754" s="45">
        <v>10.5</v>
      </c>
      <c r="D6754" s="2"/>
      <c r="E6754" s="31"/>
      <c r="G6754" s="43"/>
      <c r="H6754" s="2"/>
    </row>
    <row r="6755" spans="1:8">
      <c r="A6755" s="39">
        <v>2.85159767116159</v>
      </c>
      <c r="B6755" s="45">
        <v>12.9</v>
      </c>
      <c r="D6755" s="2"/>
      <c r="E6755" s="31"/>
      <c r="G6755" s="43"/>
      <c r="H6755" s="2"/>
    </row>
    <row r="6756" spans="1:8">
      <c r="A6756" s="39">
        <v>2.85145334524877</v>
      </c>
      <c r="B6756" s="45">
        <v>4.4</v>
      </c>
      <c r="D6756" s="2"/>
      <c r="E6756" s="31"/>
      <c r="G6756" s="43"/>
      <c r="H6756" s="2"/>
    </row>
    <row r="6757" spans="1:8">
      <c r="A6757" s="39">
        <v>2.85026254400886</v>
      </c>
      <c r="B6757" s="45">
        <v>6.4</v>
      </c>
      <c r="D6757" s="2"/>
      <c r="E6757" s="31"/>
      <c r="G6757" s="43"/>
      <c r="H6757" s="2"/>
    </row>
    <row r="6758" spans="1:8">
      <c r="A6758" s="39">
        <v>2.85012976371675</v>
      </c>
      <c r="B6758" s="45">
        <v>21</v>
      </c>
      <c r="D6758" s="2"/>
      <c r="E6758" s="31"/>
      <c r="G6758" s="43"/>
      <c r="H6758" s="2"/>
    </row>
    <row r="6759" spans="1:8">
      <c r="A6759" s="39">
        <v>2.85005401374635</v>
      </c>
      <c r="B6759" s="45">
        <v>1</v>
      </c>
      <c r="D6759" s="2"/>
      <c r="E6759" s="31"/>
      <c r="G6759" s="43"/>
      <c r="H6759" s="2"/>
    </row>
    <row r="6760" spans="1:8">
      <c r="A6760" s="39">
        <v>2.84981786871005</v>
      </c>
      <c r="B6760" s="45">
        <v>6.2</v>
      </c>
      <c r="D6760" s="2"/>
      <c r="E6760" s="31"/>
      <c r="G6760" s="43"/>
      <c r="H6760" s="2"/>
    </row>
    <row r="6761" spans="1:8">
      <c r="A6761" s="39">
        <v>2.84981786871005</v>
      </c>
      <c r="B6761" s="45">
        <v>10.6</v>
      </c>
      <c r="D6761" s="2"/>
      <c r="E6761" s="31"/>
      <c r="G6761" s="43"/>
      <c r="H6761" s="2"/>
    </row>
    <row r="6762" spans="1:8">
      <c r="A6762" s="39">
        <v>2.84960896397125</v>
      </c>
      <c r="B6762" s="45">
        <v>6</v>
      </c>
      <c r="D6762" s="2"/>
      <c r="E6762" s="31"/>
      <c r="G6762" s="43"/>
      <c r="H6762" s="2"/>
    </row>
    <row r="6763" spans="1:8">
      <c r="A6763" s="39">
        <v>2.84941863508613</v>
      </c>
      <c r="B6763" s="45">
        <v>7.9</v>
      </c>
      <c r="D6763" s="2"/>
      <c r="E6763" s="31"/>
      <c r="G6763" s="43"/>
      <c r="H6763" s="2"/>
    </row>
    <row r="6764" spans="1:8">
      <c r="A6764" s="39">
        <v>2.84941194353201</v>
      </c>
      <c r="B6764" s="45">
        <v>4</v>
      </c>
      <c r="D6764" s="2"/>
      <c r="E6764" s="31"/>
      <c r="G6764" s="43"/>
      <c r="H6764" s="2"/>
    </row>
    <row r="6765" spans="1:8">
      <c r="A6765" s="39">
        <v>2.84941194353201</v>
      </c>
      <c r="B6765" s="45">
        <v>14</v>
      </c>
      <c r="D6765" s="2"/>
      <c r="E6765" s="31"/>
      <c r="G6765" s="43"/>
      <c r="H6765" s="2"/>
    </row>
    <row r="6766" spans="1:8">
      <c r="A6766" s="39">
        <v>2.84818239217134</v>
      </c>
      <c r="B6766" s="45">
        <v>8.5</v>
      </c>
      <c r="D6766" s="2"/>
      <c r="E6766" s="31"/>
      <c r="G6766" s="43"/>
      <c r="H6766" s="2"/>
    </row>
    <row r="6767" spans="1:8">
      <c r="A6767" s="39">
        <v>2.84731551561632</v>
      </c>
      <c r="B6767" s="45">
        <v>11.1</v>
      </c>
      <c r="D6767" s="2"/>
      <c r="E6767" s="31"/>
      <c r="G6767" s="43"/>
      <c r="H6767" s="2"/>
    </row>
    <row r="6768" spans="1:8">
      <c r="A6768" s="39">
        <v>2.84699464382082</v>
      </c>
      <c r="B6768" s="45">
        <v>7</v>
      </c>
      <c r="D6768" s="2"/>
      <c r="E6768" s="31"/>
      <c r="G6768" s="43"/>
      <c r="H6768" s="2"/>
    </row>
    <row r="6769" spans="1:8">
      <c r="A6769" s="39">
        <v>2.84516330316278</v>
      </c>
      <c r="B6769" s="45">
        <v>6</v>
      </c>
      <c r="D6769" s="2"/>
      <c r="E6769" s="31"/>
      <c r="G6769" s="43"/>
      <c r="H6769" s="2"/>
    </row>
    <row r="6770" spans="1:8">
      <c r="A6770" s="39">
        <v>2.84438032367039</v>
      </c>
      <c r="B6770" s="45">
        <v>7</v>
      </c>
      <c r="D6770" s="2"/>
      <c r="E6770" s="31"/>
      <c r="G6770" s="43"/>
      <c r="H6770" s="2"/>
    </row>
    <row r="6771" spans="1:8">
      <c r="A6771" s="39">
        <v>2.84409370082455</v>
      </c>
      <c r="B6771" s="45">
        <v>10</v>
      </c>
      <c r="D6771" s="2"/>
      <c r="E6771" s="31"/>
      <c r="G6771" s="43"/>
      <c r="H6771" s="2"/>
    </row>
    <row r="6772" spans="1:8">
      <c r="A6772" s="39">
        <v>2.84350383853601</v>
      </c>
      <c r="B6772" s="45">
        <v>3</v>
      </c>
      <c r="D6772" s="2"/>
      <c r="E6772" s="31"/>
      <c r="G6772" s="43"/>
      <c r="H6772" s="2"/>
    </row>
    <row r="6773" spans="1:8">
      <c r="A6773" s="39">
        <v>2.84350383853601</v>
      </c>
      <c r="B6773" s="45">
        <v>6.8</v>
      </c>
      <c r="D6773" s="2"/>
      <c r="E6773" s="31"/>
      <c r="G6773" s="43"/>
      <c r="H6773" s="2"/>
    </row>
    <row r="6774" spans="1:8">
      <c r="A6774" s="39">
        <v>2.84350383853601</v>
      </c>
      <c r="B6774" s="45">
        <v>10.7</v>
      </c>
      <c r="D6774" s="2"/>
      <c r="E6774" s="31"/>
      <c r="G6774" s="43"/>
      <c r="H6774" s="2"/>
    </row>
    <row r="6775" spans="1:8">
      <c r="A6775" s="39">
        <v>2.84327596255519</v>
      </c>
      <c r="B6775" s="45">
        <v>4.5</v>
      </c>
      <c r="D6775" s="2"/>
      <c r="E6775" s="31"/>
      <c r="G6775" s="43"/>
      <c r="H6775" s="2"/>
    </row>
    <row r="6776" spans="1:8">
      <c r="A6776" s="39">
        <v>2.84307316359517</v>
      </c>
      <c r="B6776" s="45">
        <v>10</v>
      </c>
      <c r="D6776" s="2"/>
      <c r="E6776" s="31"/>
      <c r="G6776" s="43"/>
      <c r="H6776" s="2"/>
    </row>
    <row r="6777" spans="1:8">
      <c r="A6777" s="39">
        <v>2.84277604129041</v>
      </c>
      <c r="B6777" s="45">
        <v>9</v>
      </c>
      <c r="D6777" s="2"/>
      <c r="E6777" s="31"/>
      <c r="G6777" s="43"/>
      <c r="H6777" s="2"/>
    </row>
    <row r="6778" spans="1:8">
      <c r="A6778" s="39">
        <v>2.84133523840289</v>
      </c>
      <c r="B6778" s="45">
        <v>5.3</v>
      </c>
      <c r="D6778" s="2"/>
      <c r="E6778" s="31"/>
      <c r="G6778" s="43"/>
      <c r="H6778" s="2"/>
    </row>
    <row r="6779" spans="1:8">
      <c r="A6779" s="39">
        <v>2.84111242348234</v>
      </c>
      <c r="B6779" s="45">
        <v>9</v>
      </c>
      <c r="D6779" s="2"/>
      <c r="E6779" s="31"/>
      <c r="G6779" s="43"/>
      <c r="H6779" s="2"/>
    </row>
    <row r="6780" spans="1:8">
      <c r="A6780" s="39">
        <v>2.84079844000272</v>
      </c>
      <c r="B6780" s="45">
        <v>22.6</v>
      </c>
      <c r="D6780" s="2"/>
      <c r="E6780" s="31"/>
      <c r="G6780" s="43"/>
      <c r="H6780" s="2"/>
    </row>
    <row r="6781" spans="1:8">
      <c r="A6781" s="39">
        <v>2.84027989536523</v>
      </c>
      <c r="B6781" s="45">
        <v>13.5</v>
      </c>
      <c r="D6781" s="2"/>
      <c r="E6781" s="31"/>
      <c r="G6781" s="43"/>
      <c r="H6781" s="2"/>
    </row>
    <row r="6782" spans="1:8">
      <c r="A6782" s="39">
        <v>2.84007096280938</v>
      </c>
      <c r="B6782" s="45">
        <v>9</v>
      </c>
      <c r="D6782" s="2"/>
      <c r="E6782" s="31"/>
      <c r="G6782" s="43"/>
      <c r="H6782" s="2"/>
    </row>
    <row r="6783" spans="1:8">
      <c r="A6783" s="39">
        <v>2.84000500947776</v>
      </c>
      <c r="B6783" s="45">
        <v>6.7</v>
      </c>
      <c r="D6783" s="2"/>
      <c r="E6783" s="31"/>
      <c r="G6783" s="43"/>
      <c r="H6783" s="2"/>
    </row>
    <row r="6784" spans="1:8">
      <c r="A6784" s="39">
        <v>2.83887277131501</v>
      </c>
      <c r="B6784" s="45">
        <v>9</v>
      </c>
      <c r="D6784" s="2"/>
      <c r="E6784" s="31"/>
      <c r="G6784" s="43"/>
      <c r="H6784" s="2"/>
    </row>
    <row r="6785" spans="1:8">
      <c r="A6785" s="39">
        <v>2.83836953293905</v>
      </c>
      <c r="B6785" s="45">
        <v>2</v>
      </c>
      <c r="D6785" s="2"/>
      <c r="E6785" s="31"/>
      <c r="G6785" s="43"/>
      <c r="H6785" s="2"/>
    </row>
    <row r="6786" spans="1:8">
      <c r="A6786" s="39">
        <v>2.83788853122935</v>
      </c>
      <c r="B6786" s="45">
        <v>0.4</v>
      </c>
      <c r="D6786" s="2"/>
      <c r="E6786" s="31"/>
      <c r="G6786" s="43"/>
      <c r="H6786" s="2"/>
    </row>
    <row r="6787" spans="1:8">
      <c r="A6787" s="39">
        <v>2.83788853122935</v>
      </c>
      <c r="B6787" s="45">
        <v>8.9</v>
      </c>
      <c r="D6787" s="2"/>
      <c r="E6787" s="31"/>
      <c r="G6787" s="43"/>
      <c r="H6787" s="2"/>
    </row>
    <row r="6788" spans="1:8">
      <c r="A6788" s="39">
        <v>2.83788853122935</v>
      </c>
      <c r="B6788" s="45">
        <v>9.3</v>
      </c>
      <c r="D6788" s="2"/>
      <c r="E6788" s="31"/>
      <c r="G6788" s="43"/>
      <c r="H6788" s="2"/>
    </row>
    <row r="6789" spans="1:8">
      <c r="A6789" s="39">
        <v>2.83788853122935</v>
      </c>
      <c r="B6789" s="45">
        <v>10</v>
      </c>
      <c r="D6789" s="2"/>
      <c r="E6789" s="31"/>
      <c r="G6789" s="43"/>
      <c r="H6789" s="2"/>
    </row>
    <row r="6790" spans="1:8">
      <c r="A6790" s="39">
        <v>2.8378445232943</v>
      </c>
      <c r="B6790" s="45">
        <v>6</v>
      </c>
      <c r="D6790" s="2"/>
      <c r="E6790" s="31"/>
      <c r="G6790" s="43"/>
      <c r="H6790" s="2"/>
    </row>
    <row r="6791" spans="1:8">
      <c r="A6791" s="39">
        <v>2.83781742827735</v>
      </c>
      <c r="B6791" s="45">
        <v>0</v>
      </c>
      <c r="D6791" s="2"/>
      <c r="E6791" s="31"/>
      <c r="G6791" s="43"/>
      <c r="H6791" s="2"/>
    </row>
    <row r="6792" spans="1:8">
      <c r="A6792" s="39">
        <v>2.83755179466969</v>
      </c>
      <c r="B6792" s="45">
        <v>5.6</v>
      </c>
      <c r="D6792" s="2"/>
      <c r="E6792" s="31"/>
      <c r="G6792" s="43"/>
      <c r="H6792" s="2"/>
    </row>
    <row r="6793" spans="1:8">
      <c r="A6793" s="39">
        <v>2.83752265797718</v>
      </c>
      <c r="B6793" s="45">
        <v>11.1</v>
      </c>
      <c r="D6793" s="2"/>
      <c r="E6793" s="31"/>
      <c r="G6793" s="43"/>
      <c r="H6793" s="2"/>
    </row>
    <row r="6794" spans="1:8">
      <c r="A6794" s="39">
        <v>2.83641030422713</v>
      </c>
      <c r="B6794" s="45">
        <v>18.5</v>
      </c>
      <c r="D6794" s="2"/>
      <c r="E6794" s="31"/>
      <c r="G6794" s="43"/>
      <c r="H6794" s="2"/>
    </row>
    <row r="6795" spans="1:8">
      <c r="A6795" s="39">
        <v>2.83549806883447</v>
      </c>
      <c r="B6795" s="45">
        <v>1</v>
      </c>
      <c r="D6795" s="2"/>
      <c r="E6795" s="31"/>
      <c r="G6795" s="43"/>
      <c r="H6795" s="2"/>
    </row>
    <row r="6796" spans="1:8">
      <c r="A6796" s="39">
        <v>2.83504491629276</v>
      </c>
      <c r="B6796" s="45">
        <v>5.4</v>
      </c>
      <c r="D6796" s="2"/>
      <c r="E6796" s="31"/>
      <c r="G6796" s="43"/>
      <c r="H6796" s="2"/>
    </row>
    <row r="6797" spans="1:8">
      <c r="A6797" s="39">
        <v>2.83497862245598</v>
      </c>
      <c r="B6797" s="45">
        <v>16</v>
      </c>
      <c r="D6797" s="2"/>
      <c r="E6797" s="31"/>
      <c r="G6797" s="43"/>
      <c r="H6797" s="2"/>
    </row>
    <row r="6798" spans="1:8">
      <c r="A6798" s="39">
        <v>2.83480635350203</v>
      </c>
      <c r="B6798" s="45">
        <v>9.8</v>
      </c>
      <c r="D6798" s="2"/>
      <c r="E6798" s="31"/>
      <c r="G6798" s="43"/>
      <c r="H6798" s="2"/>
    </row>
    <row r="6799" spans="1:8">
      <c r="A6799" s="39">
        <v>2.83457662310626</v>
      </c>
      <c r="B6799" s="45">
        <v>8.2</v>
      </c>
      <c r="D6799" s="2"/>
      <c r="E6799" s="31"/>
      <c r="G6799" s="43"/>
      <c r="H6799" s="2"/>
    </row>
    <row r="6800" spans="1:8">
      <c r="A6800" s="39">
        <v>2.83400390468108</v>
      </c>
      <c r="B6800" s="45">
        <v>7.9</v>
      </c>
      <c r="D6800" s="2"/>
      <c r="E6800" s="31"/>
      <c r="G6800" s="43"/>
      <c r="H6800" s="2"/>
    </row>
    <row r="6801" spans="1:8">
      <c r="A6801" s="39">
        <v>2.83330015402185</v>
      </c>
      <c r="B6801" s="45">
        <v>3</v>
      </c>
      <c r="D6801" s="2"/>
      <c r="E6801" s="31"/>
      <c r="G6801" s="43"/>
      <c r="H6801" s="2"/>
    </row>
    <row r="6802" spans="1:8">
      <c r="A6802" s="39">
        <v>2.83324427511414</v>
      </c>
      <c r="B6802" s="45">
        <v>8</v>
      </c>
      <c r="D6802" s="2"/>
      <c r="E6802" s="31"/>
      <c r="G6802" s="43"/>
      <c r="H6802" s="2"/>
    </row>
    <row r="6803" spans="1:8">
      <c r="A6803" s="39">
        <v>2.83265768774647</v>
      </c>
      <c r="B6803" s="45">
        <v>8.2</v>
      </c>
      <c r="D6803" s="2"/>
      <c r="E6803" s="31"/>
      <c r="G6803" s="43"/>
      <c r="H6803" s="2"/>
    </row>
    <row r="6804" spans="1:8">
      <c r="A6804" s="39">
        <v>2.83254071308903</v>
      </c>
      <c r="B6804" s="45">
        <v>9.5</v>
      </c>
      <c r="D6804" s="2"/>
      <c r="E6804" s="31"/>
      <c r="G6804" s="43"/>
      <c r="H6804" s="2"/>
    </row>
    <row r="6805" spans="1:8">
      <c r="A6805" s="39">
        <v>2.8318590826065</v>
      </c>
      <c r="B6805" s="45">
        <v>2.3</v>
      </c>
      <c r="D6805" s="2"/>
      <c r="E6805" s="31"/>
      <c r="G6805" s="43"/>
      <c r="H6805" s="2"/>
    </row>
    <row r="6806" spans="1:8">
      <c r="A6806" s="39">
        <v>2.83162260229433</v>
      </c>
      <c r="B6806" s="45">
        <v>10.2</v>
      </c>
      <c r="D6806" s="2"/>
      <c r="E6806" s="31"/>
      <c r="G6806" s="43"/>
      <c r="H6806" s="2"/>
    </row>
    <row r="6807" spans="1:8">
      <c r="A6807" s="39">
        <v>2.83065514288062</v>
      </c>
      <c r="B6807" s="45">
        <v>20</v>
      </c>
      <c r="D6807" s="2"/>
      <c r="E6807" s="31"/>
      <c r="G6807" s="43"/>
      <c r="H6807" s="2"/>
    </row>
    <row r="6808" spans="1:8">
      <c r="A6808" s="39">
        <v>2.83025367669496</v>
      </c>
      <c r="B6808" s="45">
        <v>8.6</v>
      </c>
      <c r="D6808" s="2"/>
      <c r="E6808" s="31"/>
      <c r="G6808" s="43"/>
      <c r="H6808" s="2"/>
    </row>
    <row r="6809" spans="1:8">
      <c r="A6809" s="39">
        <v>2.82972646498859</v>
      </c>
      <c r="B6809" s="45">
        <v>11.2</v>
      </c>
      <c r="D6809" s="2"/>
      <c r="E6809" s="31"/>
      <c r="G6809" s="43"/>
      <c r="H6809" s="2"/>
    </row>
    <row r="6810" spans="1:8">
      <c r="A6810" s="39">
        <v>2.82902290296348</v>
      </c>
      <c r="B6810" s="45">
        <v>9.6</v>
      </c>
      <c r="D6810" s="2"/>
      <c r="E6810" s="31"/>
      <c r="G6810" s="43"/>
      <c r="H6810" s="2"/>
    </row>
    <row r="6811" spans="1:8">
      <c r="A6811" s="39">
        <v>2.82853959706474</v>
      </c>
      <c r="B6811" s="45">
        <v>9.3</v>
      </c>
      <c r="D6811" s="2"/>
      <c r="E6811" s="31"/>
      <c r="G6811" s="43"/>
      <c r="H6811" s="2"/>
    </row>
    <row r="6812" spans="1:8">
      <c r="A6812" s="39">
        <v>2.82836035623535</v>
      </c>
      <c r="B6812" s="45">
        <v>13.4</v>
      </c>
      <c r="D6812" s="2"/>
      <c r="E6812" s="31"/>
      <c r="G6812" s="43"/>
      <c r="H6812" s="2"/>
    </row>
    <row r="6813" spans="1:8">
      <c r="A6813" s="39">
        <v>2.82773893543741</v>
      </c>
      <c r="B6813" s="45">
        <v>10.6</v>
      </c>
      <c r="D6813" s="2"/>
      <c r="E6813" s="31"/>
      <c r="G6813" s="43"/>
      <c r="H6813" s="2"/>
    </row>
    <row r="6814" spans="1:8">
      <c r="A6814" s="39">
        <v>2.82773893543741</v>
      </c>
      <c r="B6814" s="45">
        <v>7.6</v>
      </c>
      <c r="D6814" s="2"/>
      <c r="E6814" s="31"/>
      <c r="G6814" s="43"/>
      <c r="H6814" s="2"/>
    </row>
    <row r="6815" spans="1:8">
      <c r="A6815" s="39">
        <v>2.82673366265497</v>
      </c>
      <c r="B6815" s="45">
        <v>8.9</v>
      </c>
      <c r="D6815" s="2"/>
      <c r="E6815" s="31"/>
      <c r="G6815" s="43"/>
      <c r="H6815" s="2"/>
    </row>
    <row r="6816" spans="1:8">
      <c r="A6816" s="39">
        <v>2.82656980143905</v>
      </c>
      <c r="B6816" s="45">
        <v>4.3</v>
      </c>
      <c r="D6816" s="2"/>
      <c r="E6816" s="31"/>
      <c r="G6816" s="43"/>
      <c r="H6816" s="2"/>
    </row>
    <row r="6817" spans="1:8">
      <c r="A6817" s="39">
        <v>2.82610345889869</v>
      </c>
      <c r="B6817" s="45">
        <v>5.8</v>
      </c>
      <c r="D6817" s="2"/>
      <c r="E6817" s="31"/>
      <c r="G6817" s="43"/>
      <c r="H6817" s="2"/>
    </row>
    <row r="6818" spans="1:8">
      <c r="A6818" s="39">
        <v>2.82603670464175</v>
      </c>
      <c r="B6818" s="45">
        <v>16</v>
      </c>
      <c r="D6818" s="2"/>
      <c r="E6818" s="31"/>
      <c r="G6818" s="43"/>
      <c r="H6818" s="2"/>
    </row>
    <row r="6819" spans="1:8">
      <c r="A6819" s="39">
        <v>2.82555889677043</v>
      </c>
      <c r="B6819" s="45">
        <v>20.2</v>
      </c>
      <c r="D6819" s="2"/>
      <c r="E6819" s="31"/>
      <c r="G6819" s="43"/>
      <c r="H6819" s="2"/>
    </row>
    <row r="6820" spans="1:8">
      <c r="A6820" s="39">
        <v>2.82550509283794</v>
      </c>
      <c r="B6820" s="45">
        <v>7.5</v>
      </c>
      <c r="D6820" s="2"/>
      <c r="E6820" s="31"/>
      <c r="G6820" s="43"/>
      <c r="H6820" s="2"/>
    </row>
    <row r="6821" spans="1:8">
      <c r="A6821" s="39">
        <v>2.82546243709717</v>
      </c>
      <c r="B6821" s="45">
        <v>9.3</v>
      </c>
      <c r="D6821" s="2"/>
      <c r="E6821" s="31"/>
      <c r="G6821" s="43"/>
      <c r="H6821" s="2"/>
    </row>
    <row r="6822" spans="1:8">
      <c r="A6822" s="39">
        <v>2.82530890739615</v>
      </c>
      <c r="B6822" s="45">
        <v>17</v>
      </c>
      <c r="D6822" s="2"/>
      <c r="E6822" s="31"/>
      <c r="G6822" s="43"/>
      <c r="H6822" s="2"/>
    </row>
    <row r="6823" spans="1:8">
      <c r="A6823" s="39">
        <v>2.8245032707816</v>
      </c>
      <c r="B6823" s="45">
        <v>5.4</v>
      </c>
      <c r="D6823" s="2"/>
      <c r="E6823" s="31"/>
      <c r="G6823" s="43"/>
      <c r="H6823" s="2"/>
    </row>
    <row r="6824" spans="1:8">
      <c r="A6824" s="39">
        <v>2.8240935114978</v>
      </c>
      <c r="B6824" s="45">
        <v>6</v>
      </c>
      <c r="D6824" s="2"/>
      <c r="E6824" s="31"/>
      <c r="G6824" s="43"/>
      <c r="H6824" s="2"/>
    </row>
    <row r="6825" spans="1:8">
      <c r="A6825" s="39">
        <v>2.8233389873625</v>
      </c>
      <c r="B6825" s="45">
        <v>14</v>
      </c>
      <c r="D6825" s="2"/>
      <c r="E6825" s="31"/>
      <c r="G6825" s="43"/>
      <c r="H6825" s="2"/>
    </row>
    <row r="6826" spans="1:8">
      <c r="A6826" s="39">
        <v>2.82309576946316</v>
      </c>
      <c r="B6826" s="45">
        <v>7</v>
      </c>
      <c r="D6826" s="2"/>
      <c r="E6826" s="31"/>
      <c r="G6826" s="43"/>
      <c r="H6826" s="2"/>
    </row>
    <row r="6827" spans="1:8">
      <c r="A6827" s="39">
        <v>2.82263058088719</v>
      </c>
      <c r="B6827" s="45">
        <v>7.5</v>
      </c>
      <c r="D6827" s="2"/>
      <c r="E6827" s="31"/>
      <c r="G6827" s="43"/>
      <c r="H6827" s="2"/>
    </row>
    <row r="6828" spans="1:8">
      <c r="A6828" s="39">
        <v>2.82198728271239</v>
      </c>
      <c r="B6828" s="45">
        <v>8.4</v>
      </c>
      <c r="D6828" s="2"/>
      <c r="E6828" s="31"/>
      <c r="G6828" s="43"/>
      <c r="H6828" s="2"/>
    </row>
    <row r="6829" spans="1:8">
      <c r="A6829" s="39">
        <v>2.820214326677</v>
      </c>
      <c r="B6829" s="45">
        <v>6.3</v>
      </c>
      <c r="D6829" s="2"/>
      <c r="E6829" s="31"/>
      <c r="G6829" s="43"/>
      <c r="H6829" s="2"/>
    </row>
    <row r="6830" spans="1:8">
      <c r="A6830" s="39">
        <v>2.82019786227889</v>
      </c>
      <c r="B6830" s="45">
        <v>5.9</v>
      </c>
      <c r="D6830" s="2"/>
      <c r="E6830" s="31"/>
      <c r="G6830" s="43"/>
      <c r="H6830" s="2"/>
    </row>
    <row r="6831" spans="1:8">
      <c r="A6831" s="39">
        <v>2.81922514083744</v>
      </c>
      <c r="B6831" s="45">
        <v>3</v>
      </c>
      <c r="D6831" s="2"/>
      <c r="E6831" s="31"/>
      <c r="G6831" s="43"/>
      <c r="H6831" s="2"/>
    </row>
    <row r="6832" spans="1:8">
      <c r="A6832" s="39">
        <v>2.81874381447448</v>
      </c>
      <c r="B6832" s="45">
        <v>5</v>
      </c>
      <c r="D6832" s="2"/>
      <c r="E6832" s="31"/>
      <c r="G6832" s="43"/>
      <c r="H6832" s="2"/>
    </row>
    <row r="6833" spans="1:8">
      <c r="A6833" s="39">
        <v>2.81846947258685</v>
      </c>
      <c r="B6833" s="45">
        <v>22</v>
      </c>
      <c r="D6833" s="2"/>
      <c r="E6833" s="31"/>
      <c r="G6833" s="43"/>
      <c r="H6833" s="2"/>
    </row>
    <row r="6834" spans="1:8">
      <c r="A6834" s="39">
        <v>2.81823712216606</v>
      </c>
      <c r="B6834" s="45">
        <v>9</v>
      </c>
      <c r="D6834" s="2"/>
      <c r="E6834" s="31"/>
      <c r="G6834" s="43"/>
      <c r="H6834" s="2"/>
    </row>
    <row r="6835" spans="1:8">
      <c r="A6835" s="39">
        <v>2.81823712216606</v>
      </c>
      <c r="B6835" s="45">
        <v>16</v>
      </c>
      <c r="D6835" s="2"/>
      <c r="E6835" s="31"/>
      <c r="G6835" s="43"/>
      <c r="H6835" s="2"/>
    </row>
    <row r="6836" spans="1:8">
      <c r="A6836" s="39">
        <v>2.81792607620512</v>
      </c>
      <c r="B6836" s="45">
        <v>5.1</v>
      </c>
      <c r="D6836" s="2"/>
      <c r="E6836" s="31"/>
      <c r="G6836" s="43"/>
      <c r="H6836" s="2"/>
    </row>
    <row r="6837" spans="1:8">
      <c r="A6837" s="39">
        <v>2.81776677308163</v>
      </c>
      <c r="B6837" s="45">
        <v>8</v>
      </c>
      <c r="D6837" s="2"/>
      <c r="E6837" s="31"/>
      <c r="G6837" s="43"/>
      <c r="H6837" s="2"/>
    </row>
    <row r="6838" spans="1:8">
      <c r="A6838" s="39">
        <v>2.81671056752408</v>
      </c>
      <c r="B6838" s="45">
        <v>9.8</v>
      </c>
      <c r="D6838" s="2"/>
      <c r="E6838" s="31"/>
      <c r="G6838" s="43"/>
      <c r="H6838" s="2"/>
    </row>
    <row r="6839" spans="1:8">
      <c r="A6839" s="39">
        <v>2.81641013820056</v>
      </c>
      <c r="B6839" s="45">
        <v>10.7</v>
      </c>
      <c r="D6839" s="2"/>
      <c r="E6839" s="31"/>
      <c r="G6839" s="43"/>
      <c r="H6839" s="2"/>
    </row>
    <row r="6840" spans="1:8">
      <c r="A6840" s="39">
        <v>2.81635878651152</v>
      </c>
      <c r="B6840" s="45">
        <v>10.5</v>
      </c>
      <c r="D6840" s="2"/>
      <c r="E6840" s="31"/>
      <c r="G6840" s="43"/>
      <c r="H6840" s="2"/>
    </row>
    <row r="6841" spans="1:8">
      <c r="A6841" s="39">
        <v>2.81606421542907</v>
      </c>
      <c r="B6841" s="45">
        <v>13.8</v>
      </c>
      <c r="D6841" s="2"/>
      <c r="E6841" s="31"/>
      <c r="G6841" s="43"/>
      <c r="H6841" s="2"/>
    </row>
    <row r="6842" spans="1:8">
      <c r="A6842" s="39">
        <v>2.81606421542907</v>
      </c>
      <c r="B6842" s="45">
        <v>16</v>
      </c>
      <c r="D6842" s="2"/>
      <c r="E6842" s="31"/>
      <c r="G6842" s="43"/>
      <c r="H6842" s="2"/>
    </row>
    <row r="6843" spans="1:8">
      <c r="A6843" s="39">
        <v>2.81547286139705</v>
      </c>
      <c r="B6843" s="45">
        <v>7.9</v>
      </c>
      <c r="D6843" s="2"/>
      <c r="E6843" s="31"/>
      <c r="G6843" s="43"/>
      <c r="H6843" s="2"/>
    </row>
    <row r="6844" spans="1:8">
      <c r="A6844" s="39">
        <v>2.81533673823573</v>
      </c>
      <c r="B6844" s="45">
        <v>17.8</v>
      </c>
      <c r="D6844" s="2"/>
      <c r="E6844" s="31"/>
      <c r="G6844" s="43"/>
      <c r="H6844" s="2"/>
    </row>
    <row r="6845" spans="1:8">
      <c r="A6845" s="39">
        <v>2.81465512312769</v>
      </c>
      <c r="B6845" s="45">
        <v>4.1</v>
      </c>
      <c r="D6845" s="2"/>
      <c r="E6845" s="31"/>
      <c r="G6845" s="43"/>
      <c r="H6845" s="2"/>
    </row>
    <row r="6846" spans="1:8">
      <c r="A6846" s="39">
        <v>2.81439402882421</v>
      </c>
      <c r="B6846" s="45">
        <v>11</v>
      </c>
      <c r="D6846" s="2"/>
      <c r="E6846" s="31"/>
      <c r="G6846" s="43"/>
      <c r="H6846" s="2"/>
    </row>
    <row r="6847" spans="1:8">
      <c r="A6847" s="39">
        <v>2.81439194871224</v>
      </c>
      <c r="B6847" s="45">
        <v>9.3</v>
      </c>
      <c r="D6847" s="2"/>
      <c r="E6847" s="31"/>
      <c r="G6847" s="43"/>
      <c r="H6847" s="2"/>
    </row>
    <row r="6848" spans="1:8">
      <c r="A6848" s="39">
        <v>2.81260347402791</v>
      </c>
      <c r="B6848" s="45">
        <v>10.3</v>
      </c>
      <c r="D6848" s="2"/>
      <c r="E6848" s="31"/>
      <c r="G6848" s="43"/>
      <c r="H6848" s="2"/>
    </row>
    <row r="6849" spans="1:8">
      <c r="A6849" s="39">
        <v>2.81242682946236</v>
      </c>
      <c r="B6849" s="45">
        <v>3.5</v>
      </c>
      <c r="D6849" s="2"/>
      <c r="E6849" s="31"/>
      <c r="G6849" s="43"/>
      <c r="H6849" s="2"/>
    </row>
    <row r="6850" spans="1:8">
      <c r="A6850" s="39">
        <v>2.81224536306865</v>
      </c>
      <c r="B6850" s="45">
        <v>4.9</v>
      </c>
      <c r="D6850" s="2"/>
      <c r="E6850" s="31"/>
      <c r="G6850" s="43"/>
      <c r="H6850" s="2"/>
    </row>
    <row r="6851" spans="1:8">
      <c r="A6851" s="39">
        <v>2.81169935226902</v>
      </c>
      <c r="B6851" s="45">
        <v>14.2</v>
      </c>
      <c r="D6851" s="2"/>
      <c r="E6851" s="31"/>
      <c r="G6851" s="43"/>
      <c r="H6851" s="2"/>
    </row>
    <row r="6852" spans="1:8">
      <c r="A6852" s="39">
        <v>2.81148075972987</v>
      </c>
      <c r="B6852" s="45">
        <v>13</v>
      </c>
      <c r="D6852" s="2"/>
      <c r="E6852" s="31"/>
      <c r="G6852" s="43"/>
      <c r="H6852" s="2"/>
    </row>
    <row r="6853" spans="1:8">
      <c r="A6853" s="39">
        <v>2.81138417005026</v>
      </c>
      <c r="B6853" s="45">
        <v>8.5</v>
      </c>
      <c r="D6853" s="2"/>
      <c r="E6853" s="31"/>
      <c r="G6853" s="43"/>
      <c r="H6853" s="2"/>
    </row>
    <row r="6854" spans="1:8">
      <c r="A6854" s="39">
        <v>2.81075296248427</v>
      </c>
      <c r="B6854" s="45">
        <v>14.8</v>
      </c>
      <c r="D6854" s="2"/>
      <c r="E6854" s="31"/>
      <c r="G6854" s="43"/>
      <c r="H6854" s="2"/>
    </row>
    <row r="6855" spans="1:8">
      <c r="A6855" s="39">
        <v>2.81039416171477</v>
      </c>
      <c r="B6855" s="45">
        <v>11</v>
      </c>
      <c r="D6855" s="2"/>
      <c r="E6855" s="31"/>
      <c r="G6855" s="43"/>
      <c r="H6855" s="2"/>
    </row>
    <row r="6856" spans="1:8">
      <c r="A6856" s="39">
        <v>2.80830614251679</v>
      </c>
      <c r="B6856" s="45">
        <v>15</v>
      </c>
      <c r="D6856" s="2"/>
      <c r="E6856" s="31"/>
      <c r="G6856" s="43"/>
      <c r="H6856" s="2"/>
    </row>
    <row r="6857" spans="1:8">
      <c r="A6857" s="39">
        <v>2.80830614251679</v>
      </c>
      <c r="B6857" s="45">
        <v>2.2</v>
      </c>
      <c r="D6857" s="2"/>
      <c r="E6857" s="31"/>
      <c r="G6857" s="43"/>
      <c r="H6857" s="2"/>
    </row>
    <row r="6858" spans="1:8">
      <c r="A6858" s="39">
        <v>2.80758992059827</v>
      </c>
      <c r="B6858" s="45">
        <v>11.5</v>
      </c>
      <c r="D6858" s="2"/>
      <c r="E6858" s="31"/>
      <c r="G6858" s="43"/>
      <c r="H6858" s="2"/>
    </row>
    <row r="6859" spans="1:8">
      <c r="A6859" s="39">
        <v>2.80655762897148</v>
      </c>
      <c r="B6859" s="45">
        <v>4.6</v>
      </c>
      <c r="D6859" s="2"/>
      <c r="E6859" s="31"/>
      <c r="G6859" s="43"/>
      <c r="H6859" s="2"/>
    </row>
    <row r="6860" spans="1:8">
      <c r="A6860" s="39">
        <v>2.80629747870601</v>
      </c>
      <c r="B6860" s="45">
        <v>4.7</v>
      </c>
      <c r="D6860" s="2"/>
      <c r="E6860" s="31"/>
      <c r="G6860" s="43"/>
      <c r="H6860" s="2"/>
    </row>
    <row r="6861" spans="1:8">
      <c r="A6861" s="39">
        <v>2.80566000216476</v>
      </c>
      <c r="B6861" s="45">
        <v>2</v>
      </c>
      <c r="D6861" s="2"/>
      <c r="E6861" s="31"/>
      <c r="G6861" s="43"/>
      <c r="H6861" s="2"/>
    </row>
    <row r="6862" spans="1:8">
      <c r="A6862" s="39">
        <v>2.80564734610064</v>
      </c>
      <c r="B6862" s="45">
        <v>8</v>
      </c>
      <c r="D6862" s="2"/>
      <c r="E6862" s="31"/>
      <c r="G6862" s="43"/>
      <c r="H6862" s="2"/>
    </row>
    <row r="6863" spans="1:8">
      <c r="A6863" s="39">
        <v>2.80510179410978</v>
      </c>
      <c r="B6863" s="45">
        <v>7.9</v>
      </c>
      <c r="D6863" s="2"/>
      <c r="E6863" s="31"/>
      <c r="G6863" s="43"/>
      <c r="H6863" s="2"/>
    </row>
    <row r="6864" spans="1:8">
      <c r="A6864" s="39">
        <v>2.80472503292419</v>
      </c>
      <c r="B6864" s="45">
        <v>10</v>
      </c>
      <c r="D6864" s="2"/>
      <c r="E6864" s="31"/>
      <c r="G6864" s="43"/>
      <c r="H6864" s="2"/>
    </row>
    <row r="6865" spans="1:8">
      <c r="A6865" s="39">
        <v>2.80451194137629</v>
      </c>
      <c r="B6865" s="45">
        <v>9.6</v>
      </c>
      <c r="D6865" s="2"/>
      <c r="E6865" s="31"/>
      <c r="G6865" s="43"/>
      <c r="H6865" s="2"/>
    </row>
    <row r="6866" spans="1:8">
      <c r="A6866" s="39">
        <v>2.80361565649137</v>
      </c>
      <c r="B6866" s="45">
        <v>3.4</v>
      </c>
      <c r="D6866" s="2"/>
      <c r="E6866" s="31"/>
      <c r="G6866" s="43"/>
      <c r="H6866" s="2"/>
    </row>
    <row r="6867" spans="1:8">
      <c r="A6867" s="39">
        <v>2.80274719278274</v>
      </c>
      <c r="B6867" s="45">
        <v>8.4</v>
      </c>
      <c r="D6867" s="2"/>
      <c r="E6867" s="31"/>
      <c r="G6867" s="43"/>
      <c r="H6867" s="2"/>
    </row>
    <row r="6868" spans="1:8">
      <c r="A6868" s="39">
        <v>2.8021907019079</v>
      </c>
      <c r="B6868" s="45">
        <v>1.8</v>
      </c>
      <c r="D6868" s="2"/>
      <c r="E6868" s="31"/>
      <c r="G6868" s="43"/>
      <c r="H6868" s="2"/>
    </row>
    <row r="6869" spans="1:8">
      <c r="A6869" s="39">
        <v>2.80160753710697</v>
      </c>
      <c r="B6869" s="45">
        <v>9.6</v>
      </c>
      <c r="D6869" s="2"/>
      <c r="E6869" s="31"/>
      <c r="G6869" s="43"/>
      <c r="H6869" s="2"/>
    </row>
    <row r="6870" spans="1:8">
      <c r="A6870" s="39">
        <v>2.80151467156222</v>
      </c>
      <c r="B6870" s="45">
        <v>12</v>
      </c>
      <c r="D6870" s="2"/>
      <c r="E6870" s="31"/>
      <c r="G6870" s="43"/>
      <c r="H6870" s="2"/>
    </row>
    <row r="6871" spans="1:8">
      <c r="A6871" s="39">
        <v>2.80151467156222</v>
      </c>
      <c r="B6871" s="45">
        <v>16</v>
      </c>
      <c r="D6871" s="2"/>
      <c r="E6871" s="31"/>
      <c r="G6871" s="43"/>
      <c r="H6871" s="2"/>
    </row>
    <row r="6872" spans="1:8">
      <c r="A6872" s="39">
        <v>2.80093423560803</v>
      </c>
      <c r="B6872" s="45">
        <v>12</v>
      </c>
      <c r="D6872" s="2"/>
      <c r="E6872" s="31"/>
      <c r="G6872" s="43"/>
      <c r="H6872" s="2"/>
    </row>
    <row r="6873" spans="1:8">
      <c r="A6873" s="39">
        <v>2.79830035774054</v>
      </c>
      <c r="B6873" s="45">
        <v>6.3</v>
      </c>
      <c r="D6873" s="2"/>
      <c r="E6873" s="31"/>
      <c r="G6873" s="43"/>
      <c r="H6873" s="2"/>
    </row>
    <row r="6874" spans="1:8">
      <c r="A6874" s="39">
        <v>2.7973225609626</v>
      </c>
      <c r="B6874" s="45">
        <v>11.5</v>
      </c>
      <c r="D6874" s="2"/>
      <c r="E6874" s="31"/>
      <c r="G6874" s="43"/>
      <c r="H6874" s="2"/>
    </row>
    <row r="6875" spans="1:8">
      <c r="A6875" s="39">
        <v>2.79665904980847</v>
      </c>
      <c r="B6875" s="45">
        <v>10.2</v>
      </c>
      <c r="D6875" s="2"/>
      <c r="E6875" s="31"/>
      <c r="G6875" s="43"/>
      <c r="H6875" s="2"/>
    </row>
    <row r="6876" spans="1:8">
      <c r="A6876" s="39">
        <v>2.7954692203268</v>
      </c>
      <c r="B6876" s="45">
        <v>5</v>
      </c>
      <c r="D6876" s="2"/>
      <c r="E6876" s="31"/>
      <c r="G6876" s="43"/>
      <c r="H6876" s="2"/>
    </row>
    <row r="6877" spans="1:8">
      <c r="A6877" s="39">
        <v>2.79529761842395</v>
      </c>
      <c r="B6877" s="45">
        <v>26</v>
      </c>
      <c r="D6877" s="2"/>
      <c r="E6877" s="31"/>
      <c r="G6877" s="43"/>
      <c r="H6877" s="2"/>
    </row>
    <row r="6878" spans="1:8">
      <c r="A6878" s="39">
        <v>2.79529761842395</v>
      </c>
      <c r="B6878" s="45">
        <v>12.3</v>
      </c>
      <c r="D6878" s="2"/>
      <c r="E6878" s="31"/>
      <c r="G6878" s="43"/>
      <c r="H6878" s="2"/>
    </row>
    <row r="6879" spans="1:8">
      <c r="A6879" s="39">
        <v>2.7942398996288</v>
      </c>
      <c r="B6879" s="45">
        <v>10.5</v>
      </c>
      <c r="D6879" s="2"/>
      <c r="E6879" s="31"/>
      <c r="G6879" s="43"/>
      <c r="H6879" s="2"/>
    </row>
    <row r="6880" spans="1:8">
      <c r="A6880" s="39">
        <v>2.7942398996288</v>
      </c>
      <c r="B6880" s="45">
        <v>5.8</v>
      </c>
      <c r="D6880" s="2"/>
      <c r="E6880" s="31"/>
      <c r="G6880" s="43"/>
      <c r="H6880" s="2"/>
    </row>
    <row r="6881" spans="1:8">
      <c r="A6881" s="39">
        <v>2.79398170414639</v>
      </c>
      <c r="B6881" s="45">
        <v>8.1</v>
      </c>
      <c r="D6881" s="2"/>
      <c r="E6881" s="31"/>
      <c r="G6881" s="43"/>
      <c r="H6881" s="2"/>
    </row>
    <row r="6882" spans="1:8">
      <c r="A6882" s="39">
        <v>2.79398170414639</v>
      </c>
      <c r="B6882" s="45">
        <v>9.1</v>
      </c>
      <c r="D6882" s="2"/>
      <c r="E6882" s="31"/>
      <c r="G6882" s="43"/>
      <c r="H6882" s="2"/>
    </row>
    <row r="6883" spans="1:8">
      <c r="A6883" s="39">
        <v>2.79384480170803</v>
      </c>
      <c r="B6883" s="45">
        <v>16.6</v>
      </c>
      <c r="D6883" s="2"/>
      <c r="E6883" s="31"/>
      <c r="G6883" s="43"/>
      <c r="H6883" s="2"/>
    </row>
    <row r="6884" spans="1:8">
      <c r="A6884" s="39">
        <v>2.79384480170803</v>
      </c>
      <c r="B6884" s="45">
        <v>5</v>
      </c>
      <c r="D6884" s="2"/>
      <c r="E6884" s="31"/>
      <c r="G6884" s="43"/>
      <c r="H6884" s="2"/>
    </row>
    <row r="6885" spans="1:8">
      <c r="A6885" s="39">
        <v>2.79260822271232</v>
      </c>
      <c r="B6885" s="45">
        <v>9</v>
      </c>
      <c r="D6885" s="2"/>
      <c r="E6885" s="31"/>
      <c r="G6885" s="43"/>
      <c r="H6885" s="2"/>
    </row>
    <row r="6886" spans="1:8">
      <c r="A6886" s="39">
        <v>2.79218131612175</v>
      </c>
      <c r="B6886" s="45">
        <v>8.5</v>
      </c>
      <c r="D6886" s="2"/>
      <c r="E6886" s="31"/>
      <c r="G6886" s="43"/>
      <c r="H6886" s="2"/>
    </row>
    <row r="6887" spans="1:8">
      <c r="A6887" s="39">
        <v>2.79218131612175</v>
      </c>
      <c r="B6887" s="45">
        <v>12</v>
      </c>
      <c r="D6887" s="2"/>
      <c r="E6887" s="31"/>
      <c r="G6887" s="43"/>
      <c r="H6887" s="2"/>
    </row>
    <row r="6888" spans="1:8">
      <c r="A6888" s="39">
        <v>2.79177886512784</v>
      </c>
      <c r="B6888" s="45">
        <v>23</v>
      </c>
      <c r="D6888" s="2"/>
      <c r="E6888" s="31"/>
      <c r="G6888" s="43"/>
      <c r="H6888" s="2"/>
    </row>
    <row r="6889" spans="1:8">
      <c r="A6889" s="39">
        <v>2.78966761315018</v>
      </c>
      <c r="B6889" s="45">
        <v>5.5</v>
      </c>
      <c r="D6889" s="2"/>
      <c r="E6889" s="31"/>
      <c r="G6889" s="43"/>
      <c r="H6889" s="2"/>
    </row>
    <row r="6890" spans="1:8">
      <c r="A6890" s="39">
        <v>2.7891859087139</v>
      </c>
      <c r="B6890" s="45">
        <v>7.7</v>
      </c>
      <c r="D6890" s="2"/>
      <c r="E6890" s="31"/>
      <c r="G6890" s="43"/>
      <c r="H6890" s="2"/>
    </row>
    <row r="6891" spans="1:8">
      <c r="A6891" s="39">
        <v>2.78826011183174</v>
      </c>
      <c r="B6891" s="45">
        <v>7</v>
      </c>
      <c r="D6891" s="2"/>
      <c r="E6891" s="31"/>
      <c r="G6891" s="43"/>
      <c r="H6891" s="2"/>
    </row>
    <row r="6892" spans="1:8">
      <c r="A6892" s="39">
        <v>2.78826011183174</v>
      </c>
      <c r="B6892" s="45">
        <v>6</v>
      </c>
      <c r="D6892" s="2"/>
      <c r="E6892" s="31"/>
      <c r="G6892" s="43"/>
      <c r="H6892" s="2"/>
    </row>
    <row r="6893" spans="1:8">
      <c r="A6893" s="39">
        <v>2.78817244043609</v>
      </c>
      <c r="B6893" s="45">
        <v>7</v>
      </c>
      <c r="D6893" s="2"/>
      <c r="E6893" s="31"/>
      <c r="G6893" s="43"/>
      <c r="H6893" s="2"/>
    </row>
    <row r="6894" spans="1:8">
      <c r="A6894" s="39">
        <v>2.78814150712809</v>
      </c>
      <c r="B6894" s="45">
        <v>2</v>
      </c>
      <c r="D6894" s="2"/>
      <c r="E6894" s="31"/>
      <c r="G6894" s="43"/>
      <c r="H6894" s="2"/>
    </row>
    <row r="6895" spans="1:8">
      <c r="A6895" s="39">
        <v>2.78781698311453</v>
      </c>
      <c r="B6895" s="45">
        <v>8</v>
      </c>
      <c r="D6895" s="2"/>
      <c r="E6895" s="31"/>
      <c r="G6895" s="43"/>
      <c r="H6895" s="2"/>
    </row>
    <row r="6896" spans="1:8">
      <c r="A6896" s="39">
        <v>2.78751274348205</v>
      </c>
      <c r="B6896" s="45">
        <v>6.3</v>
      </c>
      <c r="D6896" s="2"/>
      <c r="E6896" s="31"/>
      <c r="G6896" s="43"/>
      <c r="H6896" s="2"/>
    </row>
    <row r="6897" spans="1:8">
      <c r="A6897" s="39">
        <v>2.78696512769537</v>
      </c>
      <c r="B6897" s="45">
        <v>3</v>
      </c>
      <c r="D6897" s="2"/>
      <c r="E6897" s="31"/>
      <c r="G6897" s="43"/>
      <c r="H6897" s="2"/>
    </row>
    <row r="6898" spans="1:8">
      <c r="A6898" s="39">
        <v>2.78696512769537</v>
      </c>
      <c r="B6898" s="45">
        <v>8.6</v>
      </c>
      <c r="D6898" s="2"/>
      <c r="E6898" s="31"/>
      <c r="G6898" s="43"/>
      <c r="H6898" s="2"/>
    </row>
    <row r="6899" spans="1:8">
      <c r="A6899" s="39">
        <v>2.7868526105133</v>
      </c>
      <c r="B6899" s="45">
        <v>18</v>
      </c>
      <c r="D6899" s="2"/>
      <c r="E6899" s="31"/>
      <c r="G6899" s="43"/>
      <c r="H6899" s="2"/>
    </row>
    <row r="6900" spans="1:8">
      <c r="A6900" s="39">
        <v>2.78644805751516</v>
      </c>
      <c r="B6900" s="45">
        <v>10</v>
      </c>
      <c r="D6900" s="2"/>
      <c r="E6900" s="31"/>
      <c r="G6900" s="43"/>
      <c r="H6900" s="2"/>
    </row>
    <row r="6901" spans="1:8">
      <c r="A6901" s="39">
        <v>2.78544830113231</v>
      </c>
      <c r="B6901" s="45">
        <v>8</v>
      </c>
      <c r="D6901" s="2"/>
      <c r="E6901" s="31"/>
      <c r="G6901" s="43"/>
      <c r="H6901" s="2"/>
    </row>
    <row r="6902" spans="1:8">
      <c r="A6902" s="39">
        <v>2.78490454024805</v>
      </c>
      <c r="B6902" s="45">
        <v>8.5</v>
      </c>
      <c r="D6902" s="2"/>
      <c r="E6902" s="31"/>
      <c r="G6902" s="43"/>
      <c r="H6902" s="2"/>
    </row>
    <row r="6903" spans="1:8">
      <c r="A6903" s="39">
        <v>2.78474135853564</v>
      </c>
      <c r="B6903" s="45">
        <v>7.6</v>
      </c>
      <c r="D6903" s="2"/>
      <c r="E6903" s="31"/>
      <c r="G6903" s="43"/>
      <c r="H6903" s="2"/>
    </row>
    <row r="6904" spans="1:8">
      <c r="A6904" s="39">
        <v>2.78439880716147</v>
      </c>
      <c r="B6904" s="45">
        <v>6.4</v>
      </c>
      <c r="D6904" s="2"/>
      <c r="E6904" s="31"/>
      <c r="G6904" s="43"/>
      <c r="H6904" s="2"/>
    </row>
    <row r="6905" spans="1:8">
      <c r="A6905" s="39">
        <v>2.78425096021044</v>
      </c>
      <c r="B6905" s="45">
        <v>8</v>
      </c>
      <c r="D6905" s="2"/>
      <c r="E6905" s="31"/>
      <c r="G6905" s="43"/>
      <c r="H6905" s="2"/>
    </row>
    <row r="6906" spans="1:8">
      <c r="A6906" s="39">
        <v>2.78258780930629</v>
      </c>
      <c r="B6906" s="45">
        <v>9.9</v>
      </c>
      <c r="D6906" s="2"/>
      <c r="E6906" s="31"/>
      <c r="G6906" s="43"/>
      <c r="H6906" s="2"/>
    </row>
    <row r="6907" spans="1:8">
      <c r="A6907" s="39">
        <v>2.78164107266051</v>
      </c>
      <c r="B6907" s="45">
        <v>6.1</v>
      </c>
      <c r="D6907" s="2"/>
      <c r="E6907" s="31"/>
      <c r="G6907" s="43"/>
      <c r="H6907" s="2"/>
    </row>
    <row r="6908" spans="1:8">
      <c r="A6908" s="39">
        <v>2.78140849213865</v>
      </c>
      <c r="B6908" s="45">
        <v>7.9</v>
      </c>
      <c r="D6908" s="2"/>
      <c r="E6908" s="31"/>
      <c r="G6908" s="43"/>
      <c r="H6908" s="2"/>
    </row>
    <row r="6909" spans="1:8">
      <c r="A6909" s="39">
        <v>2.7809830600224</v>
      </c>
      <c r="B6909" s="45">
        <v>9.3</v>
      </c>
      <c r="D6909" s="2"/>
      <c r="E6909" s="31"/>
      <c r="G6909" s="43"/>
      <c r="H6909" s="2"/>
    </row>
    <row r="6910" spans="1:8">
      <c r="A6910" s="39">
        <v>2.78091327541492</v>
      </c>
      <c r="B6910" s="45">
        <v>7.3</v>
      </c>
      <c r="D6910" s="2"/>
      <c r="E6910" s="31"/>
      <c r="G6910" s="43"/>
      <c r="H6910" s="2"/>
    </row>
    <row r="6911" spans="1:8">
      <c r="A6911" s="39">
        <v>2.7807351906397</v>
      </c>
      <c r="B6911" s="45">
        <v>6.9</v>
      </c>
      <c r="D6911" s="2"/>
      <c r="E6911" s="31"/>
      <c r="G6911" s="43"/>
      <c r="H6911" s="2"/>
    </row>
    <row r="6912" spans="1:8">
      <c r="A6912" s="39">
        <v>2.77871528614287</v>
      </c>
      <c r="B6912" s="45">
        <v>18</v>
      </c>
      <c r="D6912" s="2"/>
      <c r="E6912" s="31"/>
      <c r="G6912" s="43"/>
      <c r="H6912" s="2"/>
    </row>
    <row r="6913" spans="1:8">
      <c r="A6913" s="39">
        <v>2.77801465614308</v>
      </c>
      <c r="B6913" s="45">
        <v>4.3</v>
      </c>
      <c r="D6913" s="2"/>
      <c r="E6913" s="31"/>
      <c r="G6913" s="43"/>
      <c r="H6913" s="2"/>
    </row>
    <row r="6914" spans="1:8">
      <c r="A6914" s="39">
        <v>2.77770385194343</v>
      </c>
      <c r="B6914" s="45">
        <v>7.4</v>
      </c>
      <c r="D6914" s="2"/>
      <c r="E6914" s="31"/>
      <c r="G6914" s="43"/>
      <c r="H6914" s="2"/>
    </row>
    <row r="6915" spans="1:8">
      <c r="A6915" s="39">
        <v>2.77766287513052</v>
      </c>
      <c r="B6915" s="45">
        <v>8</v>
      </c>
      <c r="D6915" s="2"/>
      <c r="E6915" s="31"/>
      <c r="G6915" s="43"/>
      <c r="H6915" s="2"/>
    </row>
    <row r="6916" spans="1:8">
      <c r="A6916" s="39">
        <v>2.77703916273726</v>
      </c>
      <c r="B6916" s="45">
        <v>5.4</v>
      </c>
      <c r="D6916" s="2"/>
      <c r="E6916" s="31"/>
      <c r="G6916" s="43"/>
      <c r="H6916" s="2"/>
    </row>
    <row r="6917" spans="1:8">
      <c r="A6917" s="39">
        <v>2.77678044698858</v>
      </c>
      <c r="B6917" s="45">
        <v>14.95</v>
      </c>
      <c r="D6917" s="2"/>
      <c r="E6917" s="31"/>
      <c r="G6917" s="43"/>
      <c r="H6917" s="2"/>
    </row>
    <row r="6918" spans="1:8">
      <c r="A6918" s="39">
        <v>2.7755521890552</v>
      </c>
      <c r="B6918" s="45">
        <v>12.5</v>
      </c>
      <c r="D6918" s="2"/>
      <c r="E6918" s="31"/>
      <c r="G6918" s="43"/>
      <c r="H6918" s="2"/>
    </row>
    <row r="6919" spans="1:8">
      <c r="A6919" s="39">
        <v>2.77509089745017</v>
      </c>
      <c r="B6919" s="45">
        <v>15</v>
      </c>
      <c r="D6919" s="2"/>
      <c r="E6919" s="31"/>
      <c r="G6919" s="43"/>
      <c r="H6919" s="2"/>
    </row>
    <row r="6920" spans="1:8">
      <c r="A6920" s="39">
        <v>2.77459801540855</v>
      </c>
      <c r="B6920" s="45">
        <v>9</v>
      </c>
      <c r="D6920" s="2"/>
      <c r="E6920" s="31"/>
      <c r="G6920" s="43"/>
      <c r="H6920" s="2"/>
    </row>
    <row r="6921" spans="1:8">
      <c r="A6921" s="39">
        <v>2.77436310020457</v>
      </c>
      <c r="B6921" s="45">
        <v>21</v>
      </c>
      <c r="D6921" s="2"/>
      <c r="E6921" s="31"/>
      <c r="G6921" s="43"/>
      <c r="H6921" s="2"/>
    </row>
    <row r="6922" spans="1:8">
      <c r="A6922" s="39">
        <v>2.77436310020457</v>
      </c>
      <c r="B6922" s="45">
        <v>6.4</v>
      </c>
      <c r="D6922" s="2"/>
      <c r="E6922" s="31"/>
      <c r="G6922" s="43"/>
      <c r="H6922" s="2"/>
    </row>
    <row r="6923" spans="1:8">
      <c r="A6923" s="39">
        <v>2.77387053821521</v>
      </c>
      <c r="B6923" s="45">
        <v>10.8</v>
      </c>
      <c r="D6923" s="2"/>
      <c r="E6923" s="31"/>
      <c r="G6923" s="43"/>
      <c r="H6923" s="2"/>
    </row>
    <row r="6924" spans="1:8">
      <c r="A6924" s="39">
        <v>2.77344150297987</v>
      </c>
      <c r="B6924" s="45">
        <v>8.9</v>
      </c>
      <c r="D6924" s="2"/>
      <c r="E6924" s="31"/>
      <c r="G6924" s="43"/>
      <c r="H6924" s="2"/>
    </row>
    <row r="6925" spans="1:8">
      <c r="A6925" s="39">
        <v>2.77314306102186</v>
      </c>
      <c r="B6925" s="45">
        <v>21</v>
      </c>
      <c r="D6925" s="2"/>
      <c r="E6925" s="31"/>
      <c r="G6925" s="43"/>
      <c r="H6925" s="2"/>
    </row>
    <row r="6926" spans="1:8">
      <c r="A6926" s="39">
        <v>2.77275880152148</v>
      </c>
      <c r="B6926" s="45">
        <v>10.5</v>
      </c>
      <c r="D6926" s="2"/>
      <c r="E6926" s="31"/>
      <c r="G6926" s="43"/>
      <c r="H6926" s="2"/>
    </row>
    <row r="6927" spans="1:8">
      <c r="A6927" s="39">
        <v>2.77275880152148</v>
      </c>
      <c r="B6927" s="45">
        <v>10.7</v>
      </c>
      <c r="D6927" s="2"/>
      <c r="E6927" s="31"/>
      <c r="G6927" s="43"/>
      <c r="H6927" s="2"/>
    </row>
    <row r="6928" spans="1:8">
      <c r="A6928" s="39">
        <v>2.77249504659079</v>
      </c>
      <c r="B6928" s="45">
        <v>6.4</v>
      </c>
      <c r="D6928" s="2"/>
      <c r="E6928" s="31"/>
      <c r="G6928" s="43"/>
      <c r="H6928" s="2"/>
    </row>
    <row r="6929" spans="1:8">
      <c r="A6929" s="39">
        <v>2.77217970846779</v>
      </c>
      <c r="B6929" s="45">
        <v>3.2</v>
      </c>
      <c r="D6929" s="2"/>
      <c r="E6929" s="31"/>
      <c r="G6929" s="43"/>
      <c r="H6929" s="2"/>
    </row>
    <row r="6930" spans="1:8">
      <c r="A6930" s="39">
        <v>2.77207433872179</v>
      </c>
      <c r="B6930" s="45">
        <v>1.2</v>
      </c>
      <c r="D6930" s="2"/>
      <c r="E6930" s="31"/>
      <c r="G6930" s="43"/>
      <c r="H6930" s="2"/>
    </row>
    <row r="6931" spans="1:8">
      <c r="A6931" s="39">
        <v>2.77203437892965</v>
      </c>
      <c r="B6931" s="45">
        <v>12.5</v>
      </c>
      <c r="D6931" s="2"/>
      <c r="E6931" s="31"/>
      <c r="G6931" s="43"/>
      <c r="H6931" s="2"/>
    </row>
    <row r="6932" spans="1:8">
      <c r="A6932" s="39">
        <v>2.77138987592211</v>
      </c>
      <c r="B6932" s="45">
        <v>11.2</v>
      </c>
      <c r="D6932" s="2"/>
      <c r="E6932" s="31"/>
      <c r="G6932" s="43"/>
      <c r="H6932" s="2"/>
    </row>
    <row r="6933" spans="1:8">
      <c r="A6933" s="39">
        <v>2.77130896965448</v>
      </c>
      <c r="B6933" s="45">
        <v>12.2</v>
      </c>
      <c r="D6933" s="2"/>
      <c r="E6933" s="31"/>
      <c r="G6933" s="43"/>
      <c r="H6933" s="2"/>
    </row>
    <row r="6934" spans="1:8">
      <c r="A6934" s="39">
        <v>2.7707241139766</v>
      </c>
      <c r="B6934" s="45">
        <v>3.5</v>
      </c>
      <c r="D6934" s="2"/>
      <c r="E6934" s="31"/>
      <c r="G6934" s="43"/>
      <c r="H6934" s="2"/>
    </row>
    <row r="6935" spans="1:8">
      <c r="A6935" s="39">
        <v>2.76922013082921</v>
      </c>
      <c r="B6935" s="45">
        <v>24</v>
      </c>
      <c r="D6935" s="2"/>
      <c r="E6935" s="31"/>
      <c r="G6935" s="43"/>
      <c r="H6935" s="2"/>
    </row>
    <row r="6936" spans="1:8">
      <c r="A6936" s="39">
        <v>2.7689139369982</v>
      </c>
      <c r="B6936" s="45">
        <v>10</v>
      </c>
      <c r="D6936" s="2"/>
      <c r="E6936" s="31"/>
      <c r="G6936" s="43"/>
      <c r="H6936" s="2"/>
    </row>
    <row r="6937" spans="1:8">
      <c r="A6937" s="39">
        <v>2.76856503930785</v>
      </c>
      <c r="B6937" s="45">
        <v>7.5</v>
      </c>
      <c r="D6937" s="2"/>
      <c r="E6937" s="31"/>
      <c r="G6937" s="43"/>
      <c r="H6937" s="2"/>
    </row>
    <row r="6938" spans="1:8">
      <c r="A6938" s="39">
        <v>2.76855509337357</v>
      </c>
      <c r="B6938" s="45">
        <v>11.3</v>
      </c>
      <c r="D6938" s="2"/>
      <c r="E6938" s="31"/>
      <c r="G6938" s="43"/>
      <c r="H6938" s="2"/>
    </row>
    <row r="6939" spans="1:8">
      <c r="A6939" s="39">
        <v>2.76851656880411</v>
      </c>
      <c r="B6939" s="45">
        <v>10.5</v>
      </c>
      <c r="D6939" s="2"/>
      <c r="E6939" s="31"/>
      <c r="G6939" s="43"/>
      <c r="H6939" s="2"/>
    </row>
    <row r="6940" spans="1:8">
      <c r="A6940" s="39">
        <v>2.76714759205513</v>
      </c>
      <c r="B6940" s="45">
        <v>14.4</v>
      </c>
      <c r="D6940" s="2"/>
      <c r="E6940" s="31"/>
      <c r="G6940" s="43"/>
      <c r="H6940" s="2"/>
    </row>
    <row r="6941" spans="1:8">
      <c r="A6941" s="39">
        <v>2.76708512774863</v>
      </c>
      <c r="B6941" s="45">
        <v>21</v>
      </c>
      <c r="D6941" s="2"/>
      <c r="E6941" s="31"/>
      <c r="G6941" s="43"/>
      <c r="H6941" s="2"/>
    </row>
    <row r="6942" spans="1:8">
      <c r="A6942" s="39">
        <v>2.76708512774863</v>
      </c>
      <c r="B6942" s="45">
        <v>11</v>
      </c>
      <c r="D6942" s="2"/>
      <c r="E6942" s="31"/>
      <c r="G6942" s="43"/>
      <c r="H6942" s="2"/>
    </row>
    <row r="6943" spans="1:8">
      <c r="A6943" s="39">
        <v>2.7664438413959</v>
      </c>
      <c r="B6943" s="45">
        <v>10</v>
      </c>
      <c r="D6943" s="2"/>
      <c r="E6943" s="31"/>
      <c r="G6943" s="43"/>
      <c r="H6943" s="2"/>
    </row>
    <row r="6944" spans="1:8">
      <c r="A6944" s="39">
        <v>2.76559082696625</v>
      </c>
      <c r="B6944" s="45">
        <v>4.5</v>
      </c>
      <c r="D6944" s="2"/>
      <c r="E6944" s="31"/>
      <c r="G6944" s="43"/>
      <c r="H6944" s="2"/>
    </row>
    <row r="6945" spans="1:8">
      <c r="A6945" s="39">
        <v>2.7653328274056</v>
      </c>
      <c r="B6945" s="45">
        <v>5.5</v>
      </c>
      <c r="D6945" s="2"/>
      <c r="E6945" s="31"/>
      <c r="G6945" s="43"/>
      <c r="H6945" s="2"/>
    </row>
    <row r="6946" spans="1:8">
      <c r="A6946" s="39">
        <v>2.76524925616398</v>
      </c>
      <c r="B6946" s="45">
        <v>2</v>
      </c>
      <c r="D6946" s="2"/>
      <c r="E6946" s="31"/>
      <c r="G6946" s="43"/>
      <c r="H6946" s="2"/>
    </row>
    <row r="6947" spans="1:8">
      <c r="A6947" s="39">
        <v>2.76457595466504</v>
      </c>
      <c r="B6947" s="45">
        <v>2.7</v>
      </c>
      <c r="D6947" s="2"/>
      <c r="E6947" s="31"/>
      <c r="G6947" s="43"/>
      <c r="H6947" s="2"/>
    </row>
    <row r="6948" spans="1:8">
      <c r="A6948" s="39">
        <v>2.76317632232589</v>
      </c>
      <c r="B6948" s="45">
        <v>5.3</v>
      </c>
      <c r="D6948" s="2"/>
      <c r="E6948" s="31"/>
      <c r="G6948" s="43"/>
      <c r="H6948" s="2"/>
    </row>
    <row r="6949" spans="1:8">
      <c r="A6949" s="39">
        <v>2.76317632232589</v>
      </c>
      <c r="B6949" s="45">
        <v>5</v>
      </c>
      <c r="D6949" s="2"/>
      <c r="E6949" s="31"/>
      <c r="G6949" s="43"/>
      <c r="H6949" s="2"/>
    </row>
    <row r="6950" spans="1:8">
      <c r="A6950" s="39">
        <v>2.76271834427507</v>
      </c>
      <c r="B6950" s="45">
        <v>5.4</v>
      </c>
      <c r="D6950" s="2"/>
      <c r="E6950" s="31"/>
      <c r="G6950" s="43"/>
      <c r="H6950" s="2"/>
    </row>
    <row r="6951" spans="1:8">
      <c r="A6951" s="39">
        <v>2.76223090312172</v>
      </c>
      <c r="B6951" s="45">
        <v>2</v>
      </c>
      <c r="D6951" s="2"/>
      <c r="E6951" s="31"/>
      <c r="G6951" s="43"/>
      <c r="H6951" s="2"/>
    </row>
    <row r="6952" spans="1:8">
      <c r="A6952" s="39">
        <v>2.76218451057812</v>
      </c>
      <c r="B6952" s="45">
        <v>9.7</v>
      </c>
      <c r="D6952" s="2"/>
      <c r="E6952" s="31"/>
      <c r="G6952" s="43"/>
      <c r="H6952" s="2"/>
    </row>
    <row r="6953" spans="1:8">
      <c r="A6953" s="39">
        <v>2.76202923893177</v>
      </c>
      <c r="B6953" s="45">
        <v>5.2</v>
      </c>
      <c r="D6953" s="2"/>
      <c r="E6953" s="31"/>
      <c r="G6953" s="43"/>
      <c r="H6953" s="2"/>
    </row>
    <row r="6954" spans="1:8">
      <c r="A6954" s="39">
        <v>2.76150342592838</v>
      </c>
      <c r="B6954" s="45">
        <v>18.4</v>
      </c>
      <c r="D6954" s="2"/>
      <c r="E6954" s="31"/>
      <c r="G6954" s="43"/>
      <c r="H6954" s="2"/>
    </row>
    <row r="6955" spans="1:8">
      <c r="A6955" s="39">
        <v>2.76011008546292</v>
      </c>
      <c r="B6955" s="45">
        <v>13.2</v>
      </c>
      <c r="D6955" s="2"/>
      <c r="E6955" s="31"/>
      <c r="G6955" s="43"/>
      <c r="H6955" s="2"/>
    </row>
    <row r="6956" spans="1:8">
      <c r="A6956" s="39">
        <v>2.76011008546292</v>
      </c>
      <c r="B6956" s="45">
        <v>11</v>
      </c>
      <c r="D6956" s="2"/>
      <c r="E6956" s="31"/>
      <c r="G6956" s="43"/>
      <c r="H6956" s="2"/>
    </row>
    <row r="6957" spans="1:8">
      <c r="A6957" s="39">
        <v>2.75980715529269</v>
      </c>
      <c r="B6957" s="45">
        <v>7</v>
      </c>
      <c r="D6957" s="2"/>
      <c r="E6957" s="31"/>
      <c r="G6957" s="43"/>
      <c r="H6957" s="2"/>
    </row>
    <row r="6958" spans="1:8">
      <c r="A6958" s="39">
        <v>2.75980715529269</v>
      </c>
      <c r="B6958" s="45">
        <v>4.3</v>
      </c>
      <c r="D6958" s="2"/>
      <c r="E6958" s="31"/>
      <c r="G6958" s="43"/>
      <c r="H6958" s="2"/>
    </row>
    <row r="6959" spans="1:8">
      <c r="A6959" s="39">
        <v>2.75975400832747</v>
      </c>
      <c r="B6959" s="45">
        <v>6.45</v>
      </c>
      <c r="D6959" s="2"/>
      <c r="E6959" s="31"/>
      <c r="G6959" s="43"/>
      <c r="H6959" s="2"/>
    </row>
    <row r="6960" spans="1:8">
      <c r="A6960" s="39">
        <v>2.7594063348037</v>
      </c>
      <c r="B6960" s="45">
        <v>12</v>
      </c>
      <c r="D6960" s="2"/>
      <c r="E6960" s="31"/>
      <c r="G6960" s="43"/>
      <c r="H6960" s="2"/>
    </row>
    <row r="6961" spans="1:8">
      <c r="A6961" s="39">
        <v>2.75876133874373</v>
      </c>
      <c r="B6961" s="45">
        <v>10.5</v>
      </c>
      <c r="D6961" s="2"/>
      <c r="E6961" s="31"/>
      <c r="G6961" s="43"/>
      <c r="H6961" s="2"/>
    </row>
    <row r="6962" spans="1:8">
      <c r="A6962" s="39">
        <v>2.75859351715501</v>
      </c>
      <c r="B6962" s="45">
        <v>25</v>
      </c>
      <c r="D6962" s="2"/>
      <c r="E6962" s="31"/>
      <c r="G6962" s="43"/>
      <c r="H6962" s="2"/>
    </row>
    <row r="6963" spans="1:8">
      <c r="A6963" s="39">
        <v>2.7583850827281</v>
      </c>
      <c r="B6963" s="45">
        <v>17.8</v>
      </c>
      <c r="D6963" s="2"/>
      <c r="E6963" s="31"/>
      <c r="G6963" s="43"/>
      <c r="H6963" s="2"/>
    </row>
    <row r="6964" spans="1:8">
      <c r="A6964" s="39">
        <v>2.7583515608015</v>
      </c>
      <c r="B6964" s="45">
        <v>12.5</v>
      </c>
      <c r="D6964" s="2"/>
      <c r="E6964" s="31"/>
      <c r="G6964" s="43"/>
      <c r="H6964" s="2"/>
    </row>
    <row r="6965" spans="1:8">
      <c r="A6965" s="39">
        <v>2.7583515608015</v>
      </c>
      <c r="B6965" s="45">
        <v>14</v>
      </c>
      <c r="D6965" s="2"/>
      <c r="E6965" s="31"/>
      <c r="G6965" s="43"/>
      <c r="H6965" s="2"/>
    </row>
    <row r="6966" spans="1:8">
      <c r="A6966" s="39">
        <v>2.75810775870612</v>
      </c>
      <c r="B6966" s="45">
        <v>7</v>
      </c>
      <c r="D6966" s="2"/>
      <c r="E6966" s="31"/>
      <c r="G6966" s="43"/>
      <c r="H6966" s="2"/>
    </row>
    <row r="6967" spans="1:8">
      <c r="A6967" s="39">
        <v>2.75810775870612</v>
      </c>
      <c r="B6967" s="45">
        <v>8.9</v>
      </c>
      <c r="D6967" s="2"/>
      <c r="E6967" s="31"/>
      <c r="G6967" s="43"/>
      <c r="H6967" s="2"/>
    </row>
    <row r="6968" spans="1:8">
      <c r="A6968" s="39">
        <v>2.75795574164484</v>
      </c>
      <c r="B6968" s="45">
        <v>0.3</v>
      </c>
      <c r="D6968" s="2"/>
      <c r="E6968" s="31"/>
      <c r="G6968" s="43"/>
      <c r="H6968" s="2"/>
    </row>
    <row r="6969" spans="1:8">
      <c r="A6969" s="39">
        <v>2.75786603996167</v>
      </c>
      <c r="B6969" s="45">
        <v>19</v>
      </c>
      <c r="D6969" s="2"/>
      <c r="E6969" s="31"/>
      <c r="G6969" s="43"/>
      <c r="H6969" s="2"/>
    </row>
    <row r="6970" spans="1:8">
      <c r="A6970" s="39">
        <v>2.7578429396756</v>
      </c>
      <c r="B6970" s="45">
        <v>5.4</v>
      </c>
      <c r="D6970" s="2"/>
      <c r="E6970" s="31"/>
      <c r="G6970" s="43"/>
      <c r="H6970" s="2"/>
    </row>
    <row r="6971" spans="1:8">
      <c r="A6971" s="39">
        <v>2.75741344427268</v>
      </c>
      <c r="B6971" s="45">
        <v>5.5</v>
      </c>
      <c r="D6971" s="2"/>
      <c r="E6971" s="31"/>
      <c r="G6971" s="43"/>
      <c r="H6971" s="2"/>
    </row>
    <row r="6972" spans="1:8">
      <c r="A6972" s="39">
        <v>2.75614701859329</v>
      </c>
      <c r="B6972" s="45">
        <v>1</v>
      </c>
      <c r="D6972" s="2"/>
      <c r="E6972" s="31"/>
      <c r="G6972" s="43"/>
      <c r="H6972" s="2"/>
    </row>
    <row r="6973" spans="1:8">
      <c r="A6973" s="39">
        <v>2.75614701859329</v>
      </c>
      <c r="B6973" s="45">
        <v>9.7</v>
      </c>
      <c r="D6973" s="2"/>
      <c r="E6973" s="31"/>
      <c r="G6973" s="43"/>
      <c r="H6973" s="2"/>
    </row>
    <row r="6974" spans="1:8">
      <c r="A6974" s="39">
        <v>2.75483985851808</v>
      </c>
      <c r="B6974" s="45">
        <v>24.5</v>
      </c>
      <c r="D6974" s="2"/>
      <c r="E6974" s="31"/>
      <c r="G6974" s="43"/>
      <c r="H6974" s="2"/>
    </row>
    <row r="6975" spans="1:8">
      <c r="A6975" s="39">
        <v>2.75252918283675</v>
      </c>
      <c r="B6975" s="45">
        <v>14</v>
      </c>
      <c r="D6975" s="2"/>
      <c r="E6975" s="31"/>
      <c r="G6975" s="43"/>
      <c r="H6975" s="2"/>
    </row>
    <row r="6976" spans="1:8">
      <c r="A6976" s="39">
        <v>2.75245652768404</v>
      </c>
      <c r="B6976" s="45">
        <v>8</v>
      </c>
      <c r="D6976" s="2"/>
      <c r="E6976" s="31"/>
      <c r="G6976" s="43"/>
      <c r="H6976" s="2"/>
    </row>
    <row r="6977" spans="1:8">
      <c r="A6977" s="39">
        <v>2.75222553836765</v>
      </c>
      <c r="B6977" s="45">
        <v>6.8</v>
      </c>
      <c r="D6977" s="2"/>
      <c r="E6977" s="31"/>
      <c r="G6977" s="43"/>
      <c r="H6977" s="2"/>
    </row>
    <row r="6978" spans="1:8">
      <c r="A6978" s="39">
        <v>2.75157195833004</v>
      </c>
      <c r="B6978" s="45">
        <v>9.5</v>
      </c>
      <c r="D6978" s="2"/>
      <c r="E6978" s="31"/>
      <c r="G6978" s="43"/>
      <c r="H6978" s="2"/>
    </row>
    <row r="6979" spans="1:8">
      <c r="A6979" s="39">
        <v>2.7510083890352</v>
      </c>
      <c r="B6979" s="45">
        <v>9.6</v>
      </c>
      <c r="D6979" s="2"/>
      <c r="E6979" s="31"/>
      <c r="G6979" s="43"/>
      <c r="H6979" s="2"/>
    </row>
    <row r="6980" spans="1:8">
      <c r="A6980" s="39">
        <v>2.748304058142</v>
      </c>
      <c r="B6980" s="45">
        <v>5</v>
      </c>
      <c r="D6980" s="2"/>
      <c r="E6980" s="31"/>
      <c r="G6980" s="43"/>
      <c r="H6980" s="2"/>
    </row>
    <row r="6981" spans="1:8">
      <c r="A6981" s="39">
        <v>2.74740970805083</v>
      </c>
      <c r="B6981" s="45">
        <v>10</v>
      </c>
      <c r="D6981" s="2"/>
      <c r="E6981" s="31"/>
      <c r="G6981" s="43"/>
      <c r="H6981" s="2"/>
    </row>
    <row r="6982" spans="1:8">
      <c r="A6982" s="39">
        <v>2.74606475233378</v>
      </c>
      <c r="B6982" s="45">
        <v>4</v>
      </c>
      <c r="D6982" s="2"/>
      <c r="E6982" s="31"/>
      <c r="G6982" s="43"/>
      <c r="H6982" s="2"/>
    </row>
    <row r="6983" spans="1:8">
      <c r="A6983" s="39">
        <v>2.74529902197551</v>
      </c>
      <c r="B6983" s="45">
        <v>6</v>
      </c>
      <c r="D6983" s="2"/>
      <c r="E6983" s="31"/>
      <c r="G6983" s="43"/>
      <c r="H6983" s="2"/>
    </row>
    <row r="6984" spans="1:8">
      <c r="A6984" s="39">
        <v>2.74527861368704</v>
      </c>
      <c r="B6984" s="45">
        <v>7.5</v>
      </c>
      <c r="D6984" s="2"/>
      <c r="E6984" s="31"/>
      <c r="G6984" s="43"/>
      <c r="H6984" s="2"/>
    </row>
    <row r="6985" spans="1:8">
      <c r="A6985" s="39">
        <v>2.74514737023232</v>
      </c>
      <c r="B6985" s="45">
        <v>7</v>
      </c>
      <c r="D6985" s="2"/>
      <c r="E6985" s="31"/>
      <c r="G6985" s="43"/>
      <c r="H6985" s="2"/>
    </row>
    <row r="6986" spans="1:8">
      <c r="A6986" s="39">
        <v>2.74469582673442</v>
      </c>
      <c r="B6986" s="45">
        <v>9.7</v>
      </c>
      <c r="D6986" s="2"/>
      <c r="E6986" s="31"/>
      <c r="G6986" s="43"/>
      <c r="H6986" s="2"/>
    </row>
    <row r="6987" spans="1:8">
      <c r="A6987" s="39">
        <v>2.74392382030085</v>
      </c>
      <c r="B6987" s="45">
        <v>3.4</v>
      </c>
      <c r="D6987" s="2"/>
      <c r="E6987" s="31"/>
      <c r="G6987" s="43"/>
      <c r="H6987" s="2"/>
    </row>
    <row r="6988" spans="1:8">
      <c r="A6988" s="39">
        <v>2.74389189792529</v>
      </c>
      <c r="B6988" s="45">
        <v>8.6</v>
      </c>
      <c r="D6988" s="2"/>
      <c r="E6988" s="31"/>
      <c r="G6988" s="43"/>
      <c r="H6988" s="2"/>
    </row>
    <row r="6989" spans="1:8">
      <c r="A6989" s="39">
        <v>2.74389189792529</v>
      </c>
      <c r="B6989" s="45">
        <v>13</v>
      </c>
      <c r="D6989" s="2"/>
      <c r="E6989" s="31"/>
      <c r="G6989" s="43"/>
      <c r="H6989" s="2"/>
    </row>
    <row r="6990" spans="1:8">
      <c r="A6990" s="39">
        <v>2.74384616985</v>
      </c>
      <c r="B6990" s="45">
        <v>6.8</v>
      </c>
      <c r="D6990" s="2"/>
      <c r="E6990" s="31"/>
      <c r="G6990" s="43"/>
      <c r="H6990" s="2"/>
    </row>
    <row r="6991" spans="1:8">
      <c r="A6991" s="39">
        <v>2.74178121184996</v>
      </c>
      <c r="B6991" s="45">
        <v>7.1</v>
      </c>
      <c r="D6991" s="2"/>
      <c r="E6991" s="31"/>
      <c r="G6991" s="43"/>
      <c r="H6991" s="2"/>
    </row>
    <row r="6992" spans="1:8">
      <c r="A6992" s="39">
        <v>2.74113406451479</v>
      </c>
      <c r="B6992" s="45">
        <v>11</v>
      </c>
      <c r="D6992" s="2"/>
      <c r="E6992" s="31"/>
      <c r="G6992" s="43"/>
      <c r="H6992" s="2"/>
    </row>
    <row r="6993" spans="1:8">
      <c r="A6993" s="39">
        <v>2.74111467772831</v>
      </c>
      <c r="B6993" s="45">
        <v>29</v>
      </c>
      <c r="D6993" s="2"/>
      <c r="E6993" s="31"/>
      <c r="G6993" s="43"/>
      <c r="H6993" s="2"/>
    </row>
    <row r="6994" spans="1:8">
      <c r="A6994" s="39">
        <v>2.74040658732145</v>
      </c>
      <c r="B6994" s="45">
        <v>7.9</v>
      </c>
      <c r="D6994" s="2"/>
      <c r="E6994" s="31"/>
      <c r="G6994" s="43"/>
      <c r="H6994" s="2"/>
    </row>
    <row r="6995" spans="1:8">
      <c r="A6995" s="39">
        <v>2.7389975656863</v>
      </c>
      <c r="B6995" s="45">
        <v>7.6</v>
      </c>
      <c r="D6995" s="2"/>
      <c r="E6995" s="31"/>
      <c r="G6995" s="43"/>
      <c r="H6995" s="2"/>
    </row>
    <row r="6996" spans="1:8">
      <c r="A6996" s="39">
        <v>2.73850035757788</v>
      </c>
      <c r="B6996" s="45">
        <v>9.5</v>
      </c>
      <c r="D6996" s="2"/>
      <c r="E6996" s="31"/>
      <c r="G6996" s="43"/>
      <c r="H6996" s="2"/>
    </row>
    <row r="6997" spans="1:8">
      <c r="A6997" s="39">
        <v>2.73826340172442</v>
      </c>
      <c r="B6997" s="45">
        <v>11</v>
      </c>
      <c r="D6997" s="2"/>
      <c r="E6997" s="31"/>
      <c r="G6997" s="43"/>
      <c r="H6997" s="2"/>
    </row>
    <row r="6998" spans="1:8">
      <c r="A6998" s="39">
        <v>2.73826340172442</v>
      </c>
      <c r="B6998" s="45">
        <v>9</v>
      </c>
      <c r="D6998" s="2"/>
      <c r="E6998" s="31"/>
      <c r="G6998" s="43"/>
      <c r="H6998" s="2"/>
    </row>
    <row r="6999" spans="1:8">
      <c r="A6999" s="39">
        <v>2.73797323792487</v>
      </c>
      <c r="B6999" s="45">
        <v>7.7</v>
      </c>
      <c r="D6999" s="2"/>
      <c r="E6999" s="31"/>
      <c r="G6999" s="43"/>
      <c r="H6999" s="2"/>
    </row>
    <row r="7000" spans="1:8">
      <c r="A7000" s="39">
        <v>2.73797323792487</v>
      </c>
      <c r="B7000" s="45">
        <v>13</v>
      </c>
      <c r="D7000" s="2"/>
      <c r="E7000" s="31"/>
      <c r="G7000" s="43"/>
      <c r="H7000" s="2"/>
    </row>
    <row r="7001" spans="1:8">
      <c r="A7001" s="39">
        <v>2.73724544067927</v>
      </c>
      <c r="B7001" s="45">
        <v>6.4</v>
      </c>
      <c r="D7001" s="2"/>
      <c r="E7001" s="31"/>
      <c r="G7001" s="43"/>
      <c r="H7001" s="2"/>
    </row>
    <row r="7002" spans="1:8">
      <c r="A7002" s="39">
        <v>2.7366839506648</v>
      </c>
      <c r="B7002" s="45">
        <v>7</v>
      </c>
      <c r="D7002" s="2"/>
      <c r="E7002" s="31"/>
      <c r="G7002" s="43"/>
      <c r="H7002" s="2"/>
    </row>
    <row r="7003" spans="1:8">
      <c r="A7003" s="39">
        <v>2.7366839506648</v>
      </c>
      <c r="B7003" s="45">
        <v>10.4</v>
      </c>
      <c r="D7003" s="2"/>
      <c r="E7003" s="31"/>
      <c r="G7003" s="43"/>
      <c r="H7003" s="2"/>
    </row>
    <row r="7004" spans="1:8">
      <c r="A7004" s="39">
        <v>2.7354788123902</v>
      </c>
      <c r="B7004" s="45">
        <v>6</v>
      </c>
      <c r="D7004" s="2"/>
      <c r="E7004" s="31"/>
      <c r="G7004" s="43"/>
      <c r="H7004" s="2"/>
    </row>
    <row r="7005" spans="1:8">
      <c r="A7005" s="39">
        <v>2.73427738721255</v>
      </c>
      <c r="B7005" s="45">
        <v>5.9</v>
      </c>
      <c r="D7005" s="2"/>
      <c r="E7005" s="31"/>
      <c r="G7005" s="43"/>
      <c r="H7005" s="2"/>
    </row>
    <row r="7006" spans="1:8">
      <c r="A7006" s="39">
        <v>2.73305995913978</v>
      </c>
      <c r="B7006" s="45">
        <v>9.5</v>
      </c>
      <c r="D7006" s="2"/>
      <c r="E7006" s="31"/>
      <c r="G7006" s="43"/>
      <c r="H7006" s="2"/>
    </row>
    <row r="7007" spans="1:8">
      <c r="A7007" s="39">
        <v>2.73288129619196</v>
      </c>
      <c r="B7007" s="45">
        <v>5.2</v>
      </c>
      <c r="D7007" s="2"/>
      <c r="E7007" s="31"/>
      <c r="G7007" s="43"/>
      <c r="H7007" s="2"/>
    </row>
    <row r="7008" spans="1:8">
      <c r="A7008" s="39">
        <v>2.7319600590941</v>
      </c>
      <c r="B7008" s="45">
        <v>8</v>
      </c>
      <c r="D7008" s="2"/>
      <c r="E7008" s="31"/>
      <c r="G7008" s="43"/>
      <c r="H7008" s="2"/>
    </row>
    <row r="7009" spans="1:8">
      <c r="A7009" s="39">
        <v>2.73167686100134</v>
      </c>
      <c r="B7009" s="45">
        <v>26</v>
      </c>
      <c r="D7009" s="2"/>
      <c r="E7009" s="31"/>
      <c r="G7009" s="43"/>
      <c r="H7009" s="2"/>
    </row>
    <row r="7010" spans="1:8">
      <c r="A7010" s="39">
        <v>2.73167039723516</v>
      </c>
      <c r="B7010" s="45">
        <v>7.7</v>
      </c>
      <c r="D7010" s="2"/>
      <c r="E7010" s="31"/>
      <c r="G7010" s="43"/>
      <c r="H7010" s="2"/>
    </row>
    <row r="7011" spans="1:8">
      <c r="A7011" s="39">
        <v>2.73142306271452</v>
      </c>
      <c r="B7011" s="45">
        <v>9.8</v>
      </c>
      <c r="D7011" s="2"/>
      <c r="E7011" s="31"/>
      <c r="G7011" s="43"/>
      <c r="H7011" s="2"/>
    </row>
    <row r="7012" spans="1:8">
      <c r="A7012" s="39">
        <v>2.73122778147333</v>
      </c>
      <c r="B7012" s="45">
        <v>6.8</v>
      </c>
      <c r="D7012" s="2"/>
      <c r="E7012" s="31"/>
      <c r="G7012" s="43"/>
      <c r="H7012" s="2"/>
    </row>
    <row r="7013" spans="1:8">
      <c r="A7013" s="39">
        <v>2.73052421944822</v>
      </c>
      <c r="B7013" s="45">
        <v>16.7</v>
      </c>
      <c r="D7013" s="2"/>
      <c r="E7013" s="31"/>
      <c r="G7013" s="43"/>
      <c r="H7013" s="2"/>
    </row>
    <row r="7014" spans="1:8">
      <c r="A7014" s="39">
        <v>2.73052421944822</v>
      </c>
      <c r="B7014" s="45">
        <v>17</v>
      </c>
      <c r="D7014" s="2"/>
      <c r="E7014" s="31"/>
      <c r="G7014" s="43"/>
      <c r="H7014" s="2"/>
    </row>
    <row r="7015" spans="1:8">
      <c r="A7015" s="39">
        <v>2.73052421944822</v>
      </c>
      <c r="B7015" s="45">
        <v>12</v>
      </c>
      <c r="D7015" s="2"/>
      <c r="E7015" s="31"/>
      <c r="G7015" s="43"/>
      <c r="H7015" s="2"/>
    </row>
    <row r="7016" spans="1:8">
      <c r="A7016" s="39">
        <v>2.7295217314796</v>
      </c>
      <c r="B7016" s="45">
        <v>7.7</v>
      </c>
      <c r="D7016" s="2"/>
      <c r="E7016" s="31"/>
      <c r="G7016" s="43"/>
      <c r="H7016" s="2"/>
    </row>
    <row r="7017" spans="1:8">
      <c r="A7017" s="39">
        <v>2.7295217314796</v>
      </c>
      <c r="B7017" s="45">
        <v>4.9</v>
      </c>
      <c r="D7017" s="2"/>
      <c r="E7017" s="31"/>
      <c r="G7017" s="43"/>
      <c r="H7017" s="2"/>
    </row>
    <row r="7018" spans="1:8">
      <c r="A7018" s="39">
        <v>2.7295217314796</v>
      </c>
      <c r="B7018" s="45">
        <v>5</v>
      </c>
      <c r="D7018" s="2"/>
      <c r="E7018" s="31"/>
      <c r="G7018" s="43"/>
      <c r="H7018" s="2"/>
    </row>
    <row r="7019" spans="1:8">
      <c r="A7019" s="39">
        <v>2.72949442942131</v>
      </c>
      <c r="B7019" s="45">
        <v>6.8</v>
      </c>
      <c r="D7019" s="2"/>
      <c r="E7019" s="31"/>
      <c r="G7019" s="43"/>
      <c r="H7019" s="2"/>
    </row>
    <row r="7020" spans="1:8">
      <c r="A7020" s="39">
        <v>2.72869665701375</v>
      </c>
      <c r="B7020" s="45">
        <v>6</v>
      </c>
      <c r="D7020" s="2"/>
      <c r="E7020" s="31"/>
      <c r="G7020" s="43"/>
      <c r="H7020" s="2"/>
    </row>
    <row r="7021" spans="1:8">
      <c r="A7021" s="39">
        <v>2.72821767372205</v>
      </c>
      <c r="B7021" s="45">
        <v>11.6</v>
      </c>
      <c r="D7021" s="2"/>
      <c r="E7021" s="31"/>
      <c r="G7021" s="43"/>
      <c r="H7021" s="2"/>
    </row>
    <row r="7022" spans="1:8">
      <c r="A7022" s="39">
        <v>2.72803947503462</v>
      </c>
      <c r="B7022" s="45">
        <v>13.2</v>
      </c>
      <c r="D7022" s="2"/>
      <c r="E7022" s="31"/>
      <c r="G7022" s="43"/>
      <c r="H7022" s="2"/>
    </row>
    <row r="7023" spans="1:8">
      <c r="A7023" s="39">
        <v>2.72797486657582</v>
      </c>
      <c r="B7023" s="45">
        <v>6.8</v>
      </c>
      <c r="D7023" s="2"/>
      <c r="E7023" s="31"/>
      <c r="G7023" s="43"/>
      <c r="H7023" s="2"/>
    </row>
    <row r="7024" spans="1:8">
      <c r="A7024" s="39">
        <v>2.72758425674231</v>
      </c>
      <c r="B7024" s="45">
        <v>7.7</v>
      </c>
      <c r="D7024" s="2"/>
      <c r="E7024" s="31"/>
      <c r="G7024" s="43"/>
      <c r="H7024" s="2"/>
    </row>
    <row r="7025" spans="1:8">
      <c r="A7025" s="39">
        <v>2.72758425674231</v>
      </c>
      <c r="B7025" s="45">
        <v>11.2</v>
      </c>
      <c r="D7025" s="2"/>
      <c r="E7025" s="31"/>
      <c r="G7025" s="43"/>
      <c r="H7025" s="2"/>
    </row>
    <row r="7026" spans="1:8">
      <c r="A7026" s="39">
        <v>2.72705627924096</v>
      </c>
      <c r="B7026" s="45">
        <v>5.8</v>
      </c>
      <c r="D7026" s="2"/>
      <c r="E7026" s="31"/>
      <c r="G7026" s="43"/>
      <c r="H7026" s="2"/>
    </row>
    <row r="7027" spans="1:8">
      <c r="A7027" s="39">
        <v>2.72700640932267</v>
      </c>
      <c r="B7027" s="45">
        <v>9.7</v>
      </c>
      <c r="D7027" s="2"/>
      <c r="E7027" s="31"/>
      <c r="G7027" s="43"/>
      <c r="H7027" s="2"/>
    </row>
    <row r="7028" spans="1:8">
      <c r="A7028" s="39">
        <v>2.72630284729756</v>
      </c>
      <c r="B7028" s="45">
        <v>12</v>
      </c>
      <c r="D7028" s="2"/>
      <c r="E7028" s="31"/>
      <c r="G7028" s="43"/>
      <c r="H7028" s="2"/>
    </row>
    <row r="7029" spans="1:8">
      <c r="A7029" s="39">
        <v>2.72608233686332</v>
      </c>
      <c r="B7029" s="45">
        <v>5.2</v>
      </c>
      <c r="D7029" s="2"/>
      <c r="E7029" s="31"/>
      <c r="G7029" s="43"/>
      <c r="H7029" s="2"/>
    </row>
    <row r="7030" spans="1:8">
      <c r="A7030" s="39">
        <v>2.72608233686332</v>
      </c>
      <c r="B7030" s="45">
        <v>18</v>
      </c>
      <c r="D7030" s="2"/>
      <c r="E7030" s="31"/>
      <c r="G7030" s="43"/>
      <c r="H7030" s="2"/>
    </row>
    <row r="7031" spans="1:8">
      <c r="A7031" s="39">
        <v>2.725940621887</v>
      </c>
      <c r="B7031" s="45">
        <v>26</v>
      </c>
      <c r="D7031" s="2"/>
      <c r="E7031" s="31"/>
      <c r="G7031" s="43"/>
      <c r="H7031" s="2"/>
    </row>
    <row r="7032" spans="1:8">
      <c r="A7032" s="39">
        <v>2.72492255250189</v>
      </c>
      <c r="B7032" s="45">
        <v>16.2</v>
      </c>
      <c r="D7032" s="2"/>
      <c r="E7032" s="31"/>
      <c r="G7032" s="43"/>
      <c r="H7032" s="2"/>
    </row>
    <row r="7033" spans="1:8">
      <c r="A7033" s="39">
        <v>2.72489572324734</v>
      </c>
      <c r="B7033" s="45">
        <v>15</v>
      </c>
      <c r="D7033" s="2"/>
      <c r="E7033" s="31"/>
      <c r="G7033" s="43"/>
      <c r="H7033" s="2"/>
    </row>
    <row r="7034" spans="1:8">
      <c r="A7034" s="39">
        <v>2.72416194274388</v>
      </c>
      <c r="B7034" s="45">
        <v>10.4</v>
      </c>
      <c r="D7034" s="2"/>
      <c r="E7034" s="31"/>
      <c r="G7034" s="43"/>
      <c r="H7034" s="2"/>
    </row>
    <row r="7035" spans="1:8">
      <c r="A7035" s="39">
        <v>2.72341729301299</v>
      </c>
      <c r="B7035" s="45">
        <v>11.3</v>
      </c>
      <c r="D7035" s="2"/>
      <c r="E7035" s="31"/>
      <c r="G7035" s="43"/>
      <c r="H7035" s="2"/>
    </row>
    <row r="7036" spans="1:8">
      <c r="A7036" s="39">
        <v>2.72306843695968</v>
      </c>
      <c r="B7036" s="45">
        <v>5.8</v>
      </c>
      <c r="D7036" s="2"/>
      <c r="E7036" s="31"/>
      <c r="G7036" s="43"/>
      <c r="H7036" s="2"/>
    </row>
    <row r="7037" spans="1:8">
      <c r="A7037" s="39">
        <v>2.7223595122944</v>
      </c>
      <c r="B7037" s="45">
        <v>12.8</v>
      </c>
      <c r="D7037" s="2"/>
      <c r="E7037" s="31"/>
      <c r="G7037" s="43"/>
      <c r="H7037" s="2"/>
    </row>
    <row r="7038" spans="1:8">
      <c r="A7038" s="39">
        <v>2.72216085663767</v>
      </c>
      <c r="B7038" s="45">
        <v>10.5</v>
      </c>
      <c r="D7038" s="2"/>
      <c r="E7038" s="31"/>
      <c r="G7038" s="43"/>
      <c r="H7038" s="2"/>
    </row>
    <row r="7039" spans="1:8">
      <c r="A7039" s="39">
        <v>2.7219616985218</v>
      </c>
      <c r="B7039" s="45">
        <v>19</v>
      </c>
      <c r="D7039" s="2"/>
      <c r="E7039" s="31"/>
      <c r="G7039" s="43"/>
      <c r="H7039" s="2"/>
    </row>
    <row r="7040" spans="1:8">
      <c r="A7040" s="39">
        <v>2.7219616985218</v>
      </c>
      <c r="B7040" s="45">
        <v>10.7</v>
      </c>
      <c r="D7040" s="2"/>
      <c r="E7040" s="31"/>
      <c r="G7040" s="43"/>
      <c r="H7040" s="2"/>
    </row>
    <row r="7041" spans="1:8">
      <c r="A7041" s="39">
        <v>2.72164329037588</v>
      </c>
      <c r="B7041" s="45">
        <v>6.5</v>
      </c>
      <c r="D7041" s="2"/>
      <c r="E7041" s="31"/>
      <c r="G7041" s="43"/>
      <c r="H7041" s="2"/>
    </row>
    <row r="7042" spans="1:8">
      <c r="A7042" s="39">
        <v>2.72148465873261</v>
      </c>
      <c r="B7042" s="45">
        <v>5.7</v>
      </c>
      <c r="D7042" s="2"/>
      <c r="E7042" s="31"/>
      <c r="G7042" s="43"/>
      <c r="H7042" s="2"/>
    </row>
    <row r="7043" spans="1:8">
      <c r="A7043" s="39">
        <v>2.72148465873261</v>
      </c>
      <c r="B7043" s="45">
        <v>6.2</v>
      </c>
      <c r="D7043" s="2"/>
      <c r="E7043" s="31"/>
      <c r="G7043" s="43"/>
      <c r="H7043" s="2"/>
    </row>
    <row r="7044" spans="1:8">
      <c r="A7044" s="39">
        <v>2.72020011652485</v>
      </c>
      <c r="B7044" s="45">
        <v>12</v>
      </c>
      <c r="D7044" s="2"/>
      <c r="E7044" s="31"/>
      <c r="G7044" s="43"/>
      <c r="H7044" s="2"/>
    </row>
    <row r="7045" spans="1:8">
      <c r="A7045" s="39">
        <v>2.71977830678502</v>
      </c>
      <c r="B7045" s="45">
        <v>4</v>
      </c>
      <c r="D7045" s="2"/>
      <c r="E7045" s="31"/>
      <c r="G7045" s="43"/>
      <c r="H7045" s="2"/>
    </row>
    <row r="7046" spans="1:8">
      <c r="A7046" s="39">
        <v>2.71977830678502</v>
      </c>
      <c r="B7046" s="45">
        <v>15</v>
      </c>
      <c r="D7046" s="2"/>
      <c r="E7046" s="31"/>
      <c r="G7046" s="43"/>
      <c r="H7046" s="2"/>
    </row>
    <row r="7047" spans="1:8">
      <c r="A7047" s="39">
        <v>2.71905050953942</v>
      </c>
      <c r="B7047" s="45">
        <v>12.3</v>
      </c>
      <c r="D7047" s="2"/>
      <c r="E7047" s="31"/>
      <c r="G7047" s="43"/>
      <c r="H7047" s="2"/>
    </row>
    <row r="7048" spans="1:8">
      <c r="A7048" s="39">
        <v>2.7187784027018</v>
      </c>
      <c r="B7048" s="45">
        <v>10</v>
      </c>
      <c r="D7048" s="2"/>
      <c r="E7048" s="31"/>
      <c r="G7048" s="43"/>
      <c r="H7048" s="2"/>
    </row>
    <row r="7049" spans="1:8">
      <c r="A7049" s="39">
        <v>2.71811815123789</v>
      </c>
      <c r="B7049" s="45">
        <v>9</v>
      </c>
      <c r="D7049" s="2"/>
      <c r="E7049" s="31"/>
      <c r="G7049" s="43"/>
      <c r="H7049" s="2"/>
    </row>
    <row r="7050" spans="1:8">
      <c r="A7050" s="39">
        <v>2.71788504590969</v>
      </c>
      <c r="B7050" s="45">
        <v>13</v>
      </c>
      <c r="D7050" s="2"/>
      <c r="E7050" s="31"/>
      <c r="G7050" s="43"/>
      <c r="H7050" s="2"/>
    </row>
    <row r="7051" spans="1:8">
      <c r="A7051" s="39">
        <v>2.71786010299625</v>
      </c>
      <c r="B7051" s="45">
        <v>7.6</v>
      </c>
      <c r="D7051" s="2"/>
      <c r="E7051" s="31"/>
      <c r="G7051" s="43"/>
      <c r="H7051" s="2"/>
    </row>
    <row r="7052" spans="1:8">
      <c r="A7052" s="39">
        <v>2.71677154824</v>
      </c>
      <c r="B7052" s="45">
        <v>6.5</v>
      </c>
      <c r="D7052" s="2"/>
      <c r="E7052" s="31"/>
      <c r="G7052" s="43"/>
      <c r="H7052" s="2"/>
    </row>
    <row r="7053" spans="1:8">
      <c r="A7053" s="39">
        <v>2.71652653080482</v>
      </c>
      <c r="B7053" s="45">
        <v>9.9</v>
      </c>
      <c r="D7053" s="2"/>
      <c r="E7053" s="31"/>
      <c r="G7053" s="43"/>
      <c r="H7053" s="2"/>
    </row>
    <row r="7054" spans="1:8">
      <c r="A7054" s="39">
        <v>2.71645297894604</v>
      </c>
      <c r="B7054" s="45">
        <v>22.5</v>
      </c>
      <c r="D7054" s="2"/>
      <c r="E7054" s="31"/>
      <c r="G7054" s="43"/>
      <c r="H7054" s="2"/>
    </row>
    <row r="7055" spans="1:8">
      <c r="A7055" s="39">
        <v>2.71613932055705</v>
      </c>
      <c r="B7055" s="45">
        <v>19.5</v>
      </c>
      <c r="D7055" s="2"/>
      <c r="E7055" s="31"/>
      <c r="G7055" s="43"/>
      <c r="H7055" s="2"/>
    </row>
    <row r="7056" spans="1:8">
      <c r="A7056" s="39">
        <v>2.71613932055705</v>
      </c>
      <c r="B7056" s="45">
        <v>8</v>
      </c>
      <c r="D7056" s="2"/>
      <c r="E7056" s="31"/>
      <c r="G7056" s="43"/>
      <c r="H7056" s="2"/>
    </row>
    <row r="7057" spans="1:8">
      <c r="A7057" s="39">
        <v>2.71613932055705</v>
      </c>
      <c r="B7057" s="45">
        <v>9</v>
      </c>
      <c r="D7057" s="2"/>
      <c r="E7057" s="31"/>
      <c r="G7057" s="43"/>
      <c r="H7057" s="2"/>
    </row>
    <row r="7058" spans="1:8">
      <c r="A7058" s="39">
        <v>2.71562505626159</v>
      </c>
      <c r="B7058" s="45">
        <v>8</v>
      </c>
      <c r="D7058" s="2"/>
      <c r="E7058" s="31"/>
      <c r="G7058" s="43"/>
      <c r="H7058" s="2"/>
    </row>
    <row r="7059" spans="1:8">
      <c r="A7059" s="39">
        <v>2.7151972931092</v>
      </c>
      <c r="B7059" s="45">
        <v>7</v>
      </c>
      <c r="D7059" s="2"/>
      <c r="E7059" s="31"/>
      <c r="G7059" s="43"/>
      <c r="H7059" s="2"/>
    </row>
    <row r="7060" spans="1:8">
      <c r="A7060" s="39">
        <v>2.71507004327281</v>
      </c>
      <c r="B7060" s="45">
        <v>5</v>
      </c>
      <c r="D7060" s="2"/>
      <c r="E7060" s="31"/>
      <c r="G7060" s="43"/>
      <c r="H7060" s="2"/>
    </row>
    <row r="7061" spans="1:8">
      <c r="A7061" s="39">
        <v>2.71468372606586</v>
      </c>
      <c r="B7061" s="45">
        <v>18</v>
      </c>
      <c r="D7061" s="2"/>
      <c r="E7061" s="31"/>
      <c r="G7061" s="43"/>
      <c r="H7061" s="2"/>
    </row>
    <row r="7062" spans="1:8">
      <c r="A7062" s="39">
        <v>2.71203497678109</v>
      </c>
      <c r="B7062" s="45">
        <v>19</v>
      </c>
      <c r="D7062" s="2"/>
      <c r="E7062" s="31"/>
      <c r="G7062" s="43"/>
      <c r="H7062" s="2"/>
    </row>
    <row r="7063" spans="1:8">
      <c r="A7063" s="39">
        <v>2.7107118347495</v>
      </c>
      <c r="B7063" s="45">
        <v>8</v>
      </c>
      <c r="D7063" s="2"/>
      <c r="E7063" s="31"/>
      <c r="G7063" s="43"/>
      <c r="H7063" s="2"/>
    </row>
    <row r="7064" spans="1:8">
      <c r="A7064" s="39">
        <v>2.70985254520106</v>
      </c>
      <c r="B7064" s="45">
        <v>10.1</v>
      </c>
      <c r="D7064" s="2"/>
      <c r="E7064" s="31"/>
      <c r="G7064" s="43"/>
      <c r="H7064" s="2"/>
    </row>
    <row r="7065" spans="1:8">
      <c r="A7065" s="39">
        <v>2.70876132941105</v>
      </c>
      <c r="B7065" s="45">
        <v>5.4</v>
      </c>
      <c r="D7065" s="2"/>
      <c r="E7065" s="31"/>
      <c r="G7065" s="43"/>
      <c r="H7065" s="2"/>
    </row>
    <row r="7066" spans="1:8">
      <c r="A7066" s="39">
        <v>2.70836201565728</v>
      </c>
      <c r="B7066" s="45">
        <v>15.2</v>
      </c>
      <c r="D7066" s="2"/>
      <c r="E7066" s="31"/>
      <c r="G7066" s="43"/>
      <c r="H7066" s="2"/>
    </row>
    <row r="7067" spans="1:8">
      <c r="A7067" s="39">
        <v>2.70740575360992</v>
      </c>
      <c r="B7067" s="45">
        <v>6</v>
      </c>
      <c r="D7067" s="2"/>
      <c r="E7067" s="31"/>
      <c r="G7067" s="43"/>
      <c r="H7067" s="2"/>
    </row>
    <row r="7068" spans="1:8">
      <c r="A7068" s="39">
        <v>2.70671367157253</v>
      </c>
      <c r="B7068" s="45">
        <v>4.9</v>
      </c>
      <c r="D7068" s="2"/>
      <c r="E7068" s="31"/>
      <c r="G7068" s="43"/>
      <c r="H7068" s="2"/>
    </row>
    <row r="7069" spans="1:8">
      <c r="A7069" s="39">
        <v>2.70522236187313</v>
      </c>
      <c r="B7069" s="45">
        <v>0</v>
      </c>
      <c r="D7069" s="2"/>
      <c r="E7069" s="31"/>
      <c r="G7069" s="43"/>
      <c r="H7069" s="2"/>
    </row>
    <row r="7070" spans="1:8">
      <c r="A7070" s="39">
        <v>2.70522236187313</v>
      </c>
      <c r="B7070" s="45">
        <v>8.9</v>
      </c>
      <c r="D7070" s="2"/>
      <c r="E7070" s="31"/>
      <c r="G7070" s="43"/>
      <c r="H7070" s="2"/>
    </row>
    <row r="7071" spans="1:8">
      <c r="A7071" s="39">
        <v>2.70507819503382</v>
      </c>
      <c r="B7071" s="45">
        <v>10.1</v>
      </c>
      <c r="D7071" s="2"/>
      <c r="E7071" s="31"/>
      <c r="G7071" s="43"/>
      <c r="H7071" s="2"/>
    </row>
    <row r="7072" spans="1:8">
      <c r="A7072" s="39">
        <v>2.70451419562226</v>
      </c>
      <c r="B7072" s="45">
        <v>9.6</v>
      </c>
      <c r="D7072" s="2"/>
      <c r="E7072" s="31"/>
      <c r="G7072" s="43"/>
      <c r="H7072" s="2"/>
    </row>
    <row r="7073" spans="1:8">
      <c r="A7073" s="39">
        <v>2.70381003272528</v>
      </c>
      <c r="B7073" s="45">
        <v>6</v>
      </c>
      <c r="D7073" s="2"/>
      <c r="E7073" s="31"/>
      <c r="G7073" s="43"/>
      <c r="H7073" s="2"/>
    </row>
    <row r="7074" spans="1:8">
      <c r="A7074" s="39">
        <v>2.70381003272528</v>
      </c>
      <c r="B7074" s="45">
        <v>12.4</v>
      </c>
      <c r="D7074" s="2"/>
      <c r="E7074" s="31"/>
      <c r="G7074" s="43"/>
      <c r="H7074" s="2"/>
    </row>
    <row r="7075" spans="1:8">
      <c r="A7075" s="39">
        <v>2.70330551826111</v>
      </c>
      <c r="B7075" s="45">
        <v>3</v>
      </c>
      <c r="D7075" s="2"/>
      <c r="E7075" s="31"/>
      <c r="G7075" s="43"/>
      <c r="H7075" s="2"/>
    </row>
    <row r="7076" spans="1:8">
      <c r="A7076" s="39">
        <v>2.70330551826111</v>
      </c>
      <c r="B7076" s="45">
        <v>6.1</v>
      </c>
      <c r="D7076" s="2"/>
      <c r="E7076" s="31"/>
      <c r="G7076" s="43"/>
      <c r="H7076" s="2"/>
    </row>
    <row r="7077" spans="1:8">
      <c r="A7077" s="39">
        <v>2.70310628206606</v>
      </c>
      <c r="B7077" s="45">
        <v>11.5</v>
      </c>
      <c r="D7077" s="2"/>
      <c r="E7077" s="31"/>
      <c r="G7077" s="43"/>
      <c r="H7077" s="2"/>
    </row>
    <row r="7078" spans="1:8">
      <c r="A7078" s="39">
        <v>2.70158907665732</v>
      </c>
      <c r="B7078" s="45">
        <v>6.5</v>
      </c>
      <c r="D7078" s="2"/>
      <c r="E7078" s="31"/>
      <c r="G7078" s="43"/>
      <c r="H7078" s="2"/>
    </row>
    <row r="7079" spans="1:8">
      <c r="A7079" s="39">
        <v>2.70158337564516</v>
      </c>
      <c r="B7079" s="45">
        <v>13.8</v>
      </c>
      <c r="D7079" s="2"/>
      <c r="E7079" s="31"/>
      <c r="G7079" s="43"/>
      <c r="H7079" s="2"/>
    </row>
    <row r="7080" spans="1:8">
      <c r="A7080" s="39">
        <v>2.70020574475493</v>
      </c>
      <c r="B7080" s="45">
        <v>11</v>
      </c>
      <c r="D7080" s="2"/>
      <c r="E7080" s="31"/>
      <c r="G7080" s="43"/>
      <c r="H7080" s="2"/>
    </row>
    <row r="7081" spans="1:8">
      <c r="A7081" s="39">
        <v>2.70012778115398</v>
      </c>
      <c r="B7081" s="45">
        <v>2</v>
      </c>
      <c r="D7081" s="2"/>
      <c r="E7081" s="31"/>
      <c r="G7081" s="43"/>
      <c r="H7081" s="2"/>
    </row>
    <row r="7082" spans="1:8">
      <c r="A7082" s="39">
        <v>2.69966786449426</v>
      </c>
      <c r="B7082" s="45">
        <v>5.6</v>
      </c>
      <c r="D7082" s="2"/>
      <c r="E7082" s="31"/>
      <c r="G7082" s="43"/>
      <c r="H7082" s="2"/>
    </row>
    <row r="7083" spans="1:8">
      <c r="A7083" s="39">
        <v>2.69853628887896</v>
      </c>
      <c r="B7083" s="45">
        <v>7.5</v>
      </c>
      <c r="D7083" s="2"/>
      <c r="E7083" s="31"/>
      <c r="G7083" s="43"/>
      <c r="H7083" s="2"/>
    </row>
    <row r="7084" spans="1:8">
      <c r="A7084" s="39">
        <v>2.69794438941719</v>
      </c>
      <c r="B7084" s="45">
        <v>5</v>
      </c>
      <c r="D7084" s="2"/>
      <c r="E7084" s="31"/>
      <c r="G7084" s="43"/>
      <c r="H7084" s="2"/>
    </row>
    <row r="7085" spans="1:8">
      <c r="A7085" s="39">
        <v>2.69794438941719</v>
      </c>
      <c r="B7085" s="45">
        <v>3</v>
      </c>
      <c r="D7085" s="2"/>
      <c r="E7085" s="31"/>
      <c r="G7085" s="43"/>
      <c r="H7085" s="2"/>
    </row>
    <row r="7086" spans="1:8">
      <c r="A7086" s="39">
        <v>2.6972917451462</v>
      </c>
      <c r="B7086" s="45">
        <v>11</v>
      </c>
      <c r="D7086" s="2"/>
      <c r="E7086" s="31"/>
      <c r="G7086" s="43"/>
      <c r="H7086" s="2"/>
    </row>
    <row r="7087" spans="1:8">
      <c r="A7087" s="39">
        <v>2.69678343075651</v>
      </c>
      <c r="B7087" s="45">
        <v>8.3</v>
      </c>
      <c r="D7087" s="2"/>
      <c r="E7087" s="31"/>
      <c r="G7087" s="43"/>
      <c r="H7087" s="2"/>
    </row>
    <row r="7088" spans="1:8">
      <c r="A7088" s="39">
        <v>2.69675795572089</v>
      </c>
      <c r="B7088" s="45">
        <v>9</v>
      </c>
      <c r="D7088" s="2"/>
      <c r="E7088" s="31"/>
      <c r="G7088" s="43"/>
      <c r="H7088" s="2"/>
    </row>
    <row r="7089" spans="1:8">
      <c r="A7089" s="39">
        <v>2.69675324224298</v>
      </c>
      <c r="B7089" s="45">
        <v>11</v>
      </c>
      <c r="D7089" s="2"/>
      <c r="E7089" s="31"/>
      <c r="G7089" s="43"/>
      <c r="H7089" s="2"/>
    </row>
    <row r="7090" spans="1:8">
      <c r="A7090" s="39">
        <v>2.69648879492601</v>
      </c>
      <c r="B7090" s="45">
        <v>8</v>
      </c>
      <c r="D7090" s="2"/>
      <c r="E7090" s="31"/>
      <c r="G7090" s="43"/>
      <c r="H7090" s="2"/>
    </row>
    <row r="7091" spans="1:8">
      <c r="A7091" s="39">
        <v>2.69603047852755</v>
      </c>
      <c r="B7091" s="45">
        <v>9.7</v>
      </c>
      <c r="D7091" s="2"/>
      <c r="E7091" s="31"/>
      <c r="G7091" s="43"/>
      <c r="H7091" s="2"/>
    </row>
    <row r="7092" spans="1:8">
      <c r="A7092" s="39">
        <v>2.69585930130916</v>
      </c>
      <c r="B7092" s="45">
        <v>11</v>
      </c>
      <c r="D7092" s="2"/>
      <c r="E7092" s="31"/>
      <c r="G7092" s="43"/>
      <c r="H7092" s="2"/>
    </row>
    <row r="7093" spans="1:8">
      <c r="A7093" s="39">
        <v>2.69534611819276</v>
      </c>
      <c r="B7093" s="45">
        <v>14.5</v>
      </c>
      <c r="D7093" s="2"/>
      <c r="E7093" s="31"/>
      <c r="G7093" s="43"/>
      <c r="H7093" s="2"/>
    </row>
    <row r="7094" spans="1:8">
      <c r="A7094" s="39">
        <v>2.69503320043482</v>
      </c>
      <c r="B7094" s="45">
        <v>12</v>
      </c>
      <c r="D7094" s="2"/>
      <c r="E7094" s="31"/>
      <c r="G7094" s="43"/>
      <c r="H7094" s="2"/>
    </row>
    <row r="7095" spans="1:8">
      <c r="A7095" s="39">
        <v>2.69444759753217</v>
      </c>
      <c r="B7095" s="45">
        <v>10.6</v>
      </c>
      <c r="D7095" s="2"/>
      <c r="E7095" s="31"/>
      <c r="G7095" s="43"/>
      <c r="H7095" s="2"/>
    </row>
    <row r="7096" spans="1:8">
      <c r="A7096" s="39">
        <v>2.69430540318922</v>
      </c>
      <c r="B7096" s="45">
        <v>9</v>
      </c>
      <c r="D7096" s="2"/>
      <c r="E7096" s="31"/>
      <c r="G7096" s="43"/>
      <c r="H7096" s="2"/>
    </row>
    <row r="7097" spans="1:8">
      <c r="A7097" s="39">
        <v>2.69336111675809</v>
      </c>
      <c r="B7097" s="45">
        <v>3.5</v>
      </c>
      <c r="D7097" s="2"/>
      <c r="E7097" s="31"/>
      <c r="G7097" s="43"/>
      <c r="H7097" s="2"/>
    </row>
    <row r="7098" spans="1:8">
      <c r="A7098" s="39">
        <v>2.69312056975418</v>
      </c>
      <c r="B7098" s="45">
        <v>1</v>
      </c>
      <c r="D7098" s="2"/>
      <c r="E7098" s="31"/>
      <c r="G7098" s="43"/>
      <c r="H7098" s="2"/>
    </row>
    <row r="7099" spans="1:8">
      <c r="A7099" s="39">
        <v>2.69130772835903</v>
      </c>
      <c r="B7099" s="45">
        <v>7</v>
      </c>
      <c r="D7099" s="2"/>
      <c r="E7099" s="31"/>
      <c r="G7099" s="43"/>
      <c r="H7099" s="2"/>
    </row>
    <row r="7100" spans="1:8">
      <c r="A7100" s="39">
        <v>2.69118609128012</v>
      </c>
      <c r="B7100" s="45">
        <v>4.1</v>
      </c>
      <c r="D7100" s="2"/>
      <c r="E7100" s="31"/>
      <c r="G7100" s="43"/>
      <c r="H7100" s="2"/>
    </row>
    <row r="7101" spans="1:8">
      <c r="A7101" s="39">
        <v>2.69112474604211</v>
      </c>
      <c r="B7101" s="45">
        <v>10.2</v>
      </c>
      <c r="D7101" s="2"/>
      <c r="E7101" s="31"/>
      <c r="G7101" s="43"/>
      <c r="H7101" s="2"/>
    </row>
    <row r="7102" spans="1:8">
      <c r="A7102" s="39">
        <v>2.69078901483249</v>
      </c>
      <c r="B7102" s="45">
        <v>15</v>
      </c>
      <c r="D7102" s="2"/>
      <c r="E7102" s="31"/>
      <c r="G7102" s="43"/>
      <c r="H7102" s="2"/>
    </row>
    <row r="7103" spans="1:8">
      <c r="A7103" s="39">
        <v>2.69078901483249</v>
      </c>
      <c r="B7103" s="45">
        <v>6.2</v>
      </c>
      <c r="D7103" s="2"/>
      <c r="E7103" s="31"/>
      <c r="G7103" s="43"/>
      <c r="H7103" s="2"/>
    </row>
    <row r="7104" spans="1:8">
      <c r="A7104" s="39">
        <v>2.69066641696125</v>
      </c>
      <c r="B7104" s="45">
        <v>5.8</v>
      </c>
      <c r="D7104" s="2"/>
      <c r="E7104" s="31"/>
      <c r="G7104" s="43"/>
      <c r="H7104" s="2"/>
    </row>
    <row r="7105" spans="1:8">
      <c r="A7105" s="39">
        <v>2.69051278978117</v>
      </c>
      <c r="B7105" s="45">
        <v>12.1</v>
      </c>
      <c r="D7105" s="2"/>
      <c r="E7105" s="31"/>
      <c r="G7105" s="43"/>
      <c r="H7105" s="2"/>
    </row>
    <row r="7106" spans="1:8">
      <c r="A7106" s="39">
        <v>2.69021066098081</v>
      </c>
      <c r="B7106" s="45">
        <v>1</v>
      </c>
      <c r="D7106" s="2"/>
      <c r="E7106" s="31"/>
      <c r="G7106" s="43"/>
      <c r="H7106" s="2"/>
    </row>
    <row r="7107" spans="1:8">
      <c r="A7107" s="39">
        <v>2.69013543479488</v>
      </c>
      <c r="B7107" s="45">
        <v>12</v>
      </c>
      <c r="D7107" s="2"/>
      <c r="E7107" s="31"/>
      <c r="G7107" s="43"/>
      <c r="H7107" s="2"/>
    </row>
    <row r="7108" spans="1:8">
      <c r="A7108" s="39">
        <v>2.68993880275966</v>
      </c>
      <c r="B7108" s="45">
        <v>9</v>
      </c>
      <c r="D7108" s="2"/>
      <c r="E7108" s="31"/>
      <c r="G7108" s="43"/>
      <c r="H7108" s="2"/>
    </row>
    <row r="7109" spans="1:8">
      <c r="A7109" s="39">
        <v>2.68973501954087</v>
      </c>
      <c r="B7109" s="45">
        <v>7</v>
      </c>
      <c r="D7109" s="2"/>
      <c r="E7109" s="31"/>
      <c r="G7109" s="43"/>
      <c r="H7109" s="2"/>
    </row>
    <row r="7110" spans="1:8">
      <c r="A7110" s="39">
        <v>2.68948318378747</v>
      </c>
      <c r="B7110" s="45">
        <v>3</v>
      </c>
      <c r="D7110" s="2"/>
      <c r="E7110" s="31"/>
      <c r="G7110" s="43"/>
      <c r="H7110" s="2"/>
    </row>
    <row r="7111" spans="1:8">
      <c r="A7111" s="39">
        <v>2.68901405996678</v>
      </c>
      <c r="B7111" s="45">
        <v>10.2</v>
      </c>
      <c r="D7111" s="2"/>
      <c r="E7111" s="31"/>
      <c r="G7111" s="43"/>
      <c r="H7111" s="2"/>
    </row>
    <row r="7112" spans="1:8">
      <c r="A7112" s="39">
        <v>2.68875570659413</v>
      </c>
      <c r="B7112" s="45">
        <v>3</v>
      </c>
      <c r="D7112" s="2"/>
      <c r="E7112" s="31"/>
      <c r="G7112" s="43"/>
      <c r="H7112" s="2"/>
    </row>
    <row r="7113" spans="1:8">
      <c r="A7113" s="39">
        <v>2.68788541436061</v>
      </c>
      <c r="B7113" s="45">
        <v>6</v>
      </c>
      <c r="D7113" s="2"/>
      <c r="E7113" s="31"/>
      <c r="G7113" s="43"/>
      <c r="H7113" s="2"/>
    </row>
    <row r="7114" spans="1:8">
      <c r="A7114" s="39">
        <v>2.68752111464444</v>
      </c>
      <c r="B7114" s="45">
        <v>6.7</v>
      </c>
      <c r="D7114" s="2"/>
      <c r="E7114" s="31"/>
      <c r="G7114" s="43"/>
      <c r="H7114" s="2"/>
    </row>
    <row r="7115" spans="1:8">
      <c r="A7115" s="39">
        <v>2.68730075220744</v>
      </c>
      <c r="B7115" s="45">
        <v>9.6</v>
      </c>
      <c r="D7115" s="2"/>
      <c r="E7115" s="31"/>
      <c r="G7115" s="43"/>
      <c r="H7115" s="2"/>
    </row>
    <row r="7116" spans="1:8">
      <c r="A7116" s="39">
        <v>2.68720095156093</v>
      </c>
      <c r="B7116" s="45">
        <v>10.2</v>
      </c>
      <c r="D7116" s="2"/>
      <c r="E7116" s="31"/>
      <c r="G7116" s="43"/>
      <c r="H7116" s="2"/>
    </row>
    <row r="7117" spans="1:8">
      <c r="A7117" s="39">
        <v>2.6865484163684</v>
      </c>
      <c r="B7117" s="45">
        <v>23.7</v>
      </c>
      <c r="D7117" s="2"/>
      <c r="E7117" s="31"/>
      <c r="G7117" s="43"/>
      <c r="H7117" s="2"/>
    </row>
    <row r="7118" spans="1:8">
      <c r="A7118" s="39">
        <v>2.68647298078751</v>
      </c>
      <c r="B7118" s="45">
        <v>13.1</v>
      </c>
      <c r="D7118" s="2"/>
      <c r="E7118" s="31"/>
      <c r="G7118" s="43"/>
      <c r="H7118" s="2"/>
    </row>
    <row r="7119" spans="1:8">
      <c r="A7119" s="39">
        <v>2.68619981186635</v>
      </c>
      <c r="B7119" s="45">
        <v>5.2</v>
      </c>
      <c r="D7119" s="2"/>
      <c r="E7119" s="31"/>
      <c r="G7119" s="43"/>
      <c r="H7119" s="2"/>
    </row>
    <row r="7120" spans="1:8">
      <c r="A7120" s="39">
        <v>2.68583219444988</v>
      </c>
      <c r="B7120" s="45">
        <v>10.5</v>
      </c>
      <c r="D7120" s="2"/>
      <c r="E7120" s="31"/>
      <c r="G7120" s="43"/>
      <c r="H7120" s="2"/>
    </row>
    <row r="7121" spans="1:8">
      <c r="A7121" s="39">
        <v>2.6837786375625</v>
      </c>
      <c r="B7121" s="45">
        <v>14.2</v>
      </c>
      <c r="D7121" s="2"/>
      <c r="E7121" s="31"/>
      <c r="G7121" s="43"/>
      <c r="H7121" s="2"/>
    </row>
    <row r="7122" spans="1:8">
      <c r="A7122" s="39">
        <v>2.68368352869432</v>
      </c>
      <c r="B7122" s="45">
        <v>10.1</v>
      </c>
      <c r="D7122" s="2"/>
      <c r="E7122" s="31"/>
      <c r="G7122" s="43"/>
      <c r="H7122" s="2"/>
    </row>
    <row r="7123" spans="1:8">
      <c r="A7123" s="39">
        <v>2.68338844450531</v>
      </c>
      <c r="B7123" s="45">
        <v>2.9</v>
      </c>
      <c r="D7123" s="2"/>
      <c r="E7123" s="31"/>
      <c r="G7123" s="43"/>
      <c r="H7123" s="2"/>
    </row>
    <row r="7124" spans="1:8">
      <c r="A7124" s="39">
        <v>2.68338556376591</v>
      </c>
      <c r="B7124" s="45">
        <v>22</v>
      </c>
      <c r="D7124" s="2"/>
      <c r="E7124" s="31"/>
      <c r="G7124" s="43"/>
      <c r="H7124" s="2"/>
    </row>
    <row r="7125" spans="1:8">
      <c r="A7125" s="39">
        <v>2.6829673067758</v>
      </c>
      <c r="B7125" s="45">
        <v>25.5</v>
      </c>
      <c r="D7125" s="2"/>
      <c r="E7125" s="31"/>
      <c r="G7125" s="43"/>
      <c r="H7125" s="2"/>
    </row>
    <row r="7126" spans="1:8">
      <c r="A7126" s="39">
        <v>2.68294605438119</v>
      </c>
      <c r="B7126" s="45">
        <v>7.5</v>
      </c>
      <c r="D7126" s="2"/>
      <c r="E7126" s="31"/>
      <c r="G7126" s="43"/>
      <c r="H7126" s="2"/>
    </row>
    <row r="7127" spans="1:8">
      <c r="A7127" s="39">
        <v>2.68294605438119</v>
      </c>
      <c r="B7127" s="45">
        <v>20.3</v>
      </c>
      <c r="D7127" s="2"/>
      <c r="E7127" s="31"/>
      <c r="G7127" s="43"/>
      <c r="H7127" s="2"/>
    </row>
    <row r="7128" spans="1:8">
      <c r="A7128" s="39">
        <v>2.68269751294866</v>
      </c>
      <c r="B7128" s="45">
        <v>20</v>
      </c>
      <c r="D7128" s="2"/>
      <c r="E7128" s="31"/>
      <c r="G7128" s="43"/>
      <c r="H7128" s="2"/>
    </row>
    <row r="7129" spans="1:8">
      <c r="A7129" s="39">
        <v>2.68218152349181</v>
      </c>
      <c r="B7129" s="45">
        <v>4.7</v>
      </c>
      <c r="D7129" s="2"/>
      <c r="E7129" s="31"/>
      <c r="G7129" s="43"/>
      <c r="H7129" s="2"/>
    </row>
    <row r="7130" spans="1:8">
      <c r="A7130" s="39">
        <v>2.68197843971569</v>
      </c>
      <c r="B7130" s="45">
        <v>11</v>
      </c>
      <c r="D7130" s="2"/>
      <c r="E7130" s="31"/>
      <c r="G7130" s="43"/>
      <c r="H7130" s="2"/>
    </row>
    <row r="7131" spans="1:8">
      <c r="A7131" s="39">
        <v>2.68172524916345</v>
      </c>
      <c r="B7131" s="45">
        <v>7.2</v>
      </c>
      <c r="D7131" s="2"/>
      <c r="E7131" s="31"/>
      <c r="G7131" s="43"/>
      <c r="H7131" s="2"/>
    </row>
    <row r="7132" spans="1:8">
      <c r="A7132" s="39">
        <v>2.68162665870314</v>
      </c>
      <c r="B7132" s="45">
        <v>18.5</v>
      </c>
      <c r="D7132" s="2"/>
      <c r="E7132" s="31"/>
      <c r="G7132" s="43"/>
      <c r="H7132" s="2"/>
    </row>
    <row r="7133" spans="1:8">
      <c r="A7133" s="39">
        <v>2.68129001163022</v>
      </c>
      <c r="B7133" s="45">
        <v>11.4</v>
      </c>
      <c r="D7133" s="2"/>
      <c r="E7133" s="31"/>
      <c r="G7133" s="43"/>
      <c r="H7133" s="2"/>
    </row>
    <row r="7134" spans="1:8">
      <c r="A7134" s="39">
        <v>2.68127487769058</v>
      </c>
      <c r="B7134" s="45">
        <v>9.5</v>
      </c>
      <c r="D7134" s="2"/>
      <c r="E7134" s="31"/>
      <c r="G7134" s="43"/>
      <c r="H7134" s="2"/>
    </row>
    <row r="7135" spans="1:8">
      <c r="A7135" s="39">
        <v>2.68098531426836</v>
      </c>
      <c r="B7135" s="45">
        <v>3.5</v>
      </c>
      <c r="D7135" s="2"/>
      <c r="E7135" s="31"/>
      <c r="G7135" s="43"/>
      <c r="H7135" s="2"/>
    </row>
    <row r="7136" spans="1:8">
      <c r="A7136" s="39">
        <v>2.680586260971</v>
      </c>
      <c r="B7136" s="45">
        <v>12.3</v>
      </c>
      <c r="D7136" s="2"/>
      <c r="E7136" s="31"/>
      <c r="G7136" s="43"/>
      <c r="H7136" s="2"/>
    </row>
    <row r="7137" spans="1:8">
      <c r="A7137" s="39">
        <v>2.67973996579806</v>
      </c>
      <c r="B7137" s="45">
        <v>8</v>
      </c>
      <c r="D7137" s="2"/>
      <c r="E7137" s="31"/>
      <c r="G7137" s="43"/>
      <c r="H7137" s="2"/>
    </row>
    <row r="7138" spans="1:8">
      <c r="A7138" s="39">
        <v>2.67917875965256</v>
      </c>
      <c r="B7138" s="45">
        <v>7.5</v>
      </c>
      <c r="D7138" s="2"/>
      <c r="E7138" s="31"/>
      <c r="G7138" s="43"/>
      <c r="H7138" s="2"/>
    </row>
    <row r="7139" spans="1:8">
      <c r="A7139" s="39">
        <v>2.67916419161526</v>
      </c>
      <c r="B7139" s="45">
        <v>12</v>
      </c>
      <c r="D7139" s="2"/>
      <c r="E7139" s="31"/>
      <c r="G7139" s="43"/>
      <c r="H7139" s="2"/>
    </row>
    <row r="7140" spans="1:8">
      <c r="A7140" s="39">
        <v>2.67902166103175</v>
      </c>
      <c r="B7140" s="45">
        <v>9</v>
      </c>
      <c r="D7140" s="2"/>
      <c r="E7140" s="31"/>
      <c r="G7140" s="43"/>
      <c r="H7140" s="2"/>
    </row>
    <row r="7141" spans="1:8">
      <c r="A7141" s="39">
        <v>2.67857102588733</v>
      </c>
      <c r="B7141" s="45">
        <v>26.3</v>
      </c>
      <c r="D7141" s="2"/>
      <c r="E7141" s="31"/>
      <c r="G7141" s="43"/>
      <c r="H7141" s="2"/>
    </row>
    <row r="7142" spans="1:8">
      <c r="A7142" s="39">
        <v>2.67784354869399</v>
      </c>
      <c r="B7142" s="45">
        <v>10.9</v>
      </c>
      <c r="D7142" s="2"/>
      <c r="E7142" s="31"/>
      <c r="G7142" s="43"/>
      <c r="H7142" s="2"/>
    </row>
    <row r="7143" spans="1:8">
      <c r="A7143" s="39">
        <v>2.67784354869399</v>
      </c>
      <c r="B7143" s="45">
        <v>21.5</v>
      </c>
      <c r="D7143" s="2"/>
      <c r="E7143" s="31"/>
      <c r="G7143" s="43"/>
      <c r="H7143" s="2"/>
    </row>
    <row r="7144" spans="1:8">
      <c r="A7144" s="39">
        <v>2.67706383404272</v>
      </c>
      <c r="B7144" s="45">
        <v>6</v>
      </c>
      <c r="D7144" s="2"/>
      <c r="E7144" s="31"/>
      <c r="G7144" s="43"/>
      <c r="H7144" s="2"/>
    </row>
    <row r="7145" spans="1:8">
      <c r="A7145" s="39">
        <v>2.67706383404272</v>
      </c>
      <c r="B7145" s="45">
        <v>8</v>
      </c>
      <c r="D7145" s="2"/>
      <c r="E7145" s="31"/>
      <c r="G7145" s="43"/>
      <c r="H7145" s="2"/>
    </row>
    <row r="7146" spans="1:8">
      <c r="A7146" s="39">
        <v>2.67636375701568</v>
      </c>
      <c r="B7146" s="45">
        <v>14.4</v>
      </c>
      <c r="D7146" s="2"/>
      <c r="E7146" s="31"/>
      <c r="G7146" s="43"/>
      <c r="H7146" s="2"/>
    </row>
    <row r="7147" spans="1:8">
      <c r="A7147" s="39">
        <v>2.67624954676598</v>
      </c>
      <c r="B7147" s="45">
        <v>2</v>
      </c>
      <c r="D7147" s="2"/>
      <c r="E7147" s="31"/>
      <c r="G7147" s="43"/>
      <c r="H7147" s="2"/>
    </row>
    <row r="7148" spans="1:8">
      <c r="A7148" s="39">
        <v>2.67611047204937</v>
      </c>
      <c r="B7148" s="45">
        <v>13</v>
      </c>
      <c r="D7148" s="2"/>
      <c r="E7148" s="31"/>
      <c r="G7148" s="43"/>
      <c r="H7148" s="2"/>
    </row>
    <row r="7149" spans="1:8">
      <c r="A7149" s="39">
        <v>2.67566000635646</v>
      </c>
      <c r="B7149" s="45">
        <v>5</v>
      </c>
      <c r="D7149" s="2"/>
      <c r="E7149" s="31"/>
      <c r="G7149" s="43"/>
      <c r="H7149" s="2"/>
    </row>
    <row r="7150" spans="1:8">
      <c r="A7150" s="39">
        <v>2.67495625569724</v>
      </c>
      <c r="B7150" s="45">
        <v>12</v>
      </c>
      <c r="D7150" s="2"/>
      <c r="E7150" s="31"/>
      <c r="G7150" s="43"/>
      <c r="H7150" s="2"/>
    </row>
    <row r="7151" spans="1:8">
      <c r="A7151" s="39">
        <v>2.67495625569724</v>
      </c>
      <c r="B7151" s="45">
        <v>11</v>
      </c>
      <c r="D7151" s="2"/>
      <c r="E7151" s="31"/>
      <c r="G7151" s="43"/>
      <c r="H7151" s="2"/>
    </row>
    <row r="7152" spans="1:8">
      <c r="A7152" s="39">
        <v>2.6749428194646</v>
      </c>
      <c r="B7152" s="45">
        <v>10.5</v>
      </c>
      <c r="D7152" s="2"/>
      <c r="E7152" s="31"/>
      <c r="G7152" s="43"/>
      <c r="H7152" s="2"/>
    </row>
    <row r="7153" spans="1:8">
      <c r="A7153" s="39">
        <v>2.6748218790676</v>
      </c>
      <c r="B7153" s="45">
        <v>2</v>
      </c>
      <c r="D7153" s="2"/>
      <c r="E7153" s="31"/>
      <c r="G7153" s="43"/>
      <c r="H7153" s="2"/>
    </row>
    <row r="7154" spans="1:8">
      <c r="A7154" s="39">
        <v>2.67423925743949</v>
      </c>
      <c r="B7154" s="45">
        <v>14.1</v>
      </c>
      <c r="D7154" s="2"/>
      <c r="E7154" s="31"/>
      <c r="G7154" s="43"/>
      <c r="H7154" s="2"/>
    </row>
    <row r="7155" spans="1:8">
      <c r="A7155" s="39">
        <v>2.67368025230757</v>
      </c>
      <c r="B7155" s="45">
        <v>6</v>
      </c>
      <c r="D7155" s="2"/>
      <c r="E7155" s="31"/>
      <c r="G7155" s="43"/>
      <c r="H7155" s="2"/>
    </row>
    <row r="7156" spans="1:8">
      <c r="A7156" s="39">
        <v>2.67347868553393</v>
      </c>
      <c r="B7156" s="45">
        <v>26</v>
      </c>
      <c r="D7156" s="2"/>
      <c r="E7156" s="31"/>
      <c r="G7156" s="43"/>
      <c r="H7156" s="2"/>
    </row>
    <row r="7157" spans="1:8">
      <c r="A7157" s="39">
        <v>2.67282723276755</v>
      </c>
      <c r="B7157" s="45">
        <v>5.7</v>
      </c>
      <c r="D7157" s="2"/>
      <c r="E7157" s="31"/>
      <c r="G7157" s="43"/>
      <c r="H7157" s="2"/>
    </row>
    <row r="7158" spans="1:8">
      <c r="A7158" s="39">
        <v>2.672223977998</v>
      </c>
      <c r="B7158" s="45">
        <v>12.8</v>
      </c>
      <c r="D7158" s="2"/>
      <c r="E7158" s="31"/>
      <c r="G7158" s="43"/>
      <c r="H7158" s="2"/>
    </row>
    <row r="7159" spans="1:8">
      <c r="A7159" s="39">
        <v>2.672223977998</v>
      </c>
      <c r="B7159" s="45">
        <v>10</v>
      </c>
      <c r="D7159" s="2"/>
      <c r="E7159" s="31"/>
      <c r="G7159" s="43"/>
      <c r="H7159" s="2"/>
    </row>
    <row r="7160" spans="1:8">
      <c r="A7160" s="39">
        <v>2.67214125306035</v>
      </c>
      <c r="B7160" s="45">
        <v>14</v>
      </c>
      <c r="D7160" s="2"/>
      <c r="E7160" s="31"/>
      <c r="G7160" s="43"/>
      <c r="H7160" s="2"/>
    </row>
    <row r="7161" spans="1:8">
      <c r="A7161" s="39">
        <v>2.67212857136416</v>
      </c>
      <c r="B7161" s="45">
        <v>7.3</v>
      </c>
      <c r="D7161" s="2"/>
      <c r="E7161" s="31"/>
      <c r="G7161" s="43"/>
      <c r="H7161" s="2"/>
    </row>
    <row r="7162" spans="1:8">
      <c r="A7162" s="39">
        <v>2.67142500933906</v>
      </c>
      <c r="B7162" s="45">
        <v>14.2</v>
      </c>
      <c r="D7162" s="2"/>
      <c r="E7162" s="31"/>
      <c r="G7162" s="43"/>
      <c r="H7162" s="2"/>
    </row>
    <row r="7163" spans="1:8">
      <c r="A7163" s="39">
        <v>2.67142500933906</v>
      </c>
      <c r="B7163" s="45">
        <v>12</v>
      </c>
      <c r="D7163" s="2"/>
      <c r="E7163" s="31"/>
      <c r="G7163" s="43"/>
      <c r="H7163" s="2"/>
    </row>
    <row r="7164" spans="1:8">
      <c r="A7164" s="39">
        <v>2.67031374481285</v>
      </c>
      <c r="B7164" s="45">
        <v>13.2</v>
      </c>
      <c r="D7164" s="2"/>
      <c r="E7164" s="31"/>
      <c r="G7164" s="43"/>
      <c r="H7164" s="2"/>
    </row>
    <row r="7165" spans="1:8">
      <c r="A7165" s="39">
        <v>2.66991544945145</v>
      </c>
      <c r="B7165" s="45">
        <v>13.4</v>
      </c>
      <c r="D7165" s="2"/>
      <c r="E7165" s="31"/>
      <c r="G7165" s="43"/>
      <c r="H7165" s="2"/>
    </row>
    <row r="7166" spans="1:8">
      <c r="A7166" s="39">
        <v>2.66883249959343</v>
      </c>
      <c r="B7166" s="45">
        <v>10</v>
      </c>
      <c r="D7166" s="2"/>
      <c r="E7166" s="31"/>
      <c r="G7166" s="43"/>
      <c r="H7166" s="2"/>
    </row>
    <row r="7167" spans="1:8">
      <c r="A7167" s="39">
        <v>2.6679137135162</v>
      </c>
      <c r="B7167" s="45">
        <v>2</v>
      </c>
      <c r="D7167" s="2"/>
      <c r="E7167" s="31"/>
      <c r="G7167" s="43"/>
      <c r="H7167" s="2"/>
    </row>
    <row r="7168" spans="1:8">
      <c r="A7168" s="39">
        <v>2.66765886798719</v>
      </c>
      <c r="B7168" s="45">
        <v>7.6</v>
      </c>
      <c r="D7168" s="2"/>
      <c r="E7168" s="31"/>
      <c r="G7168" s="43"/>
      <c r="H7168" s="2"/>
    </row>
    <row r="7169" spans="1:8">
      <c r="A7169" s="39">
        <v>2.66737690510224</v>
      </c>
      <c r="B7169" s="45">
        <v>13.5</v>
      </c>
      <c r="D7169" s="2"/>
      <c r="E7169" s="31"/>
      <c r="G7169" s="43"/>
      <c r="H7169" s="2"/>
    </row>
    <row r="7170" spans="1:8">
      <c r="A7170" s="39">
        <v>2.66693139079385</v>
      </c>
      <c r="B7170" s="45">
        <v>15</v>
      </c>
      <c r="D7170" s="2"/>
      <c r="E7170" s="31"/>
      <c r="G7170" s="43"/>
      <c r="H7170" s="2"/>
    </row>
    <row r="7171" spans="1:8">
      <c r="A7171" s="39">
        <v>2.66660655344099</v>
      </c>
      <c r="B7171" s="45">
        <v>10.8</v>
      </c>
      <c r="D7171" s="2"/>
      <c r="E7171" s="31"/>
      <c r="G7171" s="43"/>
      <c r="H7171" s="2"/>
    </row>
    <row r="7172" spans="1:8">
      <c r="A7172" s="39">
        <v>2.66598260477071</v>
      </c>
      <c r="B7172" s="45">
        <v>12</v>
      </c>
      <c r="D7172" s="2"/>
      <c r="E7172" s="31"/>
      <c r="G7172" s="43"/>
      <c r="H7172" s="2"/>
    </row>
    <row r="7173" spans="1:8">
      <c r="A7173" s="39">
        <v>2.66519351336546</v>
      </c>
      <c r="B7173" s="45">
        <v>10.2</v>
      </c>
      <c r="D7173" s="2"/>
      <c r="E7173" s="31"/>
      <c r="G7173" s="43"/>
      <c r="H7173" s="2"/>
    </row>
    <row r="7174" spans="1:8">
      <c r="A7174" s="39">
        <v>2.66510374646815</v>
      </c>
      <c r="B7174" s="45">
        <v>20.7</v>
      </c>
      <c r="D7174" s="2"/>
      <c r="E7174" s="31"/>
      <c r="G7174" s="43"/>
      <c r="H7174" s="2"/>
    </row>
    <row r="7175" spans="1:8">
      <c r="A7175" s="39">
        <v>2.66510374646815</v>
      </c>
      <c r="B7175" s="45">
        <v>21.5</v>
      </c>
      <c r="D7175" s="2"/>
      <c r="E7175" s="31"/>
      <c r="G7175" s="43"/>
      <c r="H7175" s="2"/>
    </row>
    <row r="7176" spans="1:8">
      <c r="A7176" s="39">
        <v>2.6650617588128</v>
      </c>
      <c r="B7176" s="45">
        <v>17</v>
      </c>
      <c r="D7176" s="2"/>
      <c r="E7176" s="31"/>
      <c r="G7176" s="43"/>
      <c r="H7176" s="2"/>
    </row>
    <row r="7177" spans="1:8">
      <c r="A7177" s="39">
        <v>2.66492733282129</v>
      </c>
      <c r="B7177" s="45">
        <v>14.6</v>
      </c>
      <c r="D7177" s="2"/>
      <c r="E7177" s="31"/>
      <c r="G7177" s="43"/>
      <c r="H7177" s="2"/>
    </row>
    <row r="7178" spans="1:8">
      <c r="A7178" s="39">
        <v>2.66439999580893</v>
      </c>
      <c r="B7178" s="45">
        <v>15</v>
      </c>
      <c r="D7178" s="2"/>
      <c r="E7178" s="31"/>
      <c r="G7178" s="43"/>
      <c r="H7178" s="2"/>
    </row>
    <row r="7179" spans="1:8">
      <c r="A7179" s="39">
        <v>2.66425403132235</v>
      </c>
      <c r="B7179" s="45">
        <v>9.1</v>
      </c>
      <c r="D7179" s="2"/>
      <c r="E7179" s="31"/>
      <c r="G7179" s="43"/>
      <c r="H7179" s="2"/>
    </row>
    <row r="7180" spans="1:8">
      <c r="A7180" s="39">
        <v>2.66399223329055</v>
      </c>
      <c r="B7180" s="45">
        <v>17</v>
      </c>
      <c r="D7180" s="2"/>
      <c r="E7180" s="31"/>
      <c r="G7180" s="43"/>
      <c r="H7180" s="2"/>
    </row>
    <row r="7181" spans="1:8">
      <c r="A7181" s="39">
        <v>2.66392921637166</v>
      </c>
      <c r="B7181" s="45">
        <v>10.8</v>
      </c>
      <c r="D7181" s="2"/>
      <c r="E7181" s="31"/>
      <c r="G7181" s="43"/>
      <c r="H7181" s="2"/>
    </row>
    <row r="7182" spans="1:8">
      <c r="A7182" s="39">
        <v>2.66369624514971</v>
      </c>
      <c r="B7182" s="45">
        <v>19.2</v>
      </c>
      <c r="D7182" s="2"/>
      <c r="E7182" s="31"/>
      <c r="G7182" s="43"/>
      <c r="H7182" s="2"/>
    </row>
    <row r="7183" spans="1:8">
      <c r="A7183" s="39">
        <v>2.66368582706286</v>
      </c>
      <c r="B7183" s="45">
        <v>17.5</v>
      </c>
      <c r="D7183" s="2"/>
      <c r="E7183" s="31"/>
      <c r="G7183" s="43"/>
      <c r="H7183" s="2"/>
    </row>
    <row r="7184" spans="1:8">
      <c r="A7184" s="39">
        <v>2.66368582706286</v>
      </c>
      <c r="B7184" s="45">
        <v>3.8</v>
      </c>
      <c r="D7184" s="2"/>
      <c r="E7184" s="31"/>
      <c r="G7184" s="43"/>
      <c r="H7184" s="2"/>
    </row>
    <row r="7185" spans="1:8">
      <c r="A7185" s="39">
        <v>2.66333865325295</v>
      </c>
      <c r="B7185" s="45">
        <v>9</v>
      </c>
      <c r="D7185" s="2"/>
      <c r="E7185" s="31"/>
      <c r="G7185" s="43"/>
      <c r="H7185" s="2"/>
    </row>
    <row r="7186" spans="1:8">
      <c r="A7186" s="39">
        <v>2.66333865325295</v>
      </c>
      <c r="B7186" s="45">
        <v>13</v>
      </c>
      <c r="D7186" s="2"/>
      <c r="E7186" s="31"/>
      <c r="G7186" s="43"/>
      <c r="H7186" s="2"/>
    </row>
    <row r="7187" spans="1:8">
      <c r="A7187" s="39">
        <v>2.66301012162868</v>
      </c>
      <c r="B7187" s="45">
        <v>3.25</v>
      </c>
      <c r="D7187" s="2"/>
      <c r="E7187" s="31"/>
      <c r="G7187" s="43"/>
      <c r="H7187" s="2"/>
    </row>
    <row r="7188" spans="1:8">
      <c r="A7188" s="39">
        <v>2.66290742832446</v>
      </c>
      <c r="B7188" s="45">
        <v>14.8</v>
      </c>
      <c r="D7188" s="2"/>
      <c r="E7188" s="31"/>
      <c r="G7188" s="43"/>
      <c r="H7188" s="2"/>
    </row>
    <row r="7189" spans="1:8">
      <c r="A7189" s="39">
        <v>2.66228874383127</v>
      </c>
      <c r="B7189" s="45">
        <v>10.4</v>
      </c>
      <c r="D7189" s="2"/>
      <c r="E7189" s="31"/>
      <c r="G7189" s="43"/>
      <c r="H7189" s="2"/>
    </row>
    <row r="7190" spans="1:8">
      <c r="A7190" s="39">
        <v>2.66183905044045</v>
      </c>
      <c r="B7190" s="45">
        <v>25</v>
      </c>
      <c r="D7190" s="2"/>
      <c r="E7190" s="31"/>
      <c r="G7190" s="43"/>
      <c r="H7190" s="2"/>
    </row>
    <row r="7191" spans="1:8">
      <c r="A7191" s="39">
        <v>2.6614806492202</v>
      </c>
      <c r="B7191" s="45">
        <v>4</v>
      </c>
      <c r="D7191" s="2"/>
      <c r="E7191" s="31"/>
      <c r="G7191" s="43"/>
      <c r="H7191" s="2"/>
    </row>
    <row r="7192" spans="1:8">
      <c r="A7192" s="39">
        <v>2.66137791314012</v>
      </c>
      <c r="B7192" s="45">
        <v>10</v>
      </c>
      <c r="D7192" s="2"/>
      <c r="E7192" s="31"/>
      <c r="G7192" s="43"/>
      <c r="H7192" s="2"/>
    </row>
    <row r="7193" spans="1:8">
      <c r="A7193" s="39">
        <v>2.66137791314012</v>
      </c>
      <c r="B7193" s="45">
        <v>11</v>
      </c>
      <c r="D7193" s="2"/>
      <c r="E7193" s="31"/>
      <c r="G7193" s="43"/>
      <c r="H7193" s="2"/>
    </row>
    <row r="7194" spans="1:8">
      <c r="A7194" s="39">
        <v>2.6601774918536</v>
      </c>
      <c r="B7194" s="45">
        <v>4.8</v>
      </c>
      <c r="D7194" s="2"/>
      <c r="E7194" s="31"/>
      <c r="G7194" s="43"/>
      <c r="H7194" s="2"/>
    </row>
    <row r="7195" spans="1:8">
      <c r="A7195" s="39">
        <v>2.6594171730273</v>
      </c>
      <c r="B7195" s="45">
        <v>11.5</v>
      </c>
      <c r="D7195" s="2"/>
      <c r="E7195" s="31"/>
      <c r="G7195" s="43"/>
      <c r="H7195" s="2"/>
    </row>
    <row r="7196" spans="1:8">
      <c r="A7196" s="39">
        <v>2.65876359298969</v>
      </c>
      <c r="B7196" s="45">
        <v>18.7</v>
      </c>
      <c r="D7196" s="2"/>
      <c r="E7196" s="31"/>
      <c r="G7196" s="43"/>
      <c r="H7196" s="2"/>
    </row>
    <row r="7197" spans="1:8">
      <c r="A7197" s="39">
        <v>2.65791554090952</v>
      </c>
      <c r="B7197" s="45">
        <v>21</v>
      </c>
      <c r="D7197" s="2"/>
      <c r="E7197" s="31"/>
      <c r="G7197" s="43"/>
      <c r="H7197" s="2"/>
    </row>
    <row r="7198" spans="1:8">
      <c r="A7198" s="39">
        <v>2.65791554090952</v>
      </c>
      <c r="B7198" s="45">
        <v>20.6</v>
      </c>
      <c r="D7198" s="2"/>
      <c r="E7198" s="31"/>
      <c r="G7198" s="43"/>
      <c r="H7198" s="2"/>
    </row>
    <row r="7199" spans="1:8">
      <c r="A7199" s="39">
        <v>2.6578995396276</v>
      </c>
      <c r="B7199" s="45">
        <v>11</v>
      </c>
      <c r="D7199" s="2"/>
      <c r="E7199" s="31"/>
      <c r="G7199" s="43"/>
      <c r="H7199" s="2"/>
    </row>
    <row r="7200" spans="1:8">
      <c r="A7200" s="39">
        <v>2.6577690511745</v>
      </c>
      <c r="B7200" s="45">
        <v>1</v>
      </c>
      <c r="D7200" s="2"/>
      <c r="E7200" s="31"/>
      <c r="G7200" s="43"/>
      <c r="H7200" s="2"/>
    </row>
    <row r="7201" spans="1:8">
      <c r="A7201" s="39">
        <v>2.65735376883688</v>
      </c>
      <c r="B7201" s="45">
        <v>11.9</v>
      </c>
      <c r="D7201" s="2"/>
      <c r="E7201" s="31"/>
      <c r="G7201" s="43"/>
      <c r="H7201" s="2"/>
    </row>
    <row r="7202" spans="1:8">
      <c r="A7202" s="39">
        <v>2.65718774366393</v>
      </c>
      <c r="B7202" s="45">
        <v>6.6</v>
      </c>
      <c r="D7202" s="2"/>
      <c r="E7202" s="31"/>
      <c r="G7202" s="43"/>
      <c r="H7202" s="2"/>
    </row>
    <row r="7203" spans="1:8">
      <c r="A7203" s="39">
        <v>2.65718774366393</v>
      </c>
      <c r="B7203" s="45">
        <v>5.3</v>
      </c>
      <c r="D7203" s="2"/>
      <c r="E7203" s="31"/>
      <c r="G7203" s="43"/>
      <c r="H7203" s="2"/>
    </row>
    <row r="7204" spans="1:8">
      <c r="A7204" s="39">
        <v>2.65718774366393</v>
      </c>
      <c r="B7204" s="45">
        <v>7</v>
      </c>
      <c r="D7204" s="2"/>
      <c r="E7204" s="31"/>
      <c r="G7204" s="43"/>
      <c r="H7204" s="2"/>
    </row>
    <row r="7205" spans="1:8">
      <c r="A7205" s="39">
        <v>2.65680285287687</v>
      </c>
      <c r="B7205" s="45">
        <v>7</v>
      </c>
      <c r="D7205" s="2"/>
      <c r="E7205" s="31"/>
      <c r="G7205" s="43"/>
      <c r="H7205" s="2"/>
    </row>
    <row r="7206" spans="1:8">
      <c r="A7206" s="39">
        <v>2.65601923289371</v>
      </c>
      <c r="B7206" s="45">
        <v>25</v>
      </c>
      <c r="D7206" s="2"/>
      <c r="E7206" s="31"/>
      <c r="G7206" s="43"/>
      <c r="H7206" s="2"/>
    </row>
    <row r="7207" spans="1:8">
      <c r="A7207" s="39">
        <v>2.65529175570037</v>
      </c>
      <c r="B7207" s="45">
        <v>9.8</v>
      </c>
      <c r="D7207" s="2"/>
      <c r="E7207" s="31"/>
      <c r="G7207" s="43"/>
      <c r="H7207" s="2"/>
    </row>
    <row r="7208" spans="1:8">
      <c r="A7208" s="39">
        <v>2.65525123723906</v>
      </c>
      <c r="B7208" s="45">
        <v>12.7</v>
      </c>
      <c r="D7208" s="2"/>
      <c r="E7208" s="31"/>
      <c r="G7208" s="43"/>
      <c r="H7208" s="2"/>
    </row>
    <row r="7209" spans="1:8">
      <c r="A7209" s="39">
        <v>2.65456427850702</v>
      </c>
      <c r="B7209" s="45">
        <v>10</v>
      </c>
      <c r="D7209" s="2"/>
      <c r="E7209" s="31"/>
      <c r="G7209" s="43"/>
      <c r="H7209" s="2"/>
    </row>
    <row r="7210" spans="1:8">
      <c r="A7210" s="39">
        <v>2.65454748657984</v>
      </c>
      <c r="B7210" s="45">
        <v>26</v>
      </c>
      <c r="D7210" s="2"/>
      <c r="E7210" s="31"/>
      <c r="G7210" s="43"/>
      <c r="H7210" s="2"/>
    </row>
    <row r="7211" spans="1:8">
      <c r="A7211" s="39">
        <v>2.65454748657984</v>
      </c>
      <c r="B7211" s="45">
        <v>19.1</v>
      </c>
      <c r="D7211" s="2"/>
      <c r="E7211" s="31"/>
      <c r="G7211" s="43"/>
      <c r="H7211" s="2"/>
    </row>
    <row r="7212" spans="1:8">
      <c r="A7212" s="39">
        <v>2.65454748657984</v>
      </c>
      <c r="B7212" s="45">
        <v>9.9</v>
      </c>
      <c r="D7212" s="2"/>
      <c r="E7212" s="31"/>
      <c r="G7212" s="43"/>
      <c r="H7212" s="2"/>
    </row>
    <row r="7213" spans="1:8">
      <c r="A7213" s="39">
        <v>2.65453952073644</v>
      </c>
      <c r="B7213" s="45">
        <v>10.2</v>
      </c>
      <c r="D7213" s="2"/>
      <c r="E7213" s="31"/>
      <c r="G7213" s="43"/>
      <c r="H7213" s="2"/>
    </row>
    <row r="7214" spans="1:8">
      <c r="A7214" s="39">
        <v>2.65427655468155</v>
      </c>
      <c r="B7214" s="45">
        <v>15.1</v>
      </c>
      <c r="D7214" s="2"/>
      <c r="E7214" s="31"/>
      <c r="G7214" s="43"/>
      <c r="H7214" s="2"/>
    </row>
    <row r="7215" spans="1:8">
      <c r="A7215" s="39">
        <v>2.65427655468155</v>
      </c>
      <c r="B7215" s="45">
        <v>3.8</v>
      </c>
      <c r="D7215" s="2"/>
      <c r="E7215" s="31"/>
      <c r="G7215" s="43"/>
      <c r="H7215" s="2"/>
    </row>
    <row r="7216" spans="1:8">
      <c r="A7216" s="39">
        <v>2.65383680131368</v>
      </c>
      <c r="B7216" s="45">
        <v>11.7</v>
      </c>
      <c r="D7216" s="2"/>
      <c r="E7216" s="31"/>
      <c r="G7216" s="43"/>
      <c r="H7216" s="2"/>
    </row>
    <row r="7217" spans="1:8">
      <c r="A7217" s="39">
        <v>2.65313239668622</v>
      </c>
      <c r="B7217" s="45">
        <v>11.2</v>
      </c>
      <c r="D7217" s="2"/>
      <c r="E7217" s="31"/>
      <c r="G7217" s="43"/>
      <c r="H7217" s="2"/>
    </row>
    <row r="7218" spans="1:8">
      <c r="A7218" s="39">
        <v>2.65313239668622</v>
      </c>
      <c r="B7218" s="45">
        <v>8.3</v>
      </c>
      <c r="D7218" s="2"/>
      <c r="E7218" s="31"/>
      <c r="G7218" s="43"/>
      <c r="H7218" s="2"/>
    </row>
    <row r="7219" spans="1:8">
      <c r="A7219" s="39">
        <v>2.65282096019036</v>
      </c>
      <c r="B7219" s="45">
        <v>15</v>
      </c>
      <c r="D7219" s="2"/>
      <c r="E7219" s="31"/>
      <c r="G7219" s="43"/>
      <c r="H7219" s="2"/>
    </row>
    <row r="7220" spans="1:8">
      <c r="A7220" s="39">
        <v>2.65229334877702</v>
      </c>
      <c r="B7220" s="45">
        <v>3.6</v>
      </c>
      <c r="D7220" s="2"/>
      <c r="E7220" s="31"/>
      <c r="G7220" s="43"/>
      <c r="H7220" s="2"/>
    </row>
    <row r="7221" spans="1:8">
      <c r="A7221" s="39">
        <v>2.65146130284241</v>
      </c>
      <c r="B7221" s="45">
        <v>9</v>
      </c>
      <c r="D7221" s="2"/>
      <c r="E7221" s="31"/>
      <c r="G7221" s="43"/>
      <c r="H7221" s="2"/>
    </row>
    <row r="7222" spans="1:8">
      <c r="A7222" s="39">
        <v>2.65078800134346</v>
      </c>
      <c r="B7222" s="45">
        <v>1</v>
      </c>
      <c r="D7222" s="2"/>
      <c r="E7222" s="31"/>
      <c r="G7222" s="43"/>
      <c r="H7222" s="2"/>
    </row>
    <row r="7223" spans="1:8">
      <c r="A7223" s="39">
        <v>2.65063756845358</v>
      </c>
      <c r="B7223" s="45">
        <v>7</v>
      </c>
      <c r="D7223" s="2"/>
      <c r="E7223" s="31"/>
      <c r="G7223" s="43"/>
      <c r="H7223" s="2"/>
    </row>
    <row r="7224" spans="1:8">
      <c r="A7224" s="39">
        <v>2.64918197396239</v>
      </c>
      <c r="B7224" s="45">
        <v>14.5</v>
      </c>
      <c r="D7224" s="2"/>
      <c r="E7224" s="31"/>
      <c r="G7224" s="43"/>
      <c r="H7224" s="2"/>
    </row>
    <row r="7225" spans="1:8">
      <c r="A7225" s="39">
        <v>2.6488710347786</v>
      </c>
      <c r="B7225" s="45">
        <v>7</v>
      </c>
      <c r="D7225" s="2"/>
      <c r="E7225" s="31"/>
      <c r="G7225" s="43"/>
      <c r="H7225" s="2"/>
    </row>
    <row r="7226" spans="1:8">
      <c r="A7226" s="39">
        <v>2.6488710347786</v>
      </c>
      <c r="B7226" s="45">
        <v>5.2</v>
      </c>
      <c r="D7226" s="2"/>
      <c r="E7226" s="31"/>
      <c r="G7226" s="43"/>
      <c r="H7226" s="2"/>
    </row>
    <row r="7227" spans="1:8">
      <c r="A7227" s="39">
        <v>2.6488710347786</v>
      </c>
      <c r="B7227" s="45">
        <v>11.4</v>
      </c>
      <c r="D7227" s="2"/>
      <c r="E7227" s="31"/>
      <c r="G7227" s="43"/>
      <c r="H7227" s="2"/>
    </row>
    <row r="7228" spans="1:8">
      <c r="A7228" s="39">
        <v>2.64750390048535</v>
      </c>
      <c r="B7228" s="45">
        <v>9.7</v>
      </c>
      <c r="D7228" s="2"/>
      <c r="E7228" s="31"/>
      <c r="G7228" s="43"/>
      <c r="H7228" s="2"/>
    </row>
    <row r="7229" spans="1:8">
      <c r="A7229" s="39">
        <v>2.64750210917923</v>
      </c>
      <c r="B7229" s="45">
        <v>0</v>
      </c>
      <c r="D7229" s="2"/>
      <c r="E7229" s="31"/>
      <c r="G7229" s="43"/>
      <c r="H7229" s="2"/>
    </row>
    <row r="7230" spans="1:8">
      <c r="A7230" s="39">
        <v>2.64742149384874</v>
      </c>
      <c r="B7230" s="45">
        <v>10</v>
      </c>
      <c r="D7230" s="2"/>
      <c r="E7230" s="31"/>
      <c r="G7230" s="43"/>
      <c r="H7230" s="2"/>
    </row>
    <row r="7231" spans="1:8">
      <c r="A7231" s="39">
        <v>2.64680033846024</v>
      </c>
      <c r="B7231" s="45">
        <v>5.9</v>
      </c>
      <c r="D7231" s="2"/>
      <c r="E7231" s="31"/>
      <c r="G7231" s="43"/>
      <c r="H7231" s="2"/>
    </row>
    <row r="7232" spans="1:8">
      <c r="A7232" s="39">
        <v>2.6467481923498</v>
      </c>
      <c r="B7232" s="45">
        <v>6</v>
      </c>
      <c r="D7232" s="2"/>
      <c r="E7232" s="31"/>
      <c r="G7232" s="43"/>
      <c r="H7232" s="2"/>
    </row>
    <row r="7233" spans="1:8">
      <c r="A7233" s="39">
        <v>2.64627078498001</v>
      </c>
      <c r="B7233" s="45">
        <v>5.6</v>
      </c>
      <c r="D7233" s="2"/>
      <c r="E7233" s="31"/>
      <c r="G7233" s="43"/>
      <c r="H7233" s="2"/>
    </row>
    <row r="7234" spans="1:8">
      <c r="A7234" s="39">
        <v>2.64610247866919</v>
      </c>
      <c r="B7234" s="45">
        <v>15.3</v>
      </c>
      <c r="D7234" s="2"/>
      <c r="E7234" s="31"/>
      <c r="G7234" s="43"/>
      <c r="H7234" s="2"/>
    </row>
    <row r="7235" spans="1:8">
      <c r="A7235" s="39">
        <v>2.64554298773442</v>
      </c>
      <c r="B7235" s="45">
        <v>66</v>
      </c>
      <c r="D7235" s="2"/>
      <c r="E7235" s="31"/>
      <c r="G7235" s="43"/>
      <c r="H7235" s="2"/>
    </row>
    <row r="7236" spans="1:8">
      <c r="A7236" s="39">
        <v>2.64539872800997</v>
      </c>
      <c r="B7236" s="45">
        <v>26.5</v>
      </c>
      <c r="D7236" s="2"/>
      <c r="E7236" s="31"/>
      <c r="G7236" s="43"/>
      <c r="H7236" s="2"/>
    </row>
    <row r="7237" spans="1:8">
      <c r="A7237" s="39">
        <v>2.6435751012572</v>
      </c>
      <c r="B7237" s="45">
        <v>12.5</v>
      </c>
      <c r="D7237" s="2"/>
      <c r="E7237" s="31"/>
      <c r="G7237" s="43"/>
      <c r="H7237" s="2"/>
    </row>
    <row r="7238" spans="1:8">
      <c r="A7238" s="39">
        <v>2.64326617140304</v>
      </c>
      <c r="B7238" s="45">
        <v>6.8</v>
      </c>
      <c r="D7238" s="2"/>
      <c r="E7238" s="31"/>
      <c r="G7238" s="43"/>
      <c r="H7238" s="2"/>
    </row>
    <row r="7239" spans="1:8">
      <c r="A7239" s="39">
        <v>2.64263179875204</v>
      </c>
      <c r="B7239" s="45">
        <v>2</v>
      </c>
      <c r="D7239" s="2"/>
      <c r="E7239" s="31"/>
      <c r="G7239" s="43"/>
      <c r="H7239" s="2"/>
    </row>
    <row r="7240" spans="1:8">
      <c r="A7240" s="39">
        <v>2.64263179875204</v>
      </c>
      <c r="B7240" s="45">
        <v>11.1</v>
      </c>
      <c r="D7240" s="2"/>
      <c r="E7240" s="31"/>
      <c r="G7240" s="43"/>
      <c r="H7240" s="2"/>
    </row>
    <row r="7241" spans="1:8">
      <c r="A7241" s="39">
        <v>2.64190400150645</v>
      </c>
      <c r="B7241" s="45">
        <v>16</v>
      </c>
      <c r="D7241" s="2"/>
      <c r="E7241" s="31"/>
      <c r="G7241" s="43"/>
      <c r="H7241" s="2"/>
    </row>
    <row r="7242" spans="1:8">
      <c r="A7242" s="39">
        <v>2.64146968902686</v>
      </c>
      <c r="B7242" s="45">
        <v>10.4</v>
      </c>
      <c r="D7242" s="2"/>
      <c r="E7242" s="31"/>
      <c r="G7242" s="43"/>
      <c r="H7242" s="2"/>
    </row>
    <row r="7243" spans="1:8">
      <c r="A7243" s="39">
        <v>2.64047247339543</v>
      </c>
      <c r="B7243" s="45">
        <v>12.6</v>
      </c>
      <c r="D7243" s="2"/>
      <c r="E7243" s="31"/>
      <c r="G7243" s="43"/>
      <c r="H7243" s="2"/>
    </row>
    <row r="7244" spans="1:8">
      <c r="A7244" s="39">
        <v>2.64012059806582</v>
      </c>
      <c r="B7244" s="45">
        <v>6.2</v>
      </c>
      <c r="D7244" s="2"/>
      <c r="E7244" s="31"/>
      <c r="G7244" s="43"/>
      <c r="H7244" s="2"/>
    </row>
    <row r="7245" spans="1:8">
      <c r="A7245" s="39">
        <v>2.64001473464017</v>
      </c>
      <c r="B7245" s="45">
        <v>10</v>
      </c>
      <c r="D7245" s="2"/>
      <c r="E7245" s="31"/>
      <c r="G7245" s="43"/>
      <c r="H7245" s="2"/>
    </row>
    <row r="7246" spans="1:8">
      <c r="A7246" s="39">
        <v>2.6399939916646</v>
      </c>
      <c r="B7246" s="45">
        <v>14</v>
      </c>
      <c r="D7246" s="2"/>
      <c r="E7246" s="31"/>
      <c r="G7246" s="43"/>
      <c r="H7246" s="2"/>
    </row>
    <row r="7247" spans="1:8">
      <c r="A7247" s="39">
        <v>2.63976872273621</v>
      </c>
      <c r="B7247" s="45">
        <v>16.4</v>
      </c>
      <c r="D7247" s="2"/>
      <c r="E7247" s="31"/>
      <c r="G7247" s="43"/>
      <c r="H7247" s="2"/>
    </row>
    <row r="7248" spans="1:8">
      <c r="A7248" s="39">
        <v>2.63976872273621</v>
      </c>
      <c r="B7248" s="45">
        <v>5.2</v>
      </c>
      <c r="D7248" s="2"/>
      <c r="E7248" s="31"/>
      <c r="G7248" s="43"/>
      <c r="H7248" s="2"/>
    </row>
    <row r="7249" spans="1:8">
      <c r="A7249" s="39">
        <v>2.63976471820915</v>
      </c>
      <c r="B7249" s="45">
        <v>17</v>
      </c>
      <c r="D7249" s="2"/>
      <c r="E7249" s="31"/>
      <c r="G7249" s="43"/>
      <c r="H7249" s="2"/>
    </row>
    <row r="7250" spans="1:8">
      <c r="A7250" s="39">
        <v>2.63906115618404</v>
      </c>
      <c r="B7250" s="45">
        <v>6</v>
      </c>
      <c r="D7250" s="2"/>
      <c r="E7250" s="31"/>
      <c r="G7250" s="43"/>
      <c r="H7250" s="2"/>
    </row>
    <row r="7251" spans="1:8">
      <c r="A7251" s="39">
        <v>2.63855978025349</v>
      </c>
      <c r="B7251" s="45">
        <v>0</v>
      </c>
      <c r="D7251" s="2"/>
      <c r="E7251" s="31"/>
      <c r="G7251" s="43"/>
      <c r="H7251" s="2"/>
    </row>
    <row r="7252" spans="1:8">
      <c r="A7252" s="39">
        <v>2.63850261182384</v>
      </c>
      <c r="B7252" s="45">
        <v>7</v>
      </c>
      <c r="D7252" s="2"/>
      <c r="E7252" s="31"/>
      <c r="G7252" s="43"/>
      <c r="H7252" s="2"/>
    </row>
    <row r="7253" spans="1:8">
      <c r="A7253" s="39">
        <v>2.63835759415893</v>
      </c>
      <c r="B7253" s="45">
        <v>10</v>
      </c>
      <c r="D7253" s="2"/>
      <c r="E7253" s="31"/>
      <c r="G7253" s="43"/>
      <c r="H7253" s="2"/>
    </row>
    <row r="7254" spans="1:8">
      <c r="A7254" s="39">
        <v>2.63784903178623</v>
      </c>
      <c r="B7254" s="45">
        <v>6</v>
      </c>
      <c r="D7254" s="2"/>
      <c r="E7254" s="31"/>
      <c r="G7254" s="43"/>
      <c r="H7254" s="2"/>
    </row>
    <row r="7255" spans="1:8">
      <c r="A7255" s="39">
        <v>2.6371048258668</v>
      </c>
      <c r="B7255" s="45">
        <v>15.5</v>
      </c>
      <c r="D7255" s="2"/>
      <c r="E7255" s="31"/>
      <c r="G7255" s="43"/>
      <c r="H7255" s="2"/>
    </row>
    <row r="7256" spans="1:8">
      <c r="A7256" s="39">
        <v>2.63695372009933</v>
      </c>
      <c r="B7256" s="45">
        <v>24</v>
      </c>
      <c r="D7256" s="2"/>
      <c r="E7256" s="31"/>
      <c r="G7256" s="43"/>
      <c r="H7256" s="2"/>
    </row>
    <row r="7257" spans="1:8">
      <c r="A7257" s="39">
        <v>2.6362469080836</v>
      </c>
      <c r="B7257" s="45">
        <v>9.9</v>
      </c>
      <c r="D7257" s="2"/>
      <c r="E7257" s="31"/>
      <c r="G7257" s="43"/>
      <c r="H7257" s="2"/>
    </row>
    <row r="7258" spans="1:8">
      <c r="A7258" s="39">
        <v>2.6362469080836</v>
      </c>
      <c r="B7258" s="45">
        <v>11.8</v>
      </c>
      <c r="D7258" s="2"/>
      <c r="E7258" s="31"/>
      <c r="G7258" s="43"/>
      <c r="H7258" s="2"/>
    </row>
    <row r="7259" spans="1:8">
      <c r="A7259" s="39">
        <v>2.6360816235417</v>
      </c>
      <c r="B7259" s="45">
        <v>4.2</v>
      </c>
      <c r="D7259" s="2"/>
      <c r="E7259" s="31"/>
      <c r="G7259" s="43"/>
      <c r="H7259" s="2"/>
    </row>
    <row r="7260" spans="1:8">
      <c r="A7260" s="39">
        <v>2.6353538262961</v>
      </c>
      <c r="B7260" s="45">
        <v>8.8</v>
      </c>
      <c r="D7260" s="2"/>
      <c r="E7260" s="31"/>
      <c r="G7260" s="43"/>
      <c r="H7260" s="2"/>
    </row>
    <row r="7261" spans="1:8">
      <c r="A7261" s="39">
        <v>2.63533854919422</v>
      </c>
      <c r="B7261" s="45">
        <v>10</v>
      </c>
      <c r="D7261" s="2"/>
      <c r="E7261" s="31"/>
      <c r="G7261" s="43"/>
      <c r="H7261" s="2"/>
    </row>
    <row r="7262" spans="1:8">
      <c r="A7262" s="39">
        <v>2.63518177878491</v>
      </c>
      <c r="B7262" s="45">
        <v>12</v>
      </c>
      <c r="D7262" s="2"/>
      <c r="E7262" s="31"/>
      <c r="G7262" s="43"/>
      <c r="H7262" s="2"/>
    </row>
    <row r="7263" spans="1:8">
      <c r="A7263" s="39">
        <v>2.63518177878491</v>
      </c>
      <c r="B7263" s="45">
        <v>4.6</v>
      </c>
      <c r="D7263" s="2"/>
      <c r="E7263" s="31"/>
      <c r="G7263" s="43"/>
      <c r="H7263" s="2"/>
    </row>
    <row r="7264" spans="1:8">
      <c r="A7264" s="39">
        <v>2.63419491709343</v>
      </c>
      <c r="B7264" s="45">
        <v>13</v>
      </c>
      <c r="D7264" s="2"/>
      <c r="E7264" s="31"/>
      <c r="G7264" s="43"/>
      <c r="H7264" s="2"/>
    </row>
    <row r="7265" spans="1:8">
      <c r="A7265" s="39">
        <v>2.63395546386986</v>
      </c>
      <c r="B7265" s="45">
        <v>12.3</v>
      </c>
      <c r="D7265" s="2"/>
      <c r="E7265" s="31"/>
      <c r="G7265" s="43"/>
      <c r="H7265" s="2"/>
    </row>
    <row r="7266" spans="1:8">
      <c r="A7266" s="39">
        <v>2.63392755156058</v>
      </c>
      <c r="B7266" s="45">
        <v>8.5</v>
      </c>
      <c r="D7266" s="2"/>
      <c r="E7266" s="31"/>
      <c r="G7266" s="43"/>
      <c r="H7266" s="2"/>
    </row>
    <row r="7267" spans="1:8">
      <c r="A7267" s="39">
        <v>2.63381285318554</v>
      </c>
      <c r="B7267" s="45">
        <v>1</v>
      </c>
      <c r="D7267" s="2"/>
      <c r="E7267" s="31"/>
      <c r="G7267" s="43"/>
      <c r="H7267" s="2"/>
    </row>
    <row r="7268" spans="1:8">
      <c r="A7268" s="39">
        <v>2.63378444099572</v>
      </c>
      <c r="B7268" s="45">
        <v>9</v>
      </c>
      <c r="D7268" s="2"/>
      <c r="E7268" s="31"/>
      <c r="G7268" s="43"/>
      <c r="H7268" s="2"/>
    </row>
    <row r="7269" spans="1:8">
      <c r="A7269" s="39">
        <v>2.63354799439792</v>
      </c>
      <c r="B7269" s="45">
        <v>10.8</v>
      </c>
      <c r="D7269" s="2"/>
      <c r="E7269" s="31"/>
      <c r="G7269" s="43"/>
      <c r="H7269" s="2"/>
    </row>
    <row r="7270" spans="1:8">
      <c r="A7270" s="39">
        <v>2.63272909795806</v>
      </c>
      <c r="B7270" s="45">
        <v>7.8</v>
      </c>
      <c r="D7270" s="2"/>
      <c r="E7270" s="31"/>
      <c r="G7270" s="43"/>
      <c r="H7270" s="2"/>
    </row>
    <row r="7271" spans="1:8">
      <c r="A7271" s="39">
        <v>2.63193555937302</v>
      </c>
      <c r="B7271" s="45">
        <v>13</v>
      </c>
      <c r="D7271" s="2"/>
      <c r="E7271" s="31"/>
      <c r="G7271" s="43"/>
      <c r="H7271" s="2"/>
    </row>
    <row r="7272" spans="1:8">
      <c r="A7272" s="39">
        <v>2.63175946478649</v>
      </c>
      <c r="B7272" s="45">
        <v>1.5</v>
      </c>
      <c r="D7272" s="2"/>
      <c r="E7272" s="31"/>
      <c r="G7272" s="43"/>
      <c r="H7272" s="2"/>
    </row>
    <row r="7273" spans="1:8">
      <c r="A7273" s="39">
        <v>2.63171484006813</v>
      </c>
      <c r="B7273" s="45">
        <v>8</v>
      </c>
      <c r="D7273" s="2"/>
      <c r="E7273" s="31"/>
      <c r="G7273" s="43"/>
      <c r="H7273" s="2"/>
    </row>
    <row r="7274" spans="1:8">
      <c r="A7274" s="39">
        <v>2.63126225787408</v>
      </c>
      <c r="B7274" s="45">
        <v>15.6</v>
      </c>
      <c r="D7274" s="2"/>
      <c r="E7274" s="31"/>
      <c r="G7274" s="43"/>
      <c r="H7274" s="2"/>
    </row>
    <row r="7275" spans="1:8">
      <c r="A7275" s="39">
        <v>2.63068310672384</v>
      </c>
      <c r="B7275" s="45">
        <v>7.7</v>
      </c>
      <c r="D7275" s="2"/>
      <c r="E7275" s="31"/>
      <c r="G7275" s="43"/>
      <c r="H7275" s="2"/>
    </row>
    <row r="7276" spans="1:8">
      <c r="A7276" s="39">
        <v>2.62991621350712</v>
      </c>
      <c r="B7276" s="45">
        <v>9.1</v>
      </c>
      <c r="D7276" s="2"/>
      <c r="E7276" s="31"/>
      <c r="G7276" s="43"/>
      <c r="H7276" s="2"/>
    </row>
    <row r="7277" spans="1:8">
      <c r="A7277" s="39">
        <v>2.62983005393338</v>
      </c>
      <c r="B7277" s="45">
        <v>14.6</v>
      </c>
      <c r="D7277" s="2"/>
      <c r="E7277" s="31"/>
      <c r="G7277" s="43"/>
      <c r="H7277" s="2"/>
    </row>
    <row r="7278" spans="1:8">
      <c r="A7278" s="39">
        <v>2.62970607638744</v>
      </c>
      <c r="B7278" s="45">
        <v>5.9</v>
      </c>
      <c r="D7278" s="2"/>
      <c r="E7278" s="31"/>
      <c r="G7278" s="43"/>
      <c r="H7278" s="2"/>
    </row>
    <row r="7279" spans="1:8">
      <c r="A7279" s="39">
        <v>2.6292506628868</v>
      </c>
      <c r="B7279" s="45">
        <v>13</v>
      </c>
      <c r="D7279" s="2"/>
      <c r="E7279" s="31"/>
      <c r="G7279" s="43"/>
      <c r="H7279" s="2"/>
    </row>
    <row r="7280" spans="1:8">
      <c r="A7280" s="39">
        <v>2.6292506628868</v>
      </c>
      <c r="B7280" s="45">
        <v>12</v>
      </c>
      <c r="D7280" s="2"/>
      <c r="E7280" s="31"/>
      <c r="G7280" s="43"/>
      <c r="H7280" s="2"/>
    </row>
    <row r="7281" spans="1:8">
      <c r="A7281" s="39">
        <v>2.6292124628479</v>
      </c>
      <c r="B7281" s="45">
        <v>8.7</v>
      </c>
      <c r="D7281" s="2"/>
      <c r="E7281" s="31"/>
      <c r="G7281" s="43"/>
      <c r="H7281" s="2"/>
    </row>
    <row r="7282" spans="1:8">
      <c r="A7282" s="39">
        <v>2.6292124628479</v>
      </c>
      <c r="B7282" s="45">
        <v>5.5</v>
      </c>
      <c r="D7282" s="2"/>
      <c r="E7282" s="31"/>
      <c r="G7282" s="43"/>
      <c r="H7282" s="2"/>
    </row>
    <row r="7283" spans="1:8">
      <c r="A7283" s="39">
        <v>2.62880365108576</v>
      </c>
      <c r="B7283" s="45">
        <v>11.8</v>
      </c>
      <c r="D7283" s="2"/>
      <c r="E7283" s="31"/>
      <c r="G7283" s="43"/>
      <c r="H7283" s="2"/>
    </row>
    <row r="7284" spans="1:8">
      <c r="A7284" s="39">
        <v>2.62880365108576</v>
      </c>
      <c r="B7284" s="45">
        <v>8.9</v>
      </c>
      <c r="D7284" s="2"/>
      <c r="E7284" s="31"/>
      <c r="G7284" s="43"/>
      <c r="H7284" s="2"/>
    </row>
    <row r="7285" spans="1:8">
      <c r="A7285" s="39">
        <v>2.62880365108576</v>
      </c>
      <c r="B7285" s="45">
        <v>10.1</v>
      </c>
      <c r="D7285" s="2"/>
      <c r="E7285" s="31"/>
      <c r="G7285" s="43"/>
      <c r="H7285" s="2"/>
    </row>
    <row r="7286" spans="1:8">
      <c r="A7286" s="39">
        <v>2.62869891125972</v>
      </c>
      <c r="B7286" s="45">
        <v>6.6</v>
      </c>
      <c r="D7286" s="2"/>
      <c r="E7286" s="31"/>
      <c r="G7286" s="43"/>
      <c r="H7286" s="2"/>
    </row>
    <row r="7287" spans="1:8">
      <c r="A7287" s="39">
        <v>2.62853444096828</v>
      </c>
      <c r="B7287" s="45">
        <v>8.2</v>
      </c>
      <c r="D7287" s="2"/>
      <c r="E7287" s="31"/>
      <c r="G7287" s="43"/>
      <c r="H7287" s="2"/>
    </row>
    <row r="7288" spans="1:8">
      <c r="A7288" s="39">
        <v>2.6278041637823</v>
      </c>
      <c r="B7288" s="45">
        <v>10.7</v>
      </c>
      <c r="D7288" s="2"/>
      <c r="E7288" s="31"/>
      <c r="G7288" s="43"/>
      <c r="H7288" s="2"/>
    </row>
    <row r="7289" spans="1:8">
      <c r="A7289" s="39">
        <v>2.62722244888041</v>
      </c>
      <c r="B7289" s="45">
        <v>4</v>
      </c>
      <c r="D7289" s="2"/>
      <c r="E7289" s="31"/>
      <c r="G7289" s="43"/>
      <c r="H7289" s="2"/>
    </row>
    <row r="7290" spans="1:8">
      <c r="A7290" s="39">
        <v>2.62662025934898</v>
      </c>
      <c r="B7290" s="45">
        <v>2.9</v>
      </c>
      <c r="D7290" s="2"/>
      <c r="E7290" s="31"/>
      <c r="G7290" s="43"/>
      <c r="H7290" s="2"/>
    </row>
    <row r="7291" spans="1:8">
      <c r="A7291" s="39">
        <v>2.62654914738147</v>
      </c>
      <c r="B7291" s="45">
        <v>8.9</v>
      </c>
      <c r="D7291" s="2"/>
      <c r="E7291" s="31"/>
      <c r="G7291" s="43"/>
      <c r="H7291" s="2"/>
    </row>
    <row r="7292" spans="1:8">
      <c r="A7292" s="39">
        <v>2.62639746021102</v>
      </c>
      <c r="B7292" s="45">
        <v>13.2</v>
      </c>
      <c r="D7292" s="2"/>
      <c r="E7292" s="31"/>
      <c r="G7292" s="43"/>
      <c r="H7292" s="2"/>
    </row>
    <row r="7293" spans="1:8">
      <c r="A7293" s="39">
        <v>2.62628376238902</v>
      </c>
      <c r="B7293" s="45">
        <v>4.5</v>
      </c>
      <c r="D7293" s="2"/>
      <c r="E7293" s="31"/>
      <c r="G7293" s="43"/>
      <c r="H7293" s="2"/>
    </row>
    <row r="7294" spans="1:8">
      <c r="A7294" s="39">
        <v>2.62516466485779</v>
      </c>
      <c r="B7294" s="45">
        <v>4.5</v>
      </c>
      <c r="D7294" s="2"/>
      <c r="E7294" s="31"/>
      <c r="G7294" s="43"/>
      <c r="H7294" s="2"/>
    </row>
    <row r="7295" spans="1:8">
      <c r="A7295" s="39">
        <v>2.62473771357998</v>
      </c>
      <c r="B7295" s="45">
        <v>14.6</v>
      </c>
      <c r="D7295" s="2"/>
      <c r="E7295" s="31"/>
      <c r="G7295" s="43"/>
      <c r="H7295" s="2"/>
    </row>
    <row r="7296" spans="1:8">
      <c r="A7296" s="39">
        <v>2.62452924288464</v>
      </c>
      <c r="B7296" s="45">
        <v>18.4</v>
      </c>
      <c r="D7296" s="2"/>
      <c r="E7296" s="31"/>
      <c r="G7296" s="43"/>
      <c r="H7296" s="2"/>
    </row>
    <row r="7297" spans="1:8">
      <c r="A7297" s="39">
        <v>2.62286144839059</v>
      </c>
      <c r="B7297" s="45">
        <v>3.7</v>
      </c>
      <c r="D7297" s="2"/>
      <c r="E7297" s="31"/>
      <c r="G7297" s="43"/>
      <c r="H7297" s="2"/>
    </row>
    <row r="7298" spans="1:8">
      <c r="A7298" s="39">
        <v>2.62280466562012</v>
      </c>
      <c r="B7298" s="45">
        <v>6</v>
      </c>
      <c r="D7298" s="2"/>
      <c r="E7298" s="31"/>
      <c r="G7298" s="43"/>
      <c r="H7298" s="2"/>
    </row>
    <row r="7299" spans="1:8">
      <c r="A7299" s="39">
        <v>2.62255528199995</v>
      </c>
      <c r="B7299" s="45">
        <v>26</v>
      </c>
      <c r="D7299" s="2"/>
      <c r="E7299" s="31"/>
      <c r="G7299" s="43"/>
      <c r="H7299" s="2"/>
    </row>
    <row r="7300" spans="1:8">
      <c r="A7300" s="39">
        <v>2.62225347587541</v>
      </c>
      <c r="B7300" s="45">
        <v>13</v>
      </c>
      <c r="D7300" s="2"/>
      <c r="E7300" s="31"/>
      <c r="G7300" s="43"/>
      <c r="H7300" s="2"/>
    </row>
    <row r="7301" spans="1:8">
      <c r="A7301" s="39">
        <v>2.62152567862982</v>
      </c>
      <c r="B7301" s="45">
        <v>12.4</v>
      </c>
      <c r="D7301" s="2"/>
      <c r="E7301" s="31"/>
      <c r="G7301" s="43"/>
      <c r="H7301" s="2"/>
    </row>
    <row r="7302" spans="1:8">
      <c r="A7302" s="39">
        <v>2.62149252279122</v>
      </c>
      <c r="B7302" s="45">
        <v>15.1</v>
      </c>
      <c r="D7302" s="2"/>
      <c r="E7302" s="31"/>
      <c r="G7302" s="43"/>
      <c r="H7302" s="2"/>
    </row>
    <row r="7303" spans="1:8">
      <c r="A7303" s="39">
        <v>2.62110032761327</v>
      </c>
      <c r="B7303" s="45">
        <v>18.1</v>
      </c>
      <c r="D7303" s="2"/>
      <c r="E7303" s="31"/>
      <c r="G7303" s="43"/>
      <c r="H7303" s="2"/>
    </row>
    <row r="7304" spans="1:8">
      <c r="A7304" s="39">
        <v>2.62065599986456</v>
      </c>
      <c r="B7304" s="45">
        <v>16</v>
      </c>
      <c r="D7304" s="2"/>
      <c r="E7304" s="31"/>
      <c r="G7304" s="43"/>
      <c r="H7304" s="2"/>
    </row>
    <row r="7305" spans="1:8">
      <c r="A7305" s="39">
        <v>2.61943913439217</v>
      </c>
      <c r="B7305" s="45">
        <v>11.8</v>
      </c>
      <c r="D7305" s="2"/>
      <c r="E7305" s="31"/>
      <c r="G7305" s="43"/>
      <c r="H7305" s="2"/>
    </row>
    <row r="7306" spans="1:8">
      <c r="A7306" s="39">
        <v>2.61934228689304</v>
      </c>
      <c r="B7306" s="45">
        <v>3.7</v>
      </c>
      <c r="D7306" s="2"/>
      <c r="E7306" s="31"/>
      <c r="G7306" s="43"/>
      <c r="H7306" s="2"/>
    </row>
    <row r="7307" spans="1:8">
      <c r="A7307" s="39">
        <v>2.61865785745588</v>
      </c>
      <c r="B7307" s="45">
        <v>10.5</v>
      </c>
      <c r="D7307" s="2"/>
      <c r="E7307" s="31"/>
      <c r="G7307" s="43"/>
      <c r="H7307" s="2"/>
    </row>
    <row r="7308" spans="1:8">
      <c r="A7308" s="39">
        <v>2.61788669240185</v>
      </c>
      <c r="B7308" s="45">
        <v>0</v>
      </c>
      <c r="D7308" s="2"/>
      <c r="E7308" s="31"/>
      <c r="G7308" s="43"/>
      <c r="H7308" s="2"/>
    </row>
    <row r="7309" spans="1:8">
      <c r="A7309" s="39">
        <v>2.61788669240185</v>
      </c>
      <c r="B7309" s="45">
        <v>2.9</v>
      </c>
      <c r="D7309" s="2"/>
      <c r="E7309" s="31"/>
      <c r="G7309" s="43"/>
      <c r="H7309" s="2"/>
    </row>
    <row r="7310" spans="1:8">
      <c r="A7310" s="39">
        <v>2.6177962278952</v>
      </c>
      <c r="B7310" s="45">
        <v>13.5</v>
      </c>
      <c r="D7310" s="2"/>
      <c r="E7310" s="31"/>
      <c r="G7310" s="43"/>
      <c r="H7310" s="2"/>
    </row>
    <row r="7311" spans="1:8">
      <c r="A7311" s="39">
        <v>2.61746294164655</v>
      </c>
      <c r="B7311" s="45">
        <v>3.5</v>
      </c>
      <c r="D7311" s="2"/>
      <c r="E7311" s="31"/>
      <c r="G7311" s="43"/>
      <c r="H7311" s="2"/>
    </row>
    <row r="7312" spans="1:8">
      <c r="A7312" s="39">
        <v>2.61712292639625</v>
      </c>
      <c r="B7312" s="45">
        <v>12</v>
      </c>
      <c r="D7312" s="2"/>
      <c r="E7312" s="31"/>
      <c r="G7312" s="43"/>
      <c r="H7312" s="2"/>
    </row>
    <row r="7313" spans="1:8">
      <c r="A7313" s="39">
        <v>2.61712292639625</v>
      </c>
      <c r="B7313" s="45">
        <v>4.1</v>
      </c>
      <c r="D7313" s="2"/>
      <c r="E7313" s="31"/>
      <c r="G7313" s="43"/>
      <c r="H7313" s="2"/>
    </row>
    <row r="7314" spans="1:8">
      <c r="A7314" s="39">
        <v>2.61673546445321</v>
      </c>
      <c r="B7314" s="45">
        <v>10.7</v>
      </c>
      <c r="D7314" s="2"/>
      <c r="E7314" s="31"/>
      <c r="G7314" s="43"/>
      <c r="H7314" s="2"/>
    </row>
    <row r="7315" spans="1:8">
      <c r="A7315" s="39">
        <v>2.61643109791066</v>
      </c>
      <c r="B7315" s="45">
        <v>16</v>
      </c>
      <c r="D7315" s="2"/>
      <c r="E7315" s="31"/>
      <c r="G7315" s="43"/>
      <c r="H7315" s="2"/>
    </row>
    <row r="7316" spans="1:8">
      <c r="A7316" s="39">
        <v>2.61464789479438</v>
      </c>
      <c r="B7316" s="45">
        <v>13.3</v>
      </c>
      <c r="D7316" s="2"/>
      <c r="E7316" s="31"/>
      <c r="G7316" s="43"/>
      <c r="H7316" s="2"/>
    </row>
    <row r="7317" spans="1:8">
      <c r="A7317" s="39">
        <v>2.61464789479438</v>
      </c>
      <c r="B7317" s="45">
        <v>5.6</v>
      </c>
      <c r="D7317" s="2"/>
      <c r="E7317" s="31"/>
      <c r="G7317" s="43"/>
      <c r="H7317" s="2"/>
    </row>
    <row r="7318" spans="1:8">
      <c r="A7318" s="39">
        <v>2.61424770617388</v>
      </c>
      <c r="B7318" s="45">
        <v>13.5</v>
      </c>
      <c r="D7318" s="2"/>
      <c r="E7318" s="31"/>
      <c r="G7318" s="43"/>
      <c r="H7318" s="2"/>
    </row>
    <row r="7319" spans="1:8">
      <c r="A7319" s="39">
        <v>2.61424770617388</v>
      </c>
      <c r="B7319" s="45">
        <v>8</v>
      </c>
      <c r="D7319" s="2"/>
      <c r="E7319" s="31"/>
      <c r="G7319" s="43"/>
      <c r="H7319" s="2"/>
    </row>
    <row r="7320" spans="1:8">
      <c r="A7320" s="39">
        <v>2.61375641890153</v>
      </c>
      <c r="B7320" s="45">
        <v>4.2</v>
      </c>
      <c r="D7320" s="2"/>
      <c r="E7320" s="31"/>
      <c r="G7320" s="43"/>
      <c r="H7320" s="2"/>
    </row>
    <row r="7321" spans="1:8">
      <c r="A7321" s="39">
        <v>2.61351990892828</v>
      </c>
      <c r="B7321" s="45">
        <v>4.6</v>
      </c>
      <c r="D7321" s="2"/>
      <c r="E7321" s="31"/>
      <c r="G7321" s="43"/>
      <c r="H7321" s="2"/>
    </row>
    <row r="7322" spans="1:8">
      <c r="A7322" s="39">
        <v>2.61349378067936</v>
      </c>
      <c r="B7322" s="45">
        <v>10.1</v>
      </c>
      <c r="D7322" s="2"/>
      <c r="E7322" s="31"/>
      <c r="G7322" s="43"/>
      <c r="H7322" s="2"/>
    </row>
    <row r="7323" spans="1:8">
      <c r="A7323" s="39">
        <v>2.61308311740259</v>
      </c>
      <c r="B7323" s="45">
        <v>21</v>
      </c>
      <c r="D7323" s="2"/>
      <c r="E7323" s="31"/>
      <c r="G7323" s="43"/>
      <c r="H7323" s="2"/>
    </row>
    <row r="7324" spans="1:8">
      <c r="A7324" s="39">
        <v>2.61237060129316</v>
      </c>
      <c r="B7324" s="45">
        <v>10</v>
      </c>
      <c r="D7324" s="2"/>
      <c r="E7324" s="31"/>
      <c r="G7324" s="43"/>
      <c r="H7324" s="2"/>
    </row>
    <row r="7325" spans="1:8">
      <c r="A7325" s="39">
        <v>2.6113451149238</v>
      </c>
      <c r="B7325" s="45">
        <v>11.5</v>
      </c>
      <c r="D7325" s="2"/>
      <c r="E7325" s="31"/>
      <c r="G7325" s="43"/>
      <c r="H7325" s="2"/>
    </row>
    <row r="7326" spans="1:8">
      <c r="A7326" s="39">
        <v>2.61060871994591</v>
      </c>
      <c r="B7326" s="45">
        <v>4</v>
      </c>
      <c r="D7326" s="2"/>
      <c r="E7326" s="31"/>
      <c r="G7326" s="43"/>
      <c r="H7326" s="2"/>
    </row>
    <row r="7327" spans="1:8">
      <c r="A7327" s="39">
        <v>2.61060871994591</v>
      </c>
      <c r="B7327" s="45">
        <v>4.6</v>
      </c>
      <c r="D7327" s="2"/>
      <c r="E7327" s="31"/>
      <c r="G7327" s="43"/>
      <c r="H7327" s="2"/>
    </row>
    <row r="7328" spans="1:8">
      <c r="A7328" s="39">
        <v>2.61060871994591</v>
      </c>
      <c r="B7328" s="45">
        <v>8.9</v>
      </c>
      <c r="D7328" s="2"/>
      <c r="E7328" s="31"/>
      <c r="G7328" s="43"/>
      <c r="H7328" s="2"/>
    </row>
    <row r="7329" spans="1:8">
      <c r="A7329" s="39">
        <v>2.61018816971313</v>
      </c>
      <c r="B7329" s="45">
        <v>1</v>
      </c>
      <c r="D7329" s="2"/>
      <c r="E7329" s="31"/>
      <c r="G7329" s="43"/>
      <c r="H7329" s="2"/>
    </row>
    <row r="7330" spans="1:8">
      <c r="A7330" s="39">
        <v>2.61018816971313</v>
      </c>
      <c r="B7330" s="45">
        <v>5.5</v>
      </c>
      <c r="D7330" s="2"/>
      <c r="E7330" s="31"/>
      <c r="G7330" s="43"/>
      <c r="H7330" s="2"/>
    </row>
    <row r="7331" spans="1:8">
      <c r="A7331" s="39">
        <v>2.60988092270031</v>
      </c>
      <c r="B7331" s="45">
        <v>10.5</v>
      </c>
      <c r="D7331" s="2"/>
      <c r="E7331" s="31"/>
      <c r="G7331" s="43"/>
      <c r="H7331" s="2"/>
    </row>
    <row r="7332" spans="1:8">
      <c r="A7332" s="39">
        <v>2.60843793009387</v>
      </c>
      <c r="B7332" s="45">
        <v>6</v>
      </c>
      <c r="D7332" s="2"/>
      <c r="E7332" s="31"/>
      <c r="G7332" s="43"/>
      <c r="H7332" s="2"/>
    </row>
    <row r="7333" spans="1:8">
      <c r="A7333" s="39">
        <v>2.60780326679754</v>
      </c>
      <c r="B7333" s="45">
        <v>4</v>
      </c>
      <c r="D7333" s="2"/>
      <c r="E7333" s="31"/>
      <c r="G7333" s="43"/>
      <c r="H7333" s="2"/>
    </row>
    <row r="7334" spans="1:8">
      <c r="A7334" s="39">
        <v>2.60780326679754</v>
      </c>
      <c r="B7334" s="45">
        <v>9</v>
      </c>
      <c r="D7334" s="2"/>
      <c r="E7334" s="31"/>
      <c r="G7334" s="43"/>
      <c r="H7334" s="2"/>
    </row>
    <row r="7335" spans="1:8">
      <c r="A7335" s="39">
        <v>2.6077640053312</v>
      </c>
      <c r="B7335" s="45">
        <v>13</v>
      </c>
      <c r="D7335" s="2"/>
      <c r="E7335" s="31"/>
      <c r="G7335" s="43"/>
      <c r="H7335" s="2"/>
    </row>
    <row r="7336" spans="1:8">
      <c r="A7336" s="39">
        <v>2.6077640053312</v>
      </c>
      <c r="B7336" s="45">
        <v>4.4</v>
      </c>
      <c r="D7336" s="2"/>
      <c r="E7336" s="31"/>
      <c r="G7336" s="43"/>
      <c r="H7336" s="2"/>
    </row>
    <row r="7337" spans="1:8">
      <c r="A7337" s="39">
        <v>2.60727826093976</v>
      </c>
      <c r="B7337" s="45">
        <v>7.8</v>
      </c>
      <c r="D7337" s="2"/>
      <c r="E7337" s="31"/>
      <c r="G7337" s="43"/>
      <c r="H7337" s="2"/>
    </row>
    <row r="7338" spans="1:8">
      <c r="A7338" s="39">
        <v>2.60696973371794</v>
      </c>
      <c r="B7338" s="45">
        <v>12.3</v>
      </c>
      <c r="D7338" s="2"/>
      <c r="E7338" s="31"/>
      <c r="G7338" s="43"/>
      <c r="H7338" s="2"/>
    </row>
    <row r="7339" spans="1:8">
      <c r="A7339" s="39">
        <v>2.60696973371794</v>
      </c>
      <c r="B7339" s="45">
        <v>8.4</v>
      </c>
      <c r="D7339" s="2"/>
      <c r="E7339" s="31"/>
      <c r="G7339" s="43"/>
      <c r="H7339" s="2"/>
    </row>
    <row r="7340" spans="1:8">
      <c r="A7340" s="39">
        <v>2.60696973371794</v>
      </c>
      <c r="B7340" s="45">
        <v>11.4</v>
      </c>
      <c r="D7340" s="2"/>
      <c r="E7340" s="31"/>
      <c r="G7340" s="43"/>
      <c r="H7340" s="2"/>
    </row>
    <row r="7341" spans="1:8">
      <c r="A7341" s="39">
        <v>2.60624193647234</v>
      </c>
      <c r="B7341" s="45">
        <v>7</v>
      </c>
      <c r="D7341" s="2"/>
      <c r="E7341" s="31"/>
      <c r="G7341" s="43"/>
      <c r="H7341" s="2"/>
    </row>
    <row r="7342" spans="1:8">
      <c r="A7342" s="39">
        <v>2.6052849404344</v>
      </c>
      <c r="B7342" s="45">
        <v>12</v>
      </c>
      <c r="D7342" s="2"/>
      <c r="E7342" s="31"/>
      <c r="G7342" s="43"/>
      <c r="H7342" s="2"/>
    </row>
    <row r="7343" spans="1:8">
      <c r="A7343" s="39">
        <v>2.60509582935973</v>
      </c>
      <c r="B7343" s="45">
        <v>7.4</v>
      </c>
      <c r="D7343" s="2"/>
      <c r="E7343" s="31"/>
      <c r="G7343" s="43"/>
      <c r="H7343" s="2"/>
    </row>
    <row r="7344" spans="1:8">
      <c r="A7344" s="39">
        <v>2.60489911765712</v>
      </c>
      <c r="B7344" s="45">
        <v>9.5</v>
      </c>
      <c r="D7344" s="2"/>
      <c r="E7344" s="31"/>
      <c r="G7344" s="43"/>
      <c r="H7344" s="2"/>
    </row>
    <row r="7345" spans="1:8">
      <c r="A7345" s="39">
        <v>2.60436835216639</v>
      </c>
      <c r="B7345" s="45">
        <v>10.3</v>
      </c>
      <c r="D7345" s="2"/>
      <c r="E7345" s="31"/>
      <c r="G7345" s="43"/>
      <c r="H7345" s="2"/>
    </row>
    <row r="7346" spans="1:8">
      <c r="A7346" s="39">
        <v>2.60433019791631</v>
      </c>
      <c r="B7346" s="45">
        <v>19</v>
      </c>
      <c r="D7346" s="2"/>
      <c r="E7346" s="31"/>
      <c r="G7346" s="43"/>
      <c r="H7346" s="2"/>
    </row>
    <row r="7347" spans="1:8">
      <c r="A7347" s="39">
        <v>2.60365689641737</v>
      </c>
      <c r="B7347" s="45">
        <v>19.2</v>
      </c>
      <c r="D7347" s="2"/>
      <c r="E7347" s="31"/>
      <c r="G7347" s="43"/>
      <c r="H7347" s="2"/>
    </row>
    <row r="7348" spans="1:8">
      <c r="A7348" s="39">
        <v>2.60333074748997</v>
      </c>
      <c r="B7348" s="45">
        <v>4</v>
      </c>
      <c r="D7348" s="2"/>
      <c r="E7348" s="31"/>
      <c r="G7348" s="43"/>
      <c r="H7348" s="2"/>
    </row>
    <row r="7349" spans="1:8">
      <c r="A7349" s="39">
        <v>2.60333074748997</v>
      </c>
      <c r="B7349" s="45">
        <v>9</v>
      </c>
      <c r="D7349" s="2"/>
      <c r="E7349" s="31"/>
      <c r="G7349" s="43"/>
      <c r="H7349" s="2"/>
    </row>
    <row r="7350" spans="1:8">
      <c r="A7350" s="39">
        <v>2.60333074748997</v>
      </c>
      <c r="B7350" s="45">
        <v>8.9</v>
      </c>
      <c r="D7350" s="2"/>
      <c r="E7350" s="31"/>
      <c r="G7350" s="43"/>
      <c r="H7350" s="2"/>
    </row>
    <row r="7351" spans="1:8">
      <c r="A7351" s="39">
        <v>2.60333074748997</v>
      </c>
      <c r="B7351" s="45">
        <v>4.4</v>
      </c>
      <c r="D7351" s="2"/>
      <c r="E7351" s="31"/>
      <c r="G7351" s="43"/>
      <c r="H7351" s="2"/>
    </row>
    <row r="7352" spans="1:8">
      <c r="A7352" s="39">
        <v>2.60275045190156</v>
      </c>
      <c r="B7352" s="45">
        <v>10</v>
      </c>
      <c r="D7352" s="2"/>
      <c r="E7352" s="31"/>
      <c r="G7352" s="43"/>
      <c r="H7352" s="2"/>
    </row>
    <row r="7353" spans="1:8">
      <c r="A7353" s="39">
        <v>2.60177236885326</v>
      </c>
      <c r="B7353" s="45">
        <v>12</v>
      </c>
      <c r="D7353" s="2"/>
      <c r="E7353" s="31"/>
      <c r="G7353" s="43"/>
      <c r="H7353" s="2"/>
    </row>
    <row r="7354" spans="1:8">
      <c r="A7354" s="39">
        <v>2.60145844339302</v>
      </c>
      <c r="B7354" s="45">
        <v>15.2</v>
      </c>
      <c r="D7354" s="2"/>
      <c r="E7354" s="31"/>
      <c r="G7354" s="43"/>
      <c r="H7354" s="2"/>
    </row>
    <row r="7355" spans="1:8">
      <c r="A7355" s="39">
        <v>2.60124854968018</v>
      </c>
      <c r="B7355" s="45">
        <v>9.5</v>
      </c>
      <c r="D7355" s="2"/>
      <c r="E7355" s="31"/>
      <c r="G7355" s="43"/>
      <c r="H7355" s="2"/>
    </row>
    <row r="7356" spans="1:8">
      <c r="A7356" s="39">
        <v>2.60095863880069</v>
      </c>
      <c r="B7356" s="45">
        <v>7.7</v>
      </c>
      <c r="D7356" s="2"/>
      <c r="E7356" s="31"/>
      <c r="G7356" s="43"/>
      <c r="H7356" s="2"/>
    </row>
    <row r="7357" spans="1:8">
      <c r="A7357" s="39">
        <v>2.60095863880069</v>
      </c>
      <c r="B7357" s="45">
        <v>18.3</v>
      </c>
      <c r="D7357" s="2"/>
      <c r="E7357" s="31"/>
      <c r="G7357" s="43"/>
      <c r="H7357" s="2"/>
    </row>
    <row r="7358" spans="1:8">
      <c r="A7358" s="39">
        <v>2.60073096619967</v>
      </c>
      <c r="B7358" s="45">
        <v>13.1</v>
      </c>
      <c r="D7358" s="2"/>
      <c r="E7358" s="31"/>
      <c r="G7358" s="43"/>
      <c r="H7358" s="2"/>
    </row>
    <row r="7359" spans="1:8">
      <c r="A7359" s="39">
        <v>2.600601786146</v>
      </c>
      <c r="B7359" s="45">
        <v>5</v>
      </c>
      <c r="D7359" s="2"/>
      <c r="E7359" s="31"/>
      <c r="G7359" s="43"/>
      <c r="H7359" s="2"/>
    </row>
    <row r="7360" spans="1:8">
      <c r="A7360" s="39">
        <v>2.599691761262</v>
      </c>
      <c r="B7360" s="45">
        <v>11</v>
      </c>
      <c r="D7360" s="2"/>
      <c r="E7360" s="31"/>
      <c r="G7360" s="43"/>
      <c r="H7360" s="2"/>
    </row>
    <row r="7361" spans="1:8">
      <c r="A7361" s="39">
        <v>2.5996170874237</v>
      </c>
      <c r="B7361" s="45">
        <v>15</v>
      </c>
      <c r="D7361" s="2"/>
      <c r="E7361" s="31"/>
      <c r="G7361" s="43"/>
      <c r="H7361" s="2"/>
    </row>
    <row r="7362" spans="1:8">
      <c r="A7362" s="39">
        <v>2.59894378592476</v>
      </c>
      <c r="B7362" s="45">
        <v>11</v>
      </c>
      <c r="D7362" s="2"/>
      <c r="E7362" s="31"/>
      <c r="G7362" s="43"/>
      <c r="H7362" s="2"/>
    </row>
    <row r="7363" spans="1:8">
      <c r="A7363" s="39">
        <v>2.59890525040164</v>
      </c>
      <c r="B7363" s="45">
        <v>6.7</v>
      </c>
      <c r="D7363" s="2"/>
      <c r="E7363" s="31"/>
      <c r="G7363" s="43"/>
      <c r="H7363" s="2"/>
    </row>
    <row r="7364" spans="1:8">
      <c r="A7364" s="39">
        <v>2.59854853461965</v>
      </c>
      <c r="B7364" s="45">
        <v>4.7</v>
      </c>
      <c r="D7364" s="2"/>
      <c r="E7364" s="31"/>
      <c r="G7364" s="43"/>
      <c r="H7364" s="2"/>
    </row>
    <row r="7365" spans="1:8">
      <c r="A7365" s="39">
        <v>2.59809500943118</v>
      </c>
      <c r="B7365" s="45">
        <v>4.4</v>
      </c>
      <c r="D7365" s="2"/>
      <c r="E7365" s="31"/>
      <c r="G7365" s="43"/>
      <c r="H7365" s="2"/>
    </row>
    <row r="7366" spans="1:8">
      <c r="A7366" s="39">
        <v>2.5978210574263</v>
      </c>
      <c r="B7366" s="45">
        <v>15</v>
      </c>
      <c r="D7366" s="2"/>
      <c r="E7366" s="31"/>
      <c r="G7366" s="43"/>
      <c r="H7366" s="2"/>
    </row>
    <row r="7367" spans="1:8">
      <c r="A7367" s="39">
        <v>2.59755099670261</v>
      </c>
      <c r="B7367" s="45">
        <v>10.8</v>
      </c>
      <c r="D7367" s="2"/>
      <c r="E7367" s="31"/>
      <c r="G7367" s="43"/>
      <c r="H7367" s="2"/>
    </row>
    <row r="7368" spans="1:8">
      <c r="A7368" s="39">
        <v>2.59755099670261</v>
      </c>
      <c r="B7368" s="45">
        <v>10.5</v>
      </c>
      <c r="D7368" s="2"/>
      <c r="E7368" s="31"/>
      <c r="G7368" s="43"/>
      <c r="H7368" s="2"/>
    </row>
    <row r="7369" spans="1:8">
      <c r="A7369" s="39">
        <v>2.59754368318298</v>
      </c>
      <c r="B7369" s="45">
        <v>10.5</v>
      </c>
      <c r="D7369" s="2"/>
      <c r="E7369" s="31"/>
      <c r="G7369" s="43"/>
      <c r="H7369" s="2"/>
    </row>
    <row r="7370" spans="1:8">
      <c r="A7370" s="39">
        <v>2.59683993252376</v>
      </c>
      <c r="B7370" s="45">
        <v>16.7</v>
      </c>
      <c r="D7370" s="2"/>
      <c r="E7370" s="31"/>
      <c r="G7370" s="43"/>
      <c r="H7370" s="2"/>
    </row>
    <row r="7371" spans="1:8">
      <c r="A7371" s="39">
        <v>2.59636610303962</v>
      </c>
      <c r="B7371" s="45">
        <v>19</v>
      </c>
      <c r="D7371" s="2"/>
      <c r="E7371" s="31"/>
      <c r="G7371" s="43"/>
      <c r="H7371" s="2"/>
    </row>
    <row r="7372" spans="1:8">
      <c r="A7372" s="39">
        <v>2.59548293640322</v>
      </c>
      <c r="B7372" s="45">
        <v>6</v>
      </c>
      <c r="D7372" s="2"/>
      <c r="E7372" s="31"/>
      <c r="G7372" s="43"/>
      <c r="H7372" s="2"/>
    </row>
    <row r="7373" spans="1:8">
      <c r="A7373" s="39">
        <v>2.59473674860217</v>
      </c>
      <c r="B7373" s="45">
        <v>5</v>
      </c>
      <c r="D7373" s="2"/>
      <c r="E7373" s="31"/>
      <c r="G7373" s="43"/>
      <c r="H7373" s="2"/>
    </row>
    <row r="7374" spans="1:8">
      <c r="A7374" s="39">
        <v>2.5947127493041</v>
      </c>
      <c r="B7374" s="45">
        <v>11.2</v>
      </c>
      <c r="D7374" s="2"/>
      <c r="E7374" s="31"/>
      <c r="G7374" s="43"/>
      <c r="H7374" s="2"/>
    </row>
    <row r="7375" spans="1:8">
      <c r="A7375" s="39">
        <v>2.59403318657706</v>
      </c>
      <c r="B7375" s="45">
        <v>3</v>
      </c>
      <c r="D7375" s="2"/>
      <c r="E7375" s="31"/>
      <c r="G7375" s="43"/>
      <c r="H7375" s="2"/>
    </row>
    <row r="7376" spans="1:8">
      <c r="A7376" s="39">
        <v>2.59345619426625</v>
      </c>
      <c r="B7376" s="45">
        <v>26</v>
      </c>
      <c r="D7376" s="2"/>
      <c r="E7376" s="31"/>
      <c r="G7376" s="43"/>
      <c r="H7376" s="2"/>
    </row>
    <row r="7377" spans="1:8">
      <c r="A7377" s="39">
        <v>2.5934395669608</v>
      </c>
      <c r="B7377" s="45">
        <v>5</v>
      </c>
      <c r="D7377" s="2"/>
      <c r="E7377" s="31"/>
      <c r="G7377" s="43"/>
      <c r="H7377" s="2"/>
    </row>
    <row r="7378" spans="1:8">
      <c r="A7378" s="39">
        <v>2.5934395669608</v>
      </c>
      <c r="B7378" s="45">
        <v>10.5</v>
      </c>
      <c r="D7378" s="2"/>
      <c r="E7378" s="31"/>
      <c r="G7378" s="43"/>
      <c r="H7378" s="2"/>
    </row>
    <row r="7379" spans="1:8">
      <c r="A7379" s="39">
        <v>2.59241378880605</v>
      </c>
      <c r="B7379" s="45">
        <v>10.3</v>
      </c>
      <c r="D7379" s="2"/>
      <c r="E7379" s="31"/>
      <c r="G7379" s="43"/>
      <c r="H7379" s="2"/>
    </row>
    <row r="7380" spans="1:8">
      <c r="A7380" s="39">
        <v>2.59241378880605</v>
      </c>
      <c r="B7380" s="45">
        <v>10.7</v>
      </c>
      <c r="D7380" s="2"/>
      <c r="E7380" s="31"/>
      <c r="G7380" s="43"/>
      <c r="H7380" s="2"/>
    </row>
    <row r="7381" spans="1:8">
      <c r="A7381" s="39">
        <v>2.59209842915366</v>
      </c>
      <c r="B7381" s="45">
        <v>6</v>
      </c>
      <c r="D7381" s="2"/>
      <c r="E7381" s="31"/>
      <c r="G7381" s="43"/>
      <c r="H7381" s="2"/>
    </row>
    <row r="7382" spans="1:8">
      <c r="A7382" s="39">
        <v>2.5920606224048</v>
      </c>
      <c r="B7382" s="45">
        <v>15</v>
      </c>
      <c r="D7382" s="2"/>
      <c r="E7382" s="31"/>
      <c r="G7382" s="43"/>
      <c r="H7382" s="2"/>
    </row>
    <row r="7383" spans="1:8">
      <c r="A7383" s="39">
        <v>2.59168599156046</v>
      </c>
      <c r="B7383" s="45">
        <v>2</v>
      </c>
      <c r="D7383" s="2"/>
      <c r="E7383" s="31"/>
      <c r="G7383" s="43"/>
      <c r="H7383" s="2"/>
    </row>
    <row r="7384" spans="1:8">
      <c r="A7384" s="39">
        <v>2.59127376268622</v>
      </c>
      <c r="B7384" s="45">
        <v>25</v>
      </c>
      <c r="D7384" s="2"/>
      <c r="E7384" s="31"/>
      <c r="G7384" s="43"/>
      <c r="H7384" s="2"/>
    </row>
    <row r="7385" spans="1:8">
      <c r="A7385" s="39">
        <v>2.59016359543896</v>
      </c>
      <c r="B7385" s="45">
        <v>16.2</v>
      </c>
      <c r="D7385" s="2"/>
      <c r="E7385" s="31"/>
      <c r="G7385" s="43"/>
      <c r="H7385" s="2"/>
    </row>
    <row r="7386" spans="1:8">
      <c r="A7386" s="39">
        <v>2.5898584573682</v>
      </c>
      <c r="B7386" s="45">
        <v>10.4</v>
      </c>
      <c r="D7386" s="2"/>
      <c r="E7386" s="31"/>
      <c r="G7386" s="43"/>
      <c r="H7386" s="2"/>
    </row>
    <row r="7387" spans="1:8">
      <c r="A7387" s="39">
        <v>2.58951756493954</v>
      </c>
      <c r="B7387" s="45">
        <v>6.2</v>
      </c>
      <c r="D7387" s="2"/>
      <c r="E7387" s="31"/>
      <c r="G7387" s="43"/>
      <c r="H7387" s="2"/>
    </row>
    <row r="7388" spans="1:8">
      <c r="A7388" s="39">
        <v>2.58863830840637</v>
      </c>
      <c r="B7388" s="45">
        <v>6.5</v>
      </c>
      <c r="D7388" s="2"/>
      <c r="E7388" s="31"/>
      <c r="G7388" s="43"/>
      <c r="H7388" s="2"/>
    </row>
    <row r="7389" spans="1:8">
      <c r="A7389" s="39">
        <v>2.58842601353116</v>
      </c>
      <c r="B7389" s="45">
        <v>8.3</v>
      </c>
      <c r="D7389" s="2"/>
      <c r="E7389" s="31"/>
      <c r="G7389" s="43"/>
      <c r="H7389" s="2"/>
    </row>
    <row r="7390" spans="1:8">
      <c r="A7390" s="39">
        <v>2.58817694892802</v>
      </c>
      <c r="B7390" s="45">
        <v>2</v>
      </c>
      <c r="D7390" s="2"/>
      <c r="E7390" s="31"/>
      <c r="G7390" s="43"/>
      <c r="H7390" s="2"/>
    </row>
    <row r="7391" spans="1:8">
      <c r="A7391" s="39">
        <v>2.5873192080869</v>
      </c>
      <c r="B7391" s="45">
        <v>15</v>
      </c>
      <c r="D7391" s="2"/>
      <c r="E7391" s="31"/>
      <c r="G7391" s="43"/>
      <c r="H7391" s="2"/>
    </row>
    <row r="7392" spans="1:8">
      <c r="A7392" s="39">
        <v>2.58698742329467</v>
      </c>
      <c r="B7392" s="45">
        <v>13.5</v>
      </c>
      <c r="D7392" s="2"/>
      <c r="E7392" s="31"/>
      <c r="G7392" s="43"/>
      <c r="H7392" s="2"/>
    </row>
    <row r="7393" spans="1:8">
      <c r="A7393" s="39">
        <v>2.58682435894376</v>
      </c>
      <c r="B7393" s="45">
        <v>5.2</v>
      </c>
      <c r="D7393" s="2"/>
      <c r="E7393" s="31"/>
      <c r="G7393" s="43"/>
      <c r="H7393" s="2"/>
    </row>
    <row r="7394" spans="1:8">
      <c r="A7394" s="39">
        <v>2.58682435894376</v>
      </c>
      <c r="B7394" s="45">
        <v>7</v>
      </c>
      <c r="D7394" s="2"/>
      <c r="E7394" s="31"/>
      <c r="G7394" s="43"/>
      <c r="H7394" s="2"/>
    </row>
    <row r="7395" spans="1:8">
      <c r="A7395" s="39">
        <v>2.58629400430086</v>
      </c>
      <c r="B7395" s="45">
        <v>8.3</v>
      </c>
      <c r="D7395" s="2"/>
      <c r="E7395" s="31"/>
      <c r="G7395" s="43"/>
      <c r="H7395" s="2"/>
    </row>
    <row r="7396" spans="1:8">
      <c r="A7396" s="39">
        <v>2.58628367263545</v>
      </c>
      <c r="B7396" s="45">
        <v>17.8</v>
      </c>
      <c r="D7396" s="2"/>
      <c r="E7396" s="31"/>
      <c r="G7396" s="43"/>
      <c r="H7396" s="2"/>
    </row>
    <row r="7397" spans="1:8">
      <c r="A7397" s="39">
        <v>2.5862773477756</v>
      </c>
      <c r="B7397" s="45">
        <v>3</v>
      </c>
      <c r="D7397" s="2"/>
      <c r="E7397" s="31"/>
      <c r="G7397" s="43"/>
      <c r="H7397" s="2"/>
    </row>
    <row r="7398" spans="1:8">
      <c r="A7398" s="39">
        <v>2.58590045720764</v>
      </c>
      <c r="B7398" s="45">
        <v>9</v>
      </c>
      <c r="D7398" s="2"/>
      <c r="E7398" s="31"/>
      <c r="G7398" s="43"/>
      <c r="H7398" s="2"/>
    </row>
    <row r="7399" spans="1:8">
      <c r="A7399" s="39">
        <v>2.58513581635011</v>
      </c>
      <c r="B7399" s="45">
        <v>11.8</v>
      </c>
      <c r="D7399" s="2"/>
      <c r="E7399" s="31"/>
      <c r="G7399" s="43"/>
      <c r="H7399" s="2"/>
    </row>
    <row r="7400" spans="1:8">
      <c r="A7400" s="39">
        <v>2.58440801910452</v>
      </c>
      <c r="B7400" s="45">
        <v>11.2</v>
      </c>
      <c r="D7400" s="2"/>
      <c r="E7400" s="31"/>
      <c r="G7400" s="43"/>
      <c r="H7400" s="2"/>
    </row>
    <row r="7401" spans="1:8">
      <c r="A7401" s="39">
        <v>2.58327151355945</v>
      </c>
      <c r="B7401" s="45">
        <v>5.5</v>
      </c>
      <c r="D7401" s="2"/>
      <c r="E7401" s="31"/>
      <c r="G7401" s="43"/>
      <c r="H7401" s="2"/>
    </row>
    <row r="7402" spans="1:8">
      <c r="A7402" s="39">
        <v>2.582696238183</v>
      </c>
      <c r="B7402" s="45">
        <v>21</v>
      </c>
      <c r="D7402" s="2"/>
      <c r="E7402" s="31"/>
      <c r="G7402" s="43"/>
      <c r="H7402" s="2"/>
    </row>
    <row r="7403" spans="1:8">
      <c r="A7403" s="39">
        <v>2.58181655917277</v>
      </c>
      <c r="B7403" s="45">
        <v>14.5</v>
      </c>
      <c r="D7403" s="2"/>
      <c r="E7403" s="31"/>
      <c r="G7403" s="43"/>
      <c r="H7403" s="2"/>
    </row>
    <row r="7404" spans="1:8">
      <c r="A7404" s="39">
        <v>2.58149683012214</v>
      </c>
      <c r="B7404" s="45">
        <v>8</v>
      </c>
      <c r="D7404" s="2"/>
      <c r="E7404" s="31"/>
      <c r="G7404" s="43"/>
      <c r="H7404" s="2"/>
    </row>
    <row r="7405" spans="1:8">
      <c r="A7405" s="39">
        <v>2.58149683012214</v>
      </c>
      <c r="B7405" s="45">
        <v>8.9</v>
      </c>
      <c r="D7405" s="2"/>
      <c r="E7405" s="31"/>
      <c r="G7405" s="43"/>
      <c r="H7405" s="2"/>
    </row>
    <row r="7406" spans="1:8">
      <c r="A7406" s="39">
        <v>2.5813690701251</v>
      </c>
      <c r="B7406" s="45">
        <v>21</v>
      </c>
      <c r="D7406" s="2"/>
      <c r="E7406" s="31"/>
      <c r="G7406" s="43"/>
      <c r="H7406" s="2"/>
    </row>
    <row r="7407" spans="1:8">
      <c r="A7407" s="39">
        <v>2.58004123563096</v>
      </c>
      <c r="B7407" s="45">
        <v>7.5</v>
      </c>
      <c r="D7407" s="2"/>
      <c r="E7407" s="31"/>
      <c r="G7407" s="43"/>
      <c r="H7407" s="2"/>
    </row>
    <row r="7408" spans="1:8">
      <c r="A7408" s="39">
        <v>2.57968040843911</v>
      </c>
      <c r="B7408" s="45">
        <v>11</v>
      </c>
      <c r="D7408" s="2"/>
      <c r="E7408" s="31"/>
      <c r="G7408" s="43"/>
      <c r="H7408" s="2"/>
    </row>
    <row r="7409" spans="1:8">
      <c r="A7409" s="39">
        <v>2.57925838404977</v>
      </c>
      <c r="B7409" s="45">
        <v>13</v>
      </c>
      <c r="D7409" s="2"/>
      <c r="E7409" s="31"/>
      <c r="G7409" s="43"/>
      <c r="H7409" s="2"/>
    </row>
    <row r="7410" spans="1:8">
      <c r="A7410" s="39">
        <v>2.57924616604324</v>
      </c>
      <c r="B7410" s="45">
        <v>17.6</v>
      </c>
      <c r="D7410" s="2"/>
      <c r="E7410" s="31"/>
      <c r="G7410" s="43"/>
      <c r="H7410" s="2"/>
    </row>
    <row r="7411" spans="1:8">
      <c r="A7411" s="39">
        <v>2.57854241538402</v>
      </c>
      <c r="B7411" s="45">
        <v>11.5</v>
      </c>
      <c r="D7411" s="2"/>
      <c r="E7411" s="31"/>
      <c r="G7411" s="43"/>
      <c r="H7411" s="2"/>
    </row>
    <row r="7412" spans="1:8">
      <c r="A7412" s="39">
        <v>2.57785784389417</v>
      </c>
      <c r="B7412" s="45">
        <v>11.3</v>
      </c>
      <c r="D7412" s="2"/>
      <c r="E7412" s="31"/>
      <c r="G7412" s="43"/>
      <c r="H7412" s="2"/>
    </row>
    <row r="7413" spans="1:8">
      <c r="A7413" s="39">
        <v>2.57714769797444</v>
      </c>
      <c r="B7413" s="45">
        <v>5</v>
      </c>
      <c r="D7413" s="2"/>
      <c r="E7413" s="31"/>
      <c r="G7413" s="43"/>
      <c r="H7413" s="2"/>
    </row>
    <row r="7414" spans="1:8">
      <c r="A7414" s="39">
        <v>2.57714769797444</v>
      </c>
      <c r="B7414" s="45">
        <v>8.9</v>
      </c>
      <c r="D7414" s="2"/>
      <c r="E7414" s="31"/>
      <c r="G7414" s="43"/>
      <c r="H7414" s="2"/>
    </row>
    <row r="7415" spans="1:8">
      <c r="A7415" s="39">
        <v>2.57713491406558</v>
      </c>
      <c r="B7415" s="45">
        <v>5</v>
      </c>
      <c r="D7415" s="2"/>
      <c r="E7415" s="31"/>
      <c r="G7415" s="43"/>
      <c r="H7415" s="2"/>
    </row>
    <row r="7416" spans="1:8">
      <c r="A7416" s="39">
        <v>2.57713491406558</v>
      </c>
      <c r="B7416" s="45">
        <v>20</v>
      </c>
      <c r="D7416" s="2"/>
      <c r="E7416" s="31"/>
      <c r="G7416" s="43"/>
      <c r="H7416" s="2"/>
    </row>
    <row r="7417" spans="1:8">
      <c r="A7417" s="39">
        <v>2.57713004664858</v>
      </c>
      <c r="B7417" s="45">
        <v>6</v>
      </c>
      <c r="D7417" s="2"/>
      <c r="E7417" s="31"/>
      <c r="G7417" s="43"/>
      <c r="H7417" s="2"/>
    </row>
    <row r="7418" spans="1:8">
      <c r="A7418" s="39">
        <v>2.57713004664858</v>
      </c>
      <c r="B7418" s="45">
        <v>2</v>
      </c>
      <c r="D7418" s="2"/>
      <c r="E7418" s="31"/>
      <c r="G7418" s="43"/>
      <c r="H7418" s="2"/>
    </row>
    <row r="7419" spans="1:8">
      <c r="A7419" s="39">
        <v>2.57644413594934</v>
      </c>
      <c r="B7419" s="45">
        <v>8.3</v>
      </c>
      <c r="D7419" s="2"/>
      <c r="E7419" s="31"/>
      <c r="G7419" s="43"/>
      <c r="H7419" s="2"/>
    </row>
    <row r="7420" spans="1:8">
      <c r="A7420" s="39">
        <v>2.57644413594934</v>
      </c>
      <c r="B7420" s="45">
        <v>9</v>
      </c>
      <c r="D7420" s="2"/>
      <c r="E7420" s="31"/>
      <c r="G7420" s="43"/>
      <c r="H7420" s="2"/>
    </row>
    <row r="7421" spans="1:8">
      <c r="A7421" s="39">
        <v>2.57599674162603</v>
      </c>
      <c r="B7421" s="45">
        <v>12.9</v>
      </c>
      <c r="D7421" s="2"/>
      <c r="E7421" s="31"/>
      <c r="G7421" s="43"/>
      <c r="H7421" s="2"/>
    </row>
    <row r="7422" spans="1:8">
      <c r="A7422" s="39">
        <v>2.57494905241269</v>
      </c>
      <c r="B7422" s="45">
        <v>3.8</v>
      </c>
      <c r="D7422" s="2"/>
      <c r="E7422" s="31"/>
      <c r="G7422" s="43"/>
      <c r="H7422" s="2"/>
    </row>
    <row r="7423" spans="1:8">
      <c r="A7423" s="39">
        <v>2.57445176813825</v>
      </c>
      <c r="B7423" s="45">
        <v>13</v>
      </c>
      <c r="D7423" s="2"/>
      <c r="E7423" s="31"/>
      <c r="G7423" s="43"/>
      <c r="H7423" s="2"/>
    </row>
    <row r="7424" spans="1:8">
      <c r="A7424" s="39">
        <v>2.5743199114287</v>
      </c>
      <c r="B7424" s="45">
        <v>13.5</v>
      </c>
      <c r="D7424" s="2"/>
      <c r="E7424" s="31"/>
      <c r="G7424" s="43"/>
      <c r="H7424" s="2"/>
    </row>
    <row r="7425" spans="1:8">
      <c r="A7425" s="39">
        <v>2.5742188576662</v>
      </c>
      <c r="B7425" s="45">
        <v>1.9</v>
      </c>
      <c r="D7425" s="2"/>
      <c r="E7425" s="31"/>
      <c r="G7425" s="43"/>
      <c r="H7425" s="2"/>
    </row>
    <row r="7426" spans="1:8">
      <c r="A7426" s="39">
        <v>2.57260459539794</v>
      </c>
      <c r="B7426" s="45">
        <v>6</v>
      </c>
      <c r="D7426" s="2"/>
      <c r="E7426" s="31"/>
      <c r="G7426" s="43"/>
      <c r="H7426" s="2"/>
    </row>
    <row r="7427" spans="1:8">
      <c r="A7427" s="39">
        <v>2.57235935565931</v>
      </c>
      <c r="B7427" s="45">
        <v>14</v>
      </c>
      <c r="D7427" s="2"/>
      <c r="E7427" s="31"/>
      <c r="G7427" s="43"/>
      <c r="H7427" s="2"/>
    </row>
    <row r="7428" spans="1:8">
      <c r="A7428" s="39">
        <v>2.57057987143823</v>
      </c>
      <c r="B7428" s="45">
        <v>9.6</v>
      </c>
      <c r="D7428" s="2"/>
      <c r="E7428" s="31"/>
      <c r="G7428" s="43"/>
      <c r="H7428" s="2"/>
    </row>
    <row r="7429" spans="1:8">
      <c r="A7429" s="39">
        <v>2.57054066267596</v>
      </c>
      <c r="B7429" s="45">
        <v>6.7</v>
      </c>
      <c r="D7429" s="2"/>
      <c r="E7429" s="31"/>
      <c r="G7429" s="43"/>
      <c r="H7429" s="2"/>
    </row>
    <row r="7430" spans="1:8">
      <c r="A7430" s="39">
        <v>2.57046385873591</v>
      </c>
      <c r="B7430" s="45">
        <v>7.6</v>
      </c>
      <c r="D7430" s="2"/>
      <c r="E7430" s="31"/>
      <c r="G7430" s="43"/>
      <c r="H7430" s="2"/>
    </row>
    <row r="7431" spans="1:8">
      <c r="A7431" s="39">
        <v>2.57009740747338</v>
      </c>
      <c r="B7431" s="45">
        <v>13.7</v>
      </c>
      <c r="D7431" s="2"/>
      <c r="E7431" s="31"/>
      <c r="G7431" s="43"/>
      <c r="H7431" s="2"/>
    </row>
    <row r="7432" spans="1:8">
      <c r="A7432" s="39">
        <v>2.57009740747338</v>
      </c>
      <c r="B7432" s="45">
        <v>18</v>
      </c>
      <c r="D7432" s="2"/>
      <c r="E7432" s="31"/>
      <c r="G7432" s="43"/>
      <c r="H7432" s="2"/>
    </row>
    <row r="7433" spans="1:8">
      <c r="A7433" s="39">
        <v>2.56999182147015</v>
      </c>
      <c r="B7433" s="45">
        <v>10.5</v>
      </c>
      <c r="D7433" s="2"/>
      <c r="E7433" s="31"/>
      <c r="G7433" s="43"/>
      <c r="H7433" s="2"/>
    </row>
    <row r="7434" spans="1:8">
      <c r="A7434" s="39">
        <v>2.56999182147015</v>
      </c>
      <c r="B7434" s="45">
        <v>13.2</v>
      </c>
      <c r="D7434" s="2"/>
      <c r="E7434" s="31"/>
      <c r="G7434" s="43"/>
      <c r="H7434" s="2"/>
    </row>
    <row r="7435" spans="1:8">
      <c r="A7435" s="39">
        <v>2.56985207419264</v>
      </c>
      <c r="B7435" s="45">
        <v>9</v>
      </c>
      <c r="D7435" s="2"/>
      <c r="E7435" s="31"/>
      <c r="G7435" s="43"/>
      <c r="H7435" s="2"/>
    </row>
    <row r="7436" spans="1:8">
      <c r="A7436" s="39">
        <v>2.56931851997121</v>
      </c>
      <c r="B7436" s="45">
        <v>13.5</v>
      </c>
      <c r="D7436" s="2"/>
      <c r="E7436" s="31"/>
      <c r="G7436" s="43"/>
      <c r="H7436" s="2"/>
    </row>
    <row r="7437" spans="1:8">
      <c r="A7437" s="39">
        <v>2.56905673468569</v>
      </c>
      <c r="B7437" s="45">
        <v>18.5</v>
      </c>
      <c r="D7437" s="2"/>
      <c r="E7437" s="31"/>
      <c r="G7437" s="43"/>
      <c r="H7437" s="2"/>
    </row>
    <row r="7438" spans="1:8">
      <c r="A7438" s="39">
        <v>2.5687219696926</v>
      </c>
      <c r="B7438" s="45">
        <v>20.6</v>
      </c>
      <c r="D7438" s="2"/>
      <c r="E7438" s="31"/>
      <c r="G7438" s="43"/>
      <c r="H7438" s="2"/>
    </row>
    <row r="7439" spans="1:8">
      <c r="A7439" s="39">
        <v>2.5687219696926</v>
      </c>
      <c r="B7439" s="45">
        <v>11.5</v>
      </c>
      <c r="D7439" s="2"/>
      <c r="E7439" s="31"/>
      <c r="G7439" s="43"/>
      <c r="H7439" s="2"/>
    </row>
    <row r="7440" spans="1:8">
      <c r="A7440" s="39">
        <v>2.5687219696926</v>
      </c>
      <c r="B7440" s="45">
        <v>13.3</v>
      </c>
      <c r="D7440" s="2"/>
      <c r="E7440" s="31"/>
      <c r="G7440" s="43"/>
      <c r="H7440" s="2"/>
    </row>
    <row r="7441" spans="1:8">
      <c r="A7441" s="39">
        <v>2.56870495367314</v>
      </c>
      <c r="B7441" s="45">
        <v>6.3</v>
      </c>
      <c r="D7441" s="2"/>
      <c r="E7441" s="31"/>
      <c r="G7441" s="43"/>
      <c r="H7441" s="2"/>
    </row>
    <row r="7442" spans="1:8">
      <c r="A7442" s="39">
        <v>2.56856954779977</v>
      </c>
      <c r="B7442" s="45">
        <v>9</v>
      </c>
      <c r="D7442" s="2"/>
      <c r="E7442" s="31"/>
      <c r="G7442" s="43"/>
      <c r="H7442" s="2"/>
    </row>
    <row r="7443" spans="1:8">
      <c r="A7443" s="39">
        <v>2.56694088521026</v>
      </c>
      <c r="B7443" s="45">
        <v>0</v>
      </c>
      <c r="D7443" s="2"/>
      <c r="E7443" s="31"/>
      <c r="G7443" s="43"/>
      <c r="H7443" s="2"/>
    </row>
    <row r="7444" spans="1:8">
      <c r="A7444" s="39">
        <v>2.56657865417727</v>
      </c>
      <c r="B7444" s="45">
        <v>24</v>
      </c>
      <c r="D7444" s="2"/>
      <c r="E7444" s="31"/>
      <c r="G7444" s="43"/>
      <c r="H7444" s="2"/>
    </row>
    <row r="7445" spans="1:8">
      <c r="A7445" s="39">
        <v>2.56657865417727</v>
      </c>
      <c r="B7445" s="45">
        <v>6</v>
      </c>
      <c r="D7445" s="2"/>
      <c r="E7445" s="31"/>
      <c r="G7445" s="43"/>
      <c r="H7445" s="2"/>
    </row>
    <row r="7446" spans="1:8">
      <c r="A7446" s="39">
        <v>2.5653665732171</v>
      </c>
      <c r="B7446" s="45">
        <v>4.1</v>
      </c>
      <c r="D7446" s="2"/>
      <c r="E7446" s="31"/>
      <c r="G7446" s="43"/>
      <c r="H7446" s="2"/>
    </row>
    <row r="7447" spans="1:8">
      <c r="A7447" s="39">
        <v>2.56518714354759</v>
      </c>
      <c r="B7447" s="45">
        <v>4.5</v>
      </c>
      <c r="D7447" s="2"/>
      <c r="E7447" s="31"/>
      <c r="G7447" s="43"/>
      <c r="H7447" s="2"/>
    </row>
    <row r="7448" spans="1:8">
      <c r="A7448" s="39">
        <v>2.56508458372589</v>
      </c>
      <c r="B7448" s="45">
        <v>9.7</v>
      </c>
      <c r="D7448" s="2"/>
      <c r="E7448" s="31"/>
      <c r="G7448" s="43"/>
      <c r="H7448" s="2"/>
    </row>
    <row r="7449" spans="1:8">
      <c r="A7449" s="39">
        <v>2.56479069022</v>
      </c>
      <c r="B7449" s="45">
        <v>11.1</v>
      </c>
      <c r="D7449" s="2"/>
      <c r="E7449" s="31"/>
      <c r="G7449" s="43"/>
      <c r="H7449" s="2"/>
    </row>
    <row r="7450" spans="1:8">
      <c r="A7450" s="39">
        <v>2.56435710653255</v>
      </c>
      <c r="B7450" s="45">
        <v>2</v>
      </c>
      <c r="D7450" s="2"/>
      <c r="E7450" s="31"/>
      <c r="G7450" s="43"/>
      <c r="H7450" s="2"/>
    </row>
    <row r="7451" spans="1:8">
      <c r="A7451" s="39">
        <v>2.56402969622789</v>
      </c>
      <c r="B7451" s="45">
        <v>13</v>
      </c>
      <c r="D7451" s="2"/>
      <c r="E7451" s="31"/>
      <c r="G7451" s="43"/>
      <c r="H7451" s="2"/>
    </row>
    <row r="7452" spans="1:8">
      <c r="A7452" s="39">
        <v>2.56331318481805</v>
      </c>
      <c r="B7452" s="45">
        <v>1.5</v>
      </c>
      <c r="D7452" s="2"/>
      <c r="E7452" s="31"/>
      <c r="G7452" s="43"/>
      <c r="H7452" s="2"/>
    </row>
    <row r="7453" spans="1:8">
      <c r="A7453" s="39">
        <v>2.56330189898229</v>
      </c>
      <c r="B7453" s="45">
        <v>14.5</v>
      </c>
      <c r="D7453" s="2"/>
      <c r="E7453" s="31"/>
      <c r="G7453" s="43"/>
      <c r="H7453" s="2"/>
    </row>
    <row r="7454" spans="1:8">
      <c r="A7454" s="39">
        <v>2.56330189898229</v>
      </c>
      <c r="B7454" s="45">
        <v>10</v>
      </c>
      <c r="D7454" s="2"/>
      <c r="E7454" s="31"/>
      <c r="G7454" s="43"/>
      <c r="H7454" s="2"/>
    </row>
    <row r="7455" spans="1:8">
      <c r="A7455" s="39">
        <v>2.56330189898229</v>
      </c>
      <c r="B7455" s="45">
        <v>10</v>
      </c>
      <c r="D7455" s="2"/>
      <c r="E7455" s="31"/>
      <c r="G7455" s="43"/>
      <c r="H7455" s="2"/>
    </row>
    <row r="7456" spans="1:8">
      <c r="A7456" s="39">
        <v>2.56330189898229</v>
      </c>
      <c r="B7456" s="45">
        <v>10.6</v>
      </c>
      <c r="D7456" s="2"/>
      <c r="E7456" s="31"/>
      <c r="G7456" s="43"/>
      <c r="H7456" s="2"/>
    </row>
    <row r="7457" spans="1:8">
      <c r="A7457" s="39">
        <v>2.56330189898229</v>
      </c>
      <c r="B7457" s="45">
        <v>10.4</v>
      </c>
      <c r="D7457" s="2"/>
      <c r="E7457" s="31"/>
      <c r="G7457" s="43"/>
      <c r="H7457" s="2"/>
    </row>
    <row r="7458" spans="1:8">
      <c r="A7458" s="39">
        <v>2.56330189898229</v>
      </c>
      <c r="B7458" s="45">
        <v>12.7</v>
      </c>
      <c r="D7458" s="2"/>
      <c r="E7458" s="31"/>
      <c r="G7458" s="43"/>
      <c r="H7458" s="2"/>
    </row>
    <row r="7459" spans="1:8">
      <c r="A7459" s="39">
        <v>2.56330189898229</v>
      </c>
      <c r="B7459" s="45">
        <v>10.6</v>
      </c>
      <c r="D7459" s="2"/>
      <c r="E7459" s="31"/>
      <c r="G7459" s="43"/>
      <c r="H7459" s="2"/>
    </row>
    <row r="7460" spans="1:8">
      <c r="A7460" s="39">
        <v>2.56326589074253</v>
      </c>
      <c r="B7460" s="45">
        <v>7.5</v>
      </c>
      <c r="D7460" s="2"/>
      <c r="E7460" s="31"/>
      <c r="G7460" s="43"/>
      <c r="H7460" s="2"/>
    </row>
    <row r="7461" spans="1:8">
      <c r="A7461" s="39">
        <v>2.56325880648071</v>
      </c>
      <c r="B7461" s="45">
        <v>19.5</v>
      </c>
      <c r="D7461" s="2"/>
      <c r="E7461" s="31"/>
      <c r="G7461" s="43"/>
      <c r="H7461" s="2"/>
    </row>
    <row r="7462" spans="1:8">
      <c r="A7462" s="39">
        <v>2.56305990088117</v>
      </c>
      <c r="B7462" s="45">
        <v>8.4</v>
      </c>
      <c r="D7462" s="2"/>
      <c r="E7462" s="31"/>
      <c r="G7462" s="43"/>
      <c r="H7462" s="2"/>
    </row>
    <row r="7463" spans="1:8">
      <c r="A7463" s="39">
        <v>2.56264202446444</v>
      </c>
      <c r="B7463" s="45">
        <v>3.8</v>
      </c>
      <c r="D7463" s="2"/>
      <c r="E7463" s="31"/>
      <c r="G7463" s="43"/>
      <c r="H7463" s="2"/>
    </row>
    <row r="7464" spans="1:8">
      <c r="A7464" s="39">
        <v>2.5625741017367</v>
      </c>
      <c r="B7464" s="45">
        <v>8</v>
      </c>
      <c r="D7464" s="2"/>
      <c r="E7464" s="31"/>
      <c r="G7464" s="43"/>
      <c r="H7464" s="2"/>
    </row>
    <row r="7465" spans="1:8">
      <c r="A7465" s="39">
        <v>2.56237289544715</v>
      </c>
      <c r="B7465" s="45">
        <v>11.2</v>
      </c>
      <c r="D7465" s="2"/>
      <c r="E7465" s="31"/>
      <c r="G7465" s="43"/>
      <c r="H7465" s="2"/>
    </row>
    <row r="7466" spans="1:8">
      <c r="A7466" s="39">
        <v>2.56237289544715</v>
      </c>
      <c r="B7466" s="45">
        <v>11</v>
      </c>
      <c r="D7466" s="2"/>
      <c r="E7466" s="31"/>
      <c r="G7466" s="43"/>
      <c r="H7466" s="2"/>
    </row>
    <row r="7467" spans="1:8">
      <c r="A7467" s="39">
        <v>2.56144719775918</v>
      </c>
      <c r="B7467" s="45">
        <v>2</v>
      </c>
      <c r="D7467" s="2"/>
      <c r="E7467" s="31"/>
      <c r="G7467" s="43"/>
      <c r="H7467" s="2"/>
    </row>
    <row r="7468" spans="1:8">
      <c r="A7468" s="39">
        <v>2.561259796419</v>
      </c>
      <c r="B7468" s="45">
        <v>6.9</v>
      </c>
      <c r="D7468" s="2"/>
      <c r="E7468" s="31"/>
      <c r="G7468" s="43"/>
      <c r="H7468" s="2"/>
    </row>
    <row r="7469" spans="1:8">
      <c r="A7469" s="39">
        <v>2.56007300731087</v>
      </c>
      <c r="B7469" s="45">
        <v>9</v>
      </c>
      <c r="D7469" s="2"/>
      <c r="E7469" s="31"/>
      <c r="G7469" s="43"/>
      <c r="H7469" s="2"/>
    </row>
    <row r="7470" spans="1:8">
      <c r="A7470" s="39">
        <v>2.55989087081963</v>
      </c>
      <c r="B7470" s="45">
        <v>21</v>
      </c>
      <c r="D7470" s="2"/>
      <c r="E7470" s="31"/>
      <c r="G7470" s="43"/>
      <c r="H7470" s="2"/>
    </row>
    <row r="7471" spans="1:8">
      <c r="A7471" s="39">
        <v>2.55941942727326</v>
      </c>
      <c r="B7471" s="45">
        <v>6.4</v>
      </c>
      <c r="D7471" s="2"/>
      <c r="E7471" s="31"/>
      <c r="G7471" s="43"/>
      <c r="H7471" s="2"/>
    </row>
    <row r="7472" spans="1:8">
      <c r="A7472" s="39">
        <v>2.55921899748705</v>
      </c>
      <c r="B7472" s="45">
        <v>10</v>
      </c>
      <c r="D7472" s="2"/>
      <c r="E7472" s="31"/>
      <c r="G7472" s="43"/>
      <c r="H7472" s="2"/>
    </row>
    <row r="7473" spans="1:8">
      <c r="A7473" s="39">
        <v>2.55921899748705</v>
      </c>
      <c r="B7473" s="45">
        <v>12.7</v>
      </c>
      <c r="D7473" s="2"/>
      <c r="E7473" s="31"/>
      <c r="G7473" s="43"/>
      <c r="H7473" s="2"/>
    </row>
    <row r="7474" spans="1:8">
      <c r="A7474" s="39">
        <v>2.55893511550873</v>
      </c>
      <c r="B7474" s="45">
        <v>11.5</v>
      </c>
      <c r="D7474" s="2"/>
      <c r="E7474" s="31"/>
      <c r="G7474" s="43"/>
      <c r="H7474" s="2"/>
    </row>
    <row r="7475" spans="1:8">
      <c r="A7475" s="39">
        <v>2.55883739692585</v>
      </c>
      <c r="B7475" s="45">
        <v>11.7</v>
      </c>
      <c r="D7475" s="2"/>
      <c r="E7475" s="31"/>
      <c r="G7475" s="43"/>
      <c r="H7475" s="2"/>
    </row>
    <row r="7476" spans="1:8">
      <c r="A7476" s="39">
        <v>2.55883739692585</v>
      </c>
      <c r="B7476" s="45">
        <v>10</v>
      </c>
      <c r="D7476" s="2"/>
      <c r="E7476" s="31"/>
      <c r="G7476" s="43"/>
      <c r="H7476" s="2"/>
    </row>
    <row r="7477" spans="1:8">
      <c r="A7477" s="39">
        <v>2.55853728898581</v>
      </c>
      <c r="B7477" s="45">
        <v>0</v>
      </c>
      <c r="D7477" s="2"/>
      <c r="E7477" s="31"/>
      <c r="G7477" s="43"/>
      <c r="H7477" s="2"/>
    </row>
    <row r="7478" spans="1:8">
      <c r="A7478" s="39">
        <v>2.5576284710348</v>
      </c>
      <c r="B7478" s="45">
        <v>3</v>
      </c>
      <c r="D7478" s="2"/>
      <c r="E7478" s="31"/>
      <c r="G7478" s="43"/>
      <c r="H7478" s="2"/>
    </row>
    <row r="7479" spans="1:8">
      <c r="A7479" s="39">
        <v>2.5576284710348</v>
      </c>
      <c r="B7479" s="45">
        <v>9</v>
      </c>
      <c r="D7479" s="2"/>
      <c r="E7479" s="31"/>
      <c r="G7479" s="43"/>
      <c r="H7479" s="2"/>
    </row>
    <row r="7480" spans="1:8">
      <c r="A7480" s="39">
        <v>2.5576284710348</v>
      </c>
      <c r="B7480" s="45">
        <v>9.8</v>
      </c>
      <c r="D7480" s="2"/>
      <c r="E7480" s="31"/>
      <c r="G7480" s="43"/>
      <c r="H7480" s="2"/>
    </row>
    <row r="7481" spans="1:8">
      <c r="A7481" s="39">
        <v>2.55744796127139</v>
      </c>
      <c r="B7481" s="45">
        <v>10.3</v>
      </c>
      <c r="D7481" s="2"/>
      <c r="E7481" s="31"/>
      <c r="G7481" s="43"/>
      <c r="H7481" s="2"/>
    </row>
    <row r="7482" spans="1:8">
      <c r="A7482" s="39">
        <v>2.55719909299021</v>
      </c>
      <c r="B7482" s="45">
        <v>16.4</v>
      </c>
      <c r="D7482" s="2"/>
      <c r="E7482" s="31"/>
      <c r="G7482" s="43"/>
      <c r="H7482" s="2"/>
    </row>
    <row r="7483" spans="1:8">
      <c r="A7483" s="39">
        <v>2.55706756828015</v>
      </c>
      <c r="B7483" s="45">
        <v>5</v>
      </c>
      <c r="D7483" s="2"/>
      <c r="E7483" s="31"/>
      <c r="G7483" s="43"/>
      <c r="H7483" s="2"/>
    </row>
    <row r="7484" spans="1:8">
      <c r="A7484" s="39">
        <v>2.55646855682121</v>
      </c>
      <c r="B7484" s="45">
        <v>3.9</v>
      </c>
      <c r="D7484" s="2"/>
      <c r="E7484" s="31"/>
      <c r="G7484" s="43"/>
      <c r="H7484" s="2"/>
    </row>
    <row r="7485" spans="1:8">
      <c r="A7485" s="39">
        <v>2.55602392652635</v>
      </c>
      <c r="B7485" s="45">
        <v>4.6</v>
      </c>
      <c r="D7485" s="2"/>
      <c r="E7485" s="31"/>
      <c r="G7485" s="43"/>
      <c r="H7485" s="2"/>
    </row>
    <row r="7486" spans="1:8">
      <c r="A7486" s="39">
        <v>2.55602239428897</v>
      </c>
      <c r="B7486" s="45">
        <v>20</v>
      </c>
      <c r="D7486" s="2"/>
      <c r="E7486" s="31"/>
      <c r="G7486" s="43"/>
      <c r="H7486" s="2"/>
    </row>
    <row r="7487" spans="1:8">
      <c r="A7487" s="39">
        <v>2.55585248999233</v>
      </c>
      <c r="B7487" s="45">
        <v>7.1</v>
      </c>
      <c r="D7487" s="2"/>
      <c r="E7487" s="31"/>
      <c r="G7487" s="43"/>
      <c r="H7487" s="2"/>
    </row>
    <row r="7488" spans="1:8">
      <c r="A7488" s="39">
        <v>2.55529612928076</v>
      </c>
      <c r="B7488" s="45">
        <v>6.5</v>
      </c>
      <c r="D7488" s="2"/>
      <c r="E7488" s="31"/>
      <c r="G7488" s="43"/>
      <c r="H7488" s="2"/>
    </row>
    <row r="7489" spans="1:8">
      <c r="A7489" s="39">
        <v>2.55461489297052</v>
      </c>
      <c r="B7489" s="45">
        <v>10.5</v>
      </c>
      <c r="D7489" s="2"/>
      <c r="E7489" s="31"/>
      <c r="G7489" s="43"/>
      <c r="H7489" s="2"/>
    </row>
    <row r="7490" spans="1:8">
      <c r="A7490" s="39">
        <v>2.55456833203516</v>
      </c>
      <c r="B7490" s="45">
        <v>2</v>
      </c>
      <c r="D7490" s="2"/>
      <c r="E7490" s="31"/>
      <c r="G7490" s="43"/>
      <c r="H7490" s="2"/>
    </row>
    <row r="7491" spans="1:8">
      <c r="A7491" s="39">
        <v>2.55417242582575</v>
      </c>
      <c r="B7491" s="45">
        <v>17</v>
      </c>
      <c r="D7491" s="2"/>
      <c r="E7491" s="31"/>
      <c r="G7491" s="43"/>
      <c r="H7491" s="2"/>
    </row>
    <row r="7492" spans="1:8">
      <c r="A7492" s="39">
        <v>2.55417242582575</v>
      </c>
      <c r="B7492" s="45">
        <v>22.4</v>
      </c>
      <c r="D7492" s="2"/>
      <c r="E7492" s="31"/>
      <c r="G7492" s="43"/>
      <c r="H7492" s="2"/>
    </row>
    <row r="7493" spans="1:8">
      <c r="A7493" s="39">
        <v>2.5540473614422</v>
      </c>
      <c r="B7493" s="45">
        <v>25</v>
      </c>
      <c r="D7493" s="2"/>
      <c r="E7493" s="31"/>
      <c r="G7493" s="43"/>
      <c r="H7493" s="2"/>
    </row>
    <row r="7494" spans="1:8">
      <c r="A7494" s="39">
        <v>2.55384053478957</v>
      </c>
      <c r="B7494" s="45">
        <v>3</v>
      </c>
      <c r="D7494" s="2"/>
      <c r="E7494" s="31"/>
      <c r="G7494" s="43"/>
      <c r="H7494" s="2"/>
    </row>
    <row r="7495" spans="1:8">
      <c r="A7495" s="39">
        <v>2.55315928399655</v>
      </c>
      <c r="B7495" s="45">
        <v>4.5</v>
      </c>
      <c r="D7495" s="2"/>
      <c r="E7495" s="31"/>
      <c r="G7495" s="43"/>
      <c r="H7495" s="2"/>
    </row>
    <row r="7496" spans="1:8">
      <c r="A7496" s="39">
        <v>2.55179989033364</v>
      </c>
      <c r="B7496" s="45">
        <v>11</v>
      </c>
      <c r="D7496" s="2"/>
      <c r="E7496" s="31"/>
      <c r="G7496" s="43"/>
      <c r="H7496" s="2"/>
    </row>
    <row r="7497" spans="1:8">
      <c r="A7497" s="39">
        <v>2.55165714305279</v>
      </c>
      <c r="B7497" s="45">
        <v>11.5</v>
      </c>
      <c r="D7497" s="2"/>
      <c r="E7497" s="31"/>
      <c r="G7497" s="43"/>
      <c r="H7497" s="2"/>
    </row>
    <row r="7498" spans="1:8">
      <c r="A7498" s="39">
        <v>2.55111590304541</v>
      </c>
      <c r="B7498" s="45">
        <v>7.5</v>
      </c>
      <c r="D7498" s="2"/>
      <c r="E7498" s="31"/>
      <c r="G7498" s="43"/>
      <c r="H7498" s="2"/>
    </row>
    <row r="7499" spans="1:8">
      <c r="A7499" s="39">
        <v>2.55046625184961</v>
      </c>
      <c r="B7499" s="45">
        <v>18.5</v>
      </c>
      <c r="D7499" s="2"/>
      <c r="E7499" s="31"/>
      <c r="G7499" s="43"/>
      <c r="H7499" s="2"/>
    </row>
    <row r="7500" spans="1:8">
      <c r="A7500" s="39">
        <v>2.55046625184961</v>
      </c>
      <c r="B7500" s="45">
        <v>12</v>
      </c>
      <c r="D7500" s="2"/>
      <c r="E7500" s="31"/>
      <c r="G7500" s="43"/>
      <c r="H7500" s="2"/>
    </row>
    <row r="7501" spans="1:8">
      <c r="A7501" s="39">
        <v>2.5498075626657</v>
      </c>
      <c r="B7501" s="45">
        <v>26</v>
      </c>
      <c r="D7501" s="2"/>
      <c r="E7501" s="31"/>
      <c r="G7501" s="43"/>
      <c r="H7501" s="2"/>
    </row>
    <row r="7502" spans="1:8">
      <c r="A7502" s="39">
        <v>2.549473751316</v>
      </c>
      <c r="B7502" s="45">
        <v>13</v>
      </c>
      <c r="D7502" s="2"/>
      <c r="E7502" s="31"/>
      <c r="G7502" s="43"/>
      <c r="H7502" s="2"/>
    </row>
    <row r="7503" spans="1:8">
      <c r="A7503" s="39">
        <v>2.54900521697008</v>
      </c>
      <c r="B7503" s="45">
        <v>9.1</v>
      </c>
      <c r="D7503" s="2"/>
      <c r="E7503" s="31"/>
      <c r="G7503" s="43"/>
      <c r="H7503" s="2"/>
    </row>
    <row r="7504" spans="1:8">
      <c r="A7504" s="39">
        <v>2.54898488769676</v>
      </c>
      <c r="B7504" s="45">
        <v>13</v>
      </c>
      <c r="D7504" s="2"/>
      <c r="E7504" s="31"/>
      <c r="G7504" s="43"/>
      <c r="H7504" s="2"/>
    </row>
    <row r="7505" spans="1:8">
      <c r="A7505" s="39">
        <v>2.54835260827901</v>
      </c>
      <c r="B7505" s="45">
        <v>10.8</v>
      </c>
      <c r="D7505" s="2"/>
      <c r="E7505" s="31"/>
      <c r="G7505" s="43"/>
      <c r="H7505" s="2"/>
    </row>
    <row r="7506" spans="1:8">
      <c r="A7506" s="39">
        <v>2.54825500322499</v>
      </c>
      <c r="B7506" s="45">
        <v>1</v>
      </c>
      <c r="D7506" s="2"/>
      <c r="E7506" s="31"/>
      <c r="G7506" s="43"/>
      <c r="H7506" s="2"/>
    </row>
    <row r="7507" spans="1:8">
      <c r="A7507" s="39">
        <v>2.54801815682482</v>
      </c>
      <c r="B7507" s="45">
        <v>0</v>
      </c>
      <c r="D7507" s="2"/>
      <c r="E7507" s="31"/>
      <c r="G7507" s="43"/>
      <c r="H7507" s="2"/>
    </row>
    <row r="7508" spans="1:8">
      <c r="A7508" s="39">
        <v>2.54760136417552</v>
      </c>
      <c r="B7508" s="45">
        <v>1</v>
      </c>
      <c r="D7508" s="2"/>
      <c r="E7508" s="31"/>
      <c r="G7508" s="43"/>
      <c r="H7508" s="2"/>
    </row>
    <row r="7509" spans="1:8">
      <c r="A7509" s="39">
        <v>2.54760136417552</v>
      </c>
      <c r="B7509" s="45">
        <v>9.9</v>
      </c>
      <c r="D7509" s="2"/>
      <c r="E7509" s="31"/>
      <c r="G7509" s="43"/>
      <c r="H7509" s="2"/>
    </row>
    <row r="7510" spans="1:8">
      <c r="A7510" s="39">
        <v>2.54757738637832</v>
      </c>
      <c r="B7510" s="45">
        <v>11.2</v>
      </c>
      <c r="D7510" s="2"/>
      <c r="E7510" s="31"/>
      <c r="G7510" s="43"/>
      <c r="H7510" s="2"/>
    </row>
    <row r="7511" spans="1:8">
      <c r="A7511" s="39">
        <v>2.54729035957922</v>
      </c>
      <c r="B7511" s="45">
        <v>6</v>
      </c>
      <c r="D7511" s="2"/>
      <c r="E7511" s="31"/>
      <c r="G7511" s="43"/>
      <c r="H7511" s="2"/>
    </row>
    <row r="7512" spans="1:8">
      <c r="A7512" s="39">
        <v>2.54700140655871</v>
      </c>
      <c r="B7512" s="45">
        <v>1</v>
      </c>
      <c r="D7512" s="2"/>
      <c r="E7512" s="31"/>
      <c r="G7512" s="43"/>
      <c r="H7512" s="2"/>
    </row>
    <row r="7513" spans="1:8">
      <c r="A7513" s="39">
        <v>2.54689765389232</v>
      </c>
      <c r="B7513" s="45">
        <v>17</v>
      </c>
      <c r="D7513" s="2"/>
      <c r="E7513" s="31"/>
      <c r="G7513" s="43"/>
      <c r="H7513" s="2"/>
    </row>
    <row r="7514" spans="1:8">
      <c r="A7514" s="39">
        <v>2.54689765389232</v>
      </c>
      <c r="B7514" s="45">
        <v>5.4</v>
      </c>
      <c r="D7514" s="2"/>
      <c r="E7514" s="31"/>
      <c r="G7514" s="43"/>
      <c r="H7514" s="2"/>
    </row>
    <row r="7515" spans="1:8">
      <c r="A7515" s="39">
        <v>2.546885142257</v>
      </c>
      <c r="B7515" s="45">
        <v>16</v>
      </c>
      <c r="D7515" s="2"/>
      <c r="E7515" s="31"/>
      <c r="G7515" s="43"/>
      <c r="H7515" s="2"/>
    </row>
    <row r="7516" spans="1:8">
      <c r="A7516" s="39">
        <v>2.546885142257</v>
      </c>
      <c r="B7516" s="45">
        <v>15.5</v>
      </c>
      <c r="D7516" s="2"/>
      <c r="E7516" s="31"/>
      <c r="G7516" s="43"/>
      <c r="H7516" s="2"/>
    </row>
    <row r="7517" spans="1:8">
      <c r="A7517" s="39">
        <v>2.54548740684454</v>
      </c>
      <c r="B7517" s="45">
        <v>15</v>
      </c>
      <c r="D7517" s="2"/>
      <c r="E7517" s="31"/>
      <c r="G7517" s="43"/>
      <c r="H7517" s="2"/>
    </row>
    <row r="7518" spans="1:8">
      <c r="A7518" s="39">
        <v>2.54546613440066</v>
      </c>
      <c r="B7518" s="45">
        <v>14.4</v>
      </c>
      <c r="D7518" s="2"/>
      <c r="E7518" s="31"/>
      <c r="G7518" s="43"/>
      <c r="H7518" s="2"/>
    </row>
    <row r="7519" spans="1:8">
      <c r="A7519" s="39">
        <v>2.54546613440066</v>
      </c>
      <c r="B7519" s="45">
        <v>14.4</v>
      </c>
      <c r="D7519" s="2"/>
      <c r="E7519" s="31"/>
      <c r="G7519" s="43"/>
      <c r="H7519" s="2"/>
    </row>
    <row r="7520" spans="1:8">
      <c r="A7520" s="39">
        <v>2.54545269841997</v>
      </c>
      <c r="B7520" s="45">
        <v>7.8</v>
      </c>
      <c r="D7520" s="2"/>
      <c r="E7520" s="31"/>
      <c r="G7520" s="43"/>
      <c r="H7520" s="2"/>
    </row>
    <row r="7521" spans="1:8">
      <c r="A7521" s="39">
        <v>2.54510696784244</v>
      </c>
      <c r="B7521" s="45">
        <v>0</v>
      </c>
      <c r="D7521" s="2"/>
      <c r="E7521" s="31"/>
      <c r="G7521" s="43"/>
      <c r="H7521" s="2"/>
    </row>
    <row r="7522" spans="1:8">
      <c r="A7522" s="39">
        <v>2.54510696784244</v>
      </c>
      <c r="B7522" s="45">
        <v>0</v>
      </c>
      <c r="D7522" s="2"/>
      <c r="E7522" s="31"/>
      <c r="G7522" s="43"/>
      <c r="H7522" s="2"/>
    </row>
    <row r="7523" spans="1:8">
      <c r="A7523" s="39">
        <v>2.5447152223123</v>
      </c>
      <c r="B7523" s="45">
        <v>1</v>
      </c>
      <c r="D7523" s="2"/>
      <c r="E7523" s="31"/>
      <c r="G7523" s="43"/>
      <c r="H7523" s="2"/>
    </row>
    <row r="7524" spans="1:8">
      <c r="A7524" s="39">
        <v>2.5447152223123</v>
      </c>
      <c r="B7524" s="45">
        <v>12.6</v>
      </c>
      <c r="D7524" s="2"/>
      <c r="E7524" s="31"/>
      <c r="G7524" s="43"/>
      <c r="H7524" s="2"/>
    </row>
    <row r="7525" spans="1:8">
      <c r="A7525" s="39">
        <v>2.54437917059685</v>
      </c>
      <c r="B7525" s="45">
        <v>14.3</v>
      </c>
      <c r="D7525" s="2"/>
      <c r="E7525" s="31"/>
      <c r="G7525" s="43"/>
      <c r="H7525" s="2"/>
    </row>
    <row r="7526" spans="1:8">
      <c r="A7526" s="39">
        <v>2.54277930082752</v>
      </c>
      <c r="B7526" s="45">
        <v>7</v>
      </c>
      <c r="D7526" s="2"/>
      <c r="E7526" s="31"/>
      <c r="G7526" s="43"/>
      <c r="H7526" s="2"/>
    </row>
    <row r="7527" spans="1:8">
      <c r="A7527" s="39">
        <v>2.54251618855403</v>
      </c>
      <c r="B7527" s="45">
        <v>1</v>
      </c>
      <c r="D7527" s="2"/>
      <c r="E7527" s="31"/>
      <c r="G7527" s="43"/>
      <c r="H7527" s="2"/>
    </row>
    <row r="7528" spans="1:8">
      <c r="A7528" s="39">
        <v>2.54194738110456</v>
      </c>
      <c r="B7528" s="45">
        <v>21</v>
      </c>
      <c r="D7528" s="2"/>
      <c r="E7528" s="31"/>
      <c r="G7528" s="43"/>
      <c r="H7528" s="2"/>
    </row>
    <row r="7529" spans="1:8">
      <c r="A7529" s="39">
        <v>2.54194738110456</v>
      </c>
      <c r="B7529" s="45">
        <v>6</v>
      </c>
      <c r="D7529" s="2"/>
      <c r="E7529" s="31"/>
      <c r="G7529" s="43"/>
      <c r="H7529" s="2"/>
    </row>
    <row r="7530" spans="1:8">
      <c r="A7530" s="39">
        <v>2.54146798161447</v>
      </c>
      <c r="B7530" s="45">
        <v>9.3</v>
      </c>
      <c r="D7530" s="2"/>
      <c r="E7530" s="31"/>
      <c r="G7530" s="43"/>
      <c r="H7530" s="2"/>
    </row>
    <row r="7531" spans="1:8">
      <c r="A7531" s="39">
        <v>2.54126603469388</v>
      </c>
      <c r="B7531" s="45">
        <v>14</v>
      </c>
      <c r="D7531" s="2"/>
      <c r="E7531" s="31"/>
      <c r="G7531" s="43"/>
      <c r="H7531" s="2"/>
    </row>
    <row r="7532" spans="1:8">
      <c r="A7532" s="39">
        <v>2.54126603469388</v>
      </c>
      <c r="B7532" s="45">
        <v>9.9</v>
      </c>
      <c r="D7532" s="2"/>
      <c r="E7532" s="31"/>
      <c r="G7532" s="43"/>
      <c r="H7532" s="2"/>
    </row>
    <row r="7533" spans="1:8">
      <c r="A7533" s="39">
        <v>2.54077354127631</v>
      </c>
      <c r="B7533" s="45">
        <v>18.1</v>
      </c>
      <c r="D7533" s="2"/>
      <c r="E7533" s="31"/>
      <c r="G7533" s="43"/>
      <c r="H7533" s="2"/>
    </row>
    <row r="7534" spans="1:8">
      <c r="A7534" s="39">
        <v>2.54035035915224</v>
      </c>
      <c r="B7534" s="45">
        <v>4.5</v>
      </c>
      <c r="D7534" s="2"/>
      <c r="E7534" s="31"/>
      <c r="G7534" s="43"/>
      <c r="H7534" s="2"/>
    </row>
    <row r="7535" spans="1:8">
      <c r="A7535" s="39">
        <v>2.54001238712328</v>
      </c>
      <c r="B7535" s="45">
        <v>6</v>
      </c>
      <c r="D7535" s="2"/>
      <c r="E7535" s="31"/>
      <c r="G7535" s="43"/>
      <c r="H7535" s="2"/>
    </row>
    <row r="7536" spans="1:8">
      <c r="A7536" s="39">
        <v>2.54001238712328</v>
      </c>
      <c r="B7536" s="45">
        <v>10.9</v>
      </c>
      <c r="D7536" s="2"/>
      <c r="E7536" s="31"/>
      <c r="G7536" s="43"/>
      <c r="H7536" s="2"/>
    </row>
    <row r="7537" spans="1:8">
      <c r="A7537" s="39">
        <v>2.53985891064366</v>
      </c>
      <c r="B7537" s="45">
        <v>8.3</v>
      </c>
      <c r="D7537" s="2"/>
      <c r="E7537" s="31"/>
      <c r="G7537" s="43"/>
      <c r="H7537" s="2"/>
    </row>
    <row r="7538" spans="1:8">
      <c r="A7538" s="39">
        <v>2.53969325401766</v>
      </c>
      <c r="B7538" s="45">
        <v>6.2</v>
      </c>
      <c r="D7538" s="2"/>
      <c r="E7538" s="31"/>
      <c r="G7538" s="43"/>
      <c r="H7538" s="2"/>
    </row>
    <row r="7539" spans="1:8">
      <c r="A7539" s="39">
        <v>2.53798806122973</v>
      </c>
      <c r="B7539" s="45">
        <v>1</v>
      </c>
      <c r="D7539" s="2"/>
      <c r="E7539" s="31"/>
      <c r="G7539" s="43"/>
      <c r="H7539" s="2"/>
    </row>
    <row r="7540" spans="1:8">
      <c r="A7540" s="39">
        <v>2.53744045037887</v>
      </c>
      <c r="B7540" s="45">
        <v>1</v>
      </c>
      <c r="D7540" s="2"/>
      <c r="E7540" s="31"/>
      <c r="G7540" s="43"/>
      <c r="H7540" s="2"/>
    </row>
    <row r="7541" spans="1:8">
      <c r="A7541" s="39">
        <v>2.53710119814091</v>
      </c>
      <c r="B7541" s="45">
        <v>2</v>
      </c>
      <c r="D7541" s="2"/>
      <c r="E7541" s="31"/>
      <c r="G7541" s="43"/>
      <c r="H7541" s="2"/>
    </row>
    <row r="7542" spans="1:8">
      <c r="A7542" s="39">
        <v>2.53704466254323</v>
      </c>
      <c r="B7542" s="45">
        <v>10.1</v>
      </c>
      <c r="D7542" s="2"/>
      <c r="E7542" s="31"/>
      <c r="G7542" s="43"/>
      <c r="H7542" s="2"/>
    </row>
    <row r="7543" spans="1:8">
      <c r="A7543" s="39">
        <v>2.53654412595698</v>
      </c>
      <c r="B7543" s="45">
        <v>16</v>
      </c>
      <c r="D7543" s="2"/>
      <c r="E7543" s="31"/>
      <c r="G7543" s="43"/>
      <c r="H7543" s="2"/>
    </row>
    <row r="7544" spans="1:8">
      <c r="A7544" s="39">
        <v>2.53632674652294</v>
      </c>
      <c r="B7544" s="45">
        <v>22</v>
      </c>
      <c r="D7544" s="2"/>
      <c r="E7544" s="31"/>
      <c r="G7544" s="43"/>
      <c r="H7544" s="2"/>
    </row>
    <row r="7545" spans="1:8">
      <c r="A7545" s="39">
        <v>2.53632674652294</v>
      </c>
      <c r="B7545" s="45">
        <v>10</v>
      </c>
      <c r="D7545" s="2"/>
      <c r="E7545" s="31"/>
      <c r="G7545" s="43"/>
      <c r="H7545" s="2"/>
    </row>
    <row r="7546" spans="1:8">
      <c r="A7546" s="39">
        <v>2.53632674652294</v>
      </c>
      <c r="B7546" s="45">
        <v>11.2</v>
      </c>
      <c r="D7546" s="2"/>
      <c r="E7546" s="31"/>
      <c r="G7546" s="43"/>
      <c r="H7546" s="2"/>
    </row>
    <row r="7547" spans="1:8">
      <c r="A7547" s="39">
        <v>2.53614181347921</v>
      </c>
      <c r="B7547" s="45">
        <v>4.2</v>
      </c>
      <c r="D7547" s="2"/>
      <c r="E7547" s="31"/>
      <c r="G7547" s="43"/>
      <c r="H7547" s="2"/>
    </row>
    <row r="7548" spans="1:8">
      <c r="A7548" s="39">
        <v>2.53614181347921</v>
      </c>
      <c r="B7548" s="45">
        <v>11</v>
      </c>
      <c r="D7548" s="2"/>
      <c r="E7548" s="31"/>
      <c r="G7548" s="43"/>
      <c r="H7548" s="2"/>
    </row>
    <row r="7549" spans="1:8">
      <c r="A7549" s="39">
        <v>2.53614181347921</v>
      </c>
      <c r="B7549" s="45">
        <v>3</v>
      </c>
      <c r="D7549" s="2"/>
      <c r="E7549" s="31"/>
      <c r="G7549" s="43"/>
      <c r="H7549" s="2"/>
    </row>
    <row r="7550" spans="1:8">
      <c r="A7550" s="39">
        <v>2.53614181347921</v>
      </c>
      <c r="B7550" s="45">
        <v>14</v>
      </c>
      <c r="D7550" s="2"/>
      <c r="E7550" s="31"/>
      <c r="G7550" s="43"/>
      <c r="H7550" s="2"/>
    </row>
    <row r="7551" spans="1:8">
      <c r="A7551" s="39">
        <v>2.53593467283068</v>
      </c>
      <c r="B7551" s="45">
        <v>2</v>
      </c>
      <c r="D7551" s="2"/>
      <c r="E7551" s="31"/>
      <c r="G7551" s="43"/>
      <c r="H7551" s="2"/>
    </row>
    <row r="7552" spans="1:8">
      <c r="A7552" s="39">
        <v>2.53593467283068</v>
      </c>
      <c r="B7552" s="45">
        <v>1.5</v>
      </c>
      <c r="D7552" s="2"/>
      <c r="E7552" s="31"/>
      <c r="G7552" s="43"/>
      <c r="H7552" s="2"/>
    </row>
    <row r="7553" spans="1:8">
      <c r="A7553" s="39">
        <v>2.535653445024</v>
      </c>
      <c r="B7553" s="45">
        <v>7</v>
      </c>
      <c r="D7553" s="2"/>
      <c r="E7553" s="31"/>
      <c r="G7553" s="43"/>
      <c r="H7553" s="2"/>
    </row>
    <row r="7554" spans="1:8">
      <c r="A7554" s="39">
        <v>2.53542559156069</v>
      </c>
      <c r="B7554" s="45">
        <v>5</v>
      </c>
      <c r="D7554" s="2"/>
      <c r="E7554" s="31"/>
      <c r="G7554" s="43"/>
      <c r="H7554" s="2"/>
    </row>
    <row r="7555" spans="1:8">
      <c r="A7555" s="39">
        <v>2.53490987451235</v>
      </c>
      <c r="B7555" s="45">
        <v>12.5</v>
      </c>
      <c r="D7555" s="2"/>
      <c r="E7555" s="31"/>
      <c r="G7555" s="43"/>
      <c r="H7555" s="2"/>
    </row>
    <row r="7556" spans="1:8">
      <c r="A7556" s="39">
        <v>2.53490987451235</v>
      </c>
      <c r="B7556" s="45">
        <v>9.5</v>
      </c>
      <c r="D7556" s="2"/>
      <c r="E7556" s="31"/>
      <c r="G7556" s="43"/>
      <c r="H7556" s="2"/>
    </row>
    <row r="7557" spans="1:8">
      <c r="A7557" s="39">
        <v>2.53392980580655</v>
      </c>
      <c r="B7557" s="45">
        <v>12.1</v>
      </c>
      <c r="D7557" s="2"/>
      <c r="E7557" s="31"/>
      <c r="G7557" s="43"/>
      <c r="H7557" s="2"/>
    </row>
    <row r="7558" spans="1:8">
      <c r="A7558" s="39">
        <v>2.53392980580655</v>
      </c>
      <c r="B7558" s="45">
        <v>10</v>
      </c>
      <c r="D7558" s="2"/>
      <c r="E7558" s="31"/>
      <c r="G7558" s="43"/>
      <c r="H7558" s="2"/>
    </row>
    <row r="7559" spans="1:8">
      <c r="A7559" s="39">
        <v>2.53350237319391</v>
      </c>
      <c r="B7559" s="45">
        <v>10.3</v>
      </c>
      <c r="D7559" s="2"/>
      <c r="E7559" s="31"/>
      <c r="G7559" s="43"/>
      <c r="H7559" s="2"/>
    </row>
    <row r="7560" spans="1:8">
      <c r="A7560" s="39">
        <v>2.53273441466734</v>
      </c>
      <c r="B7560" s="45">
        <v>18.3</v>
      </c>
      <c r="D7560" s="2"/>
      <c r="E7560" s="31"/>
      <c r="G7560" s="43"/>
      <c r="H7560" s="2"/>
    </row>
    <row r="7561" spans="1:8">
      <c r="A7561" s="39">
        <v>2.53234811002547</v>
      </c>
      <c r="B7561" s="45">
        <v>8.2</v>
      </c>
      <c r="D7561" s="2"/>
      <c r="E7561" s="31"/>
      <c r="G7561" s="43"/>
      <c r="H7561" s="2"/>
    </row>
    <row r="7562" spans="1:8">
      <c r="A7562" s="39">
        <v>2.53234811002547</v>
      </c>
      <c r="B7562" s="45">
        <v>11.3</v>
      </c>
      <c r="D7562" s="2"/>
      <c r="E7562" s="31"/>
      <c r="G7562" s="43"/>
      <c r="H7562" s="2"/>
    </row>
    <row r="7563" spans="1:8">
      <c r="A7563" s="39">
        <v>2.53089315563879</v>
      </c>
      <c r="B7563" s="45">
        <v>13</v>
      </c>
      <c r="D7563" s="2"/>
      <c r="E7563" s="31"/>
      <c r="G7563" s="43"/>
      <c r="H7563" s="2"/>
    </row>
    <row r="7564" spans="1:8">
      <c r="A7564" s="39">
        <v>2.53055102293056</v>
      </c>
      <c r="B7564" s="45">
        <v>0</v>
      </c>
      <c r="D7564" s="2"/>
      <c r="E7564" s="31"/>
      <c r="G7564" s="43"/>
      <c r="H7564" s="2"/>
    </row>
    <row r="7565" spans="1:8">
      <c r="A7565" s="39">
        <v>2.53055102293056</v>
      </c>
      <c r="B7565" s="45">
        <v>0</v>
      </c>
      <c r="D7565" s="2"/>
      <c r="E7565" s="31"/>
      <c r="G7565" s="43"/>
      <c r="H7565" s="2"/>
    </row>
    <row r="7566" spans="1:8">
      <c r="A7566" s="39">
        <v>2.53000904229214</v>
      </c>
      <c r="B7566" s="45">
        <v>12.4</v>
      </c>
      <c r="D7566" s="2"/>
      <c r="E7566" s="31"/>
      <c r="G7566" s="43"/>
      <c r="H7566" s="2"/>
    </row>
    <row r="7567" spans="1:8">
      <c r="A7567" s="39">
        <v>2.53000904229214</v>
      </c>
      <c r="B7567" s="45">
        <v>7.5</v>
      </c>
      <c r="D7567" s="2"/>
      <c r="E7567" s="31"/>
      <c r="G7567" s="43"/>
      <c r="H7567" s="2"/>
    </row>
    <row r="7568" spans="1:8">
      <c r="A7568" s="39">
        <v>2.52998361989781</v>
      </c>
      <c r="B7568" s="45">
        <v>11.5</v>
      </c>
      <c r="D7568" s="2"/>
      <c r="E7568" s="31"/>
      <c r="G7568" s="43"/>
      <c r="H7568" s="2"/>
    </row>
    <row r="7569" spans="1:8">
      <c r="A7569" s="39">
        <v>2.52982322568497</v>
      </c>
      <c r="B7569" s="45">
        <v>12.1</v>
      </c>
      <c r="D7569" s="2"/>
      <c r="E7569" s="31"/>
      <c r="G7569" s="43"/>
      <c r="H7569" s="2"/>
    </row>
    <row r="7570" spans="1:8">
      <c r="A7570" s="39">
        <v>2.52927986923859</v>
      </c>
      <c r="B7570" s="45">
        <v>24</v>
      </c>
      <c r="D7570" s="2"/>
      <c r="E7570" s="31"/>
      <c r="G7570" s="43"/>
      <c r="H7570" s="2"/>
    </row>
    <row r="7571" spans="1:8">
      <c r="A7571" s="39">
        <v>2.52927986923859</v>
      </c>
      <c r="B7571" s="45">
        <v>6</v>
      </c>
      <c r="D7571" s="2"/>
      <c r="E7571" s="31"/>
      <c r="G7571" s="43"/>
      <c r="H7571" s="2"/>
    </row>
    <row r="7572" spans="1:8">
      <c r="A7572" s="39">
        <v>2.52909542843937</v>
      </c>
      <c r="B7572" s="45">
        <v>5</v>
      </c>
      <c r="D7572" s="2"/>
      <c r="E7572" s="31"/>
      <c r="G7572" s="43"/>
      <c r="H7572" s="2"/>
    </row>
    <row r="7573" spans="1:8">
      <c r="A7573" s="39">
        <v>2.52909004483383</v>
      </c>
      <c r="B7573" s="45">
        <v>6.5</v>
      </c>
      <c r="D7573" s="2"/>
      <c r="E7573" s="31"/>
      <c r="G7573" s="43"/>
      <c r="H7573" s="2"/>
    </row>
    <row r="7574" spans="1:8">
      <c r="A7574" s="39">
        <v>2.52897959429401</v>
      </c>
      <c r="B7574" s="45">
        <v>3.85</v>
      </c>
      <c r="D7574" s="2"/>
      <c r="E7574" s="31"/>
      <c r="G7574" s="43"/>
      <c r="H7574" s="2"/>
    </row>
    <row r="7575" spans="1:8">
      <c r="A7575" s="39">
        <v>2.52897959429401</v>
      </c>
      <c r="B7575" s="45">
        <v>2</v>
      </c>
      <c r="D7575" s="2"/>
      <c r="E7575" s="31"/>
      <c r="G7575" s="43"/>
      <c r="H7575" s="2"/>
    </row>
    <row r="7576" spans="1:8">
      <c r="A7576" s="39">
        <v>2.52824712853561</v>
      </c>
      <c r="B7576" s="45">
        <v>7</v>
      </c>
      <c r="D7576" s="2"/>
      <c r="E7576" s="31"/>
      <c r="G7576" s="43"/>
      <c r="H7576" s="2"/>
    </row>
    <row r="7577" spans="1:8">
      <c r="A7577" s="39">
        <v>2.52798324686542</v>
      </c>
      <c r="B7577" s="45">
        <v>14</v>
      </c>
      <c r="D7577" s="2"/>
      <c r="E7577" s="31"/>
      <c r="G7577" s="43"/>
      <c r="H7577" s="2"/>
    </row>
    <row r="7578" spans="1:8">
      <c r="A7578" s="39">
        <v>2.52789835621681</v>
      </c>
      <c r="B7578" s="45">
        <v>11</v>
      </c>
      <c r="D7578" s="2"/>
      <c r="E7578" s="31"/>
      <c r="G7578" s="43"/>
      <c r="H7578" s="2"/>
    </row>
    <row r="7579" spans="1:8">
      <c r="A7579" s="39">
        <v>2.5271947941917</v>
      </c>
      <c r="B7579" s="45">
        <v>15.4</v>
      </c>
      <c r="D7579" s="2"/>
      <c r="E7579" s="31"/>
      <c r="G7579" s="43"/>
      <c r="H7579" s="2"/>
    </row>
    <row r="7580" spans="1:8">
      <c r="A7580" s="39">
        <v>2.5271947941917</v>
      </c>
      <c r="B7580" s="45">
        <v>9.7</v>
      </c>
      <c r="D7580" s="2"/>
      <c r="E7580" s="31"/>
      <c r="G7580" s="43"/>
      <c r="H7580" s="2"/>
    </row>
    <row r="7581" spans="1:8">
      <c r="A7581" s="39">
        <v>2.52703665643478</v>
      </c>
      <c r="B7581" s="45">
        <v>7.5</v>
      </c>
      <c r="D7581" s="2"/>
      <c r="E7581" s="31"/>
      <c r="G7581" s="43"/>
      <c r="H7581" s="2"/>
    </row>
    <row r="7582" spans="1:8">
      <c r="A7582" s="39">
        <v>2.52691203670259</v>
      </c>
      <c r="B7582" s="45">
        <v>7</v>
      </c>
      <c r="D7582" s="2"/>
      <c r="E7582" s="31"/>
      <c r="G7582" s="43"/>
      <c r="H7582" s="2"/>
    </row>
    <row r="7583" spans="1:8">
      <c r="A7583" s="39">
        <v>2.52684301317915</v>
      </c>
      <c r="B7583" s="45">
        <v>14.9</v>
      </c>
      <c r="D7583" s="2"/>
      <c r="E7583" s="31"/>
      <c r="G7583" s="43"/>
      <c r="H7583" s="2"/>
    </row>
    <row r="7584" spans="1:8">
      <c r="A7584" s="39">
        <v>2.52649123216659</v>
      </c>
      <c r="B7584" s="45">
        <v>11</v>
      </c>
      <c r="D7584" s="2"/>
      <c r="E7584" s="31"/>
      <c r="G7584" s="43"/>
      <c r="H7584" s="2"/>
    </row>
    <row r="7585" spans="1:8">
      <c r="A7585" s="39">
        <v>2.5264648666017</v>
      </c>
      <c r="B7585" s="45">
        <v>10</v>
      </c>
      <c r="D7585" s="2"/>
      <c r="E7585" s="31"/>
      <c r="G7585" s="43"/>
      <c r="H7585" s="2"/>
    </row>
    <row r="7586" spans="1:8">
      <c r="A7586" s="39">
        <v>2.52566773083541</v>
      </c>
      <c r="B7586" s="45">
        <v>8.3</v>
      </c>
      <c r="D7586" s="2"/>
      <c r="E7586" s="31"/>
      <c r="G7586" s="43"/>
      <c r="H7586" s="2"/>
    </row>
    <row r="7587" spans="1:8">
      <c r="A7587" s="39">
        <v>2.52508410811637</v>
      </c>
      <c r="B7587" s="45">
        <v>19.5</v>
      </c>
      <c r="D7587" s="2"/>
      <c r="E7587" s="31"/>
      <c r="G7587" s="43"/>
      <c r="H7587" s="2"/>
    </row>
    <row r="7588" spans="1:8">
      <c r="A7588" s="39">
        <v>2.52367698406616</v>
      </c>
      <c r="B7588" s="45">
        <v>10.8</v>
      </c>
      <c r="D7588" s="2"/>
      <c r="E7588" s="31"/>
      <c r="G7588" s="43"/>
      <c r="H7588" s="2"/>
    </row>
    <row r="7589" spans="1:8">
      <c r="A7589" s="39">
        <v>2.52327305047462</v>
      </c>
      <c r="B7589" s="45">
        <v>0</v>
      </c>
      <c r="D7589" s="2"/>
      <c r="E7589" s="31"/>
      <c r="G7589" s="43"/>
      <c r="H7589" s="2"/>
    </row>
    <row r="7590" spans="1:8">
      <c r="A7590" s="39">
        <v>2.52289090651202</v>
      </c>
      <c r="B7590" s="45">
        <v>1</v>
      </c>
      <c r="D7590" s="2"/>
      <c r="E7590" s="31"/>
      <c r="G7590" s="43"/>
      <c r="H7590" s="2"/>
    </row>
    <row r="7591" spans="1:8">
      <c r="A7591" s="39">
        <v>2.52254525322902</v>
      </c>
      <c r="B7591" s="45">
        <v>3.3</v>
      </c>
      <c r="D7591" s="2"/>
      <c r="E7591" s="31"/>
      <c r="G7591" s="43"/>
      <c r="H7591" s="2"/>
    </row>
    <row r="7592" spans="1:8">
      <c r="A7592" s="39">
        <v>2.52181737510881</v>
      </c>
      <c r="B7592" s="45">
        <v>11.2</v>
      </c>
      <c r="D7592" s="2"/>
      <c r="E7592" s="31"/>
      <c r="G7592" s="43"/>
      <c r="H7592" s="2"/>
    </row>
    <row r="7593" spans="1:8">
      <c r="A7593" s="39">
        <v>2.52143595212534</v>
      </c>
      <c r="B7593" s="45">
        <v>9.7</v>
      </c>
      <c r="D7593" s="2"/>
      <c r="E7593" s="31"/>
      <c r="G7593" s="43"/>
      <c r="H7593" s="2"/>
    </row>
    <row r="7594" spans="1:8">
      <c r="A7594" s="39">
        <v>2.52087649123762</v>
      </c>
      <c r="B7594" s="45">
        <v>10.6</v>
      </c>
      <c r="D7594" s="2"/>
      <c r="E7594" s="31"/>
      <c r="G7594" s="43"/>
      <c r="H7594" s="2"/>
    </row>
    <row r="7595" spans="1:8">
      <c r="A7595" s="39">
        <v>2.52019202843793</v>
      </c>
      <c r="B7595" s="45">
        <v>8.3</v>
      </c>
      <c r="D7595" s="2"/>
      <c r="E7595" s="31"/>
      <c r="G7595" s="43"/>
      <c r="H7595" s="2"/>
    </row>
    <row r="7596" spans="1:8">
      <c r="A7596" s="39">
        <v>2.52015917394061</v>
      </c>
      <c r="B7596" s="45">
        <v>11</v>
      </c>
      <c r="D7596" s="2"/>
      <c r="E7596" s="31"/>
      <c r="G7596" s="43"/>
      <c r="H7596" s="2"/>
    </row>
    <row r="7597" spans="1:8">
      <c r="A7597" s="39">
        <v>2.51955104497917</v>
      </c>
      <c r="B7597" s="45">
        <v>9.5</v>
      </c>
      <c r="D7597" s="2"/>
      <c r="E7597" s="31"/>
      <c r="G7597" s="43"/>
      <c r="H7597" s="2"/>
    </row>
    <row r="7598" spans="1:8">
      <c r="A7598" s="39">
        <v>2.51890626700105</v>
      </c>
      <c r="B7598" s="45">
        <v>7.1</v>
      </c>
      <c r="D7598" s="2"/>
      <c r="E7598" s="31"/>
      <c r="G7598" s="43"/>
      <c r="H7598" s="2"/>
    </row>
    <row r="7599" spans="1:8">
      <c r="A7599" s="39">
        <v>2.51890626700105</v>
      </c>
      <c r="B7599" s="45">
        <v>7.4</v>
      </c>
      <c r="D7599" s="2"/>
      <c r="E7599" s="31"/>
      <c r="G7599" s="43"/>
      <c r="H7599" s="2"/>
    </row>
    <row r="7600" spans="1:8">
      <c r="A7600" s="39">
        <v>2.51890626700105</v>
      </c>
      <c r="B7600" s="45">
        <v>2</v>
      </c>
      <c r="D7600" s="2"/>
      <c r="E7600" s="31"/>
      <c r="G7600" s="43"/>
      <c r="H7600" s="2"/>
    </row>
    <row r="7601" spans="1:8">
      <c r="A7601" s="39">
        <v>2.51882090755039</v>
      </c>
      <c r="B7601" s="45">
        <v>8.5</v>
      </c>
      <c r="D7601" s="2"/>
      <c r="E7601" s="31"/>
      <c r="G7601" s="43"/>
      <c r="H7601" s="2"/>
    </row>
    <row r="7602" spans="1:8">
      <c r="A7602" s="39">
        <v>2.51872360935028</v>
      </c>
      <c r="B7602" s="45">
        <v>19.8</v>
      </c>
      <c r="D7602" s="2"/>
      <c r="E7602" s="31"/>
      <c r="G7602" s="43"/>
      <c r="H7602" s="2"/>
    </row>
    <row r="7603" spans="1:8">
      <c r="A7603" s="39">
        <v>2.51816464332435</v>
      </c>
      <c r="B7603" s="45">
        <v>2.5</v>
      </c>
      <c r="D7603" s="2"/>
      <c r="E7603" s="31"/>
      <c r="G7603" s="43"/>
      <c r="H7603" s="2"/>
    </row>
    <row r="7604" spans="1:8">
      <c r="A7604" s="39">
        <v>2.51779856615862</v>
      </c>
      <c r="B7604" s="45">
        <v>10.4</v>
      </c>
      <c r="D7604" s="2"/>
      <c r="E7604" s="31"/>
      <c r="G7604" s="43"/>
      <c r="H7604" s="2"/>
    </row>
    <row r="7605" spans="1:8">
      <c r="A7605" s="39">
        <v>2.51779856615862</v>
      </c>
      <c r="B7605" s="45">
        <v>12</v>
      </c>
      <c r="D7605" s="2"/>
      <c r="E7605" s="31"/>
      <c r="G7605" s="43"/>
      <c r="H7605" s="2"/>
    </row>
    <row r="7606" spans="1:8">
      <c r="A7606" s="39">
        <v>2.51779856615862</v>
      </c>
      <c r="B7606" s="45">
        <v>5.4</v>
      </c>
      <c r="D7606" s="2"/>
      <c r="E7606" s="31"/>
      <c r="G7606" s="43"/>
      <c r="H7606" s="2"/>
    </row>
    <row r="7607" spans="1:8">
      <c r="A7607" s="39">
        <v>2.51745067250987</v>
      </c>
      <c r="B7607" s="45">
        <v>3.3</v>
      </c>
      <c r="D7607" s="2"/>
      <c r="E7607" s="31"/>
      <c r="G7607" s="43"/>
      <c r="H7607" s="2"/>
    </row>
    <row r="7608" spans="1:8">
      <c r="A7608" s="39">
        <v>2.51731610803184</v>
      </c>
      <c r="B7608" s="45">
        <v>7</v>
      </c>
      <c r="D7608" s="2"/>
      <c r="E7608" s="31"/>
      <c r="G7608" s="43"/>
      <c r="H7608" s="2"/>
    </row>
    <row r="7609" spans="1:8">
      <c r="A7609" s="39">
        <v>2.51693672482873</v>
      </c>
      <c r="B7609" s="45">
        <v>30.4</v>
      </c>
      <c r="D7609" s="2"/>
      <c r="E7609" s="31"/>
      <c r="G7609" s="43"/>
      <c r="H7609" s="2"/>
    </row>
    <row r="7610" spans="1:8">
      <c r="A7610" s="39">
        <v>2.51680382167917</v>
      </c>
      <c r="B7610" s="45">
        <v>13</v>
      </c>
      <c r="D7610" s="2"/>
      <c r="E7610" s="31"/>
      <c r="G7610" s="43"/>
      <c r="H7610" s="2"/>
    </row>
    <row r="7611" spans="1:8">
      <c r="A7611" s="39">
        <v>2.51628314479113</v>
      </c>
      <c r="B7611" s="45">
        <v>8.9</v>
      </c>
      <c r="D7611" s="2"/>
      <c r="E7611" s="31"/>
      <c r="G7611" s="43"/>
      <c r="H7611" s="2"/>
    </row>
    <row r="7612" spans="1:8">
      <c r="A7612" s="39">
        <v>2.51612770155461</v>
      </c>
      <c r="B7612" s="45">
        <v>18.8</v>
      </c>
      <c r="D7612" s="2"/>
      <c r="E7612" s="31"/>
      <c r="G7612" s="43"/>
      <c r="H7612" s="2"/>
    </row>
    <row r="7613" spans="1:8">
      <c r="A7613" s="39">
        <v>2.51608525163983</v>
      </c>
      <c r="B7613" s="45">
        <v>5.2</v>
      </c>
      <c r="D7613" s="2"/>
      <c r="E7613" s="31"/>
      <c r="G7613" s="43"/>
      <c r="H7613" s="2"/>
    </row>
    <row r="7614" spans="1:8">
      <c r="A7614" s="39">
        <v>2.51593780178996</v>
      </c>
      <c r="B7614" s="45">
        <v>22</v>
      </c>
      <c r="D7614" s="2"/>
      <c r="E7614" s="31"/>
      <c r="G7614" s="43"/>
      <c r="H7614" s="2"/>
    </row>
    <row r="7615" spans="1:8">
      <c r="A7615" s="39">
        <v>2.51526728077308</v>
      </c>
      <c r="B7615" s="45">
        <v>4.4</v>
      </c>
      <c r="D7615" s="2"/>
      <c r="E7615" s="31"/>
      <c r="G7615" s="43"/>
      <c r="H7615" s="2"/>
    </row>
    <row r="7616" spans="1:8">
      <c r="A7616" s="39">
        <v>2.51523423976485</v>
      </c>
      <c r="B7616" s="45">
        <v>19</v>
      </c>
      <c r="D7616" s="2"/>
      <c r="E7616" s="31"/>
      <c r="G7616" s="43"/>
      <c r="H7616" s="2"/>
    </row>
    <row r="7617" spans="1:8">
      <c r="A7617" s="39">
        <v>2.51488865738525</v>
      </c>
      <c r="B7617" s="45">
        <v>16</v>
      </c>
      <c r="D7617" s="2"/>
      <c r="E7617" s="31"/>
      <c r="G7617" s="43"/>
      <c r="H7617" s="2"/>
    </row>
    <row r="7618" spans="1:8">
      <c r="A7618" s="39">
        <v>2.51465515592361</v>
      </c>
      <c r="B7618" s="45">
        <v>4.5</v>
      </c>
      <c r="D7618" s="2"/>
      <c r="E7618" s="31"/>
      <c r="G7618" s="43"/>
      <c r="H7618" s="2"/>
    </row>
    <row r="7619" spans="1:8">
      <c r="A7619" s="39">
        <v>2.51465515592361</v>
      </c>
      <c r="B7619" s="45">
        <v>2</v>
      </c>
      <c r="D7619" s="2"/>
      <c r="E7619" s="31"/>
      <c r="G7619" s="43"/>
      <c r="H7619" s="2"/>
    </row>
    <row r="7620" spans="1:8">
      <c r="A7620" s="39">
        <v>2.51379735473573</v>
      </c>
      <c r="B7620" s="45">
        <v>8.3</v>
      </c>
      <c r="D7620" s="2"/>
      <c r="E7620" s="31"/>
      <c r="G7620" s="43"/>
      <c r="H7620" s="2"/>
    </row>
    <row r="7621" spans="1:8">
      <c r="A7621" s="39">
        <v>2.51334740044109</v>
      </c>
      <c r="B7621" s="45">
        <v>4</v>
      </c>
      <c r="D7621" s="2"/>
      <c r="E7621" s="31"/>
      <c r="G7621" s="43"/>
      <c r="H7621" s="2"/>
    </row>
    <row r="7622" spans="1:8">
      <c r="A7622" s="39">
        <v>2.51322271208657</v>
      </c>
      <c r="B7622" s="45">
        <v>14.7</v>
      </c>
      <c r="D7622" s="2"/>
      <c r="E7622" s="31"/>
      <c r="G7622" s="43"/>
      <c r="H7622" s="2"/>
    </row>
    <row r="7623" spans="1:8">
      <c r="A7623" s="39">
        <v>2.5130838890363</v>
      </c>
      <c r="B7623" s="45">
        <v>10.5</v>
      </c>
      <c r="D7623" s="2"/>
      <c r="E7623" s="31"/>
      <c r="G7623" s="43"/>
      <c r="H7623" s="2"/>
    </row>
    <row r="7624" spans="1:8">
      <c r="A7624" s="39">
        <v>2.51301524460309</v>
      </c>
      <c r="B7624" s="45">
        <v>6</v>
      </c>
      <c r="D7624" s="2"/>
      <c r="E7624" s="31"/>
      <c r="G7624" s="43"/>
      <c r="H7624" s="2"/>
    </row>
    <row r="7625" spans="1:8">
      <c r="A7625" s="39">
        <v>2.51277177267697</v>
      </c>
      <c r="B7625" s="45">
        <v>17</v>
      </c>
      <c r="D7625" s="2"/>
      <c r="E7625" s="31"/>
      <c r="G7625" s="43"/>
      <c r="H7625" s="2"/>
    </row>
    <row r="7626" spans="1:8">
      <c r="A7626" s="39">
        <v>2.51241999166441</v>
      </c>
      <c r="B7626" s="45">
        <v>11</v>
      </c>
      <c r="D7626" s="2"/>
      <c r="E7626" s="31"/>
      <c r="G7626" s="43"/>
      <c r="H7626" s="2"/>
    </row>
    <row r="7627" spans="1:8">
      <c r="A7627" s="39">
        <v>2.51208789256095</v>
      </c>
      <c r="B7627" s="45">
        <v>9.9</v>
      </c>
      <c r="D7627" s="2"/>
      <c r="E7627" s="31"/>
      <c r="G7627" s="43"/>
      <c r="H7627" s="2"/>
    </row>
    <row r="7628" spans="1:8">
      <c r="A7628" s="39">
        <v>2.51208789256095</v>
      </c>
      <c r="B7628" s="45">
        <v>8</v>
      </c>
      <c r="D7628" s="2"/>
      <c r="E7628" s="31"/>
      <c r="G7628" s="43"/>
      <c r="H7628" s="2"/>
    </row>
    <row r="7629" spans="1:8">
      <c r="A7629" s="39">
        <v>2.51197847484172</v>
      </c>
      <c r="B7629" s="45">
        <v>1</v>
      </c>
      <c r="D7629" s="2"/>
      <c r="E7629" s="31"/>
      <c r="G7629" s="43"/>
      <c r="H7629" s="2"/>
    </row>
    <row r="7630" spans="1:8">
      <c r="A7630" s="39">
        <v>2.51197847484172</v>
      </c>
      <c r="B7630" s="45">
        <v>8.6</v>
      </c>
      <c r="D7630" s="2"/>
      <c r="E7630" s="31"/>
      <c r="G7630" s="43"/>
      <c r="H7630" s="2"/>
    </row>
    <row r="7631" spans="1:8">
      <c r="A7631" s="39">
        <v>2.51197847484172</v>
      </c>
      <c r="B7631" s="45">
        <v>7.1</v>
      </c>
      <c r="D7631" s="2"/>
      <c r="E7631" s="31"/>
      <c r="G7631" s="43"/>
      <c r="H7631" s="2"/>
    </row>
    <row r="7632" spans="1:8">
      <c r="A7632" s="39">
        <v>2.51179026824953</v>
      </c>
      <c r="B7632" s="45">
        <v>9.4</v>
      </c>
      <c r="D7632" s="2"/>
      <c r="E7632" s="31"/>
      <c r="G7632" s="43"/>
      <c r="H7632" s="2"/>
    </row>
    <row r="7633" spans="1:8">
      <c r="A7633" s="39">
        <v>2.51168610275807</v>
      </c>
      <c r="B7633" s="45">
        <v>4.5</v>
      </c>
      <c r="D7633" s="2"/>
      <c r="E7633" s="31"/>
      <c r="G7633" s="43"/>
      <c r="H7633" s="2"/>
    </row>
    <row r="7634" spans="1:8">
      <c r="A7634" s="39">
        <v>2.51162829454511</v>
      </c>
      <c r="B7634" s="45">
        <v>6.5</v>
      </c>
      <c r="D7634" s="2"/>
      <c r="E7634" s="31"/>
      <c r="G7634" s="43"/>
      <c r="H7634" s="2"/>
    </row>
    <row r="7635" spans="1:8">
      <c r="A7635" s="39">
        <v>2.51162829454511</v>
      </c>
      <c r="B7635" s="45">
        <v>8</v>
      </c>
      <c r="D7635" s="2"/>
      <c r="E7635" s="31"/>
      <c r="G7635" s="43"/>
      <c r="H7635" s="2"/>
    </row>
    <row r="7636" spans="1:8">
      <c r="A7636" s="39">
        <v>2.51141459106201</v>
      </c>
      <c r="B7636" s="45">
        <v>11</v>
      </c>
      <c r="D7636" s="2"/>
      <c r="E7636" s="31"/>
      <c r="G7636" s="43"/>
      <c r="H7636" s="2"/>
    </row>
    <row r="7637" spans="1:8">
      <c r="A7637" s="39">
        <v>2.51125127141854</v>
      </c>
      <c r="B7637" s="45">
        <v>8</v>
      </c>
      <c r="D7637" s="2"/>
      <c r="E7637" s="31"/>
      <c r="G7637" s="43"/>
      <c r="H7637" s="2"/>
    </row>
    <row r="7638" spans="1:8">
      <c r="A7638" s="39">
        <v>2.51090049729952</v>
      </c>
      <c r="B7638" s="45">
        <v>6</v>
      </c>
      <c r="D7638" s="2"/>
      <c r="E7638" s="31"/>
      <c r="G7638" s="43"/>
      <c r="H7638" s="2"/>
    </row>
    <row r="7639" spans="1:8">
      <c r="A7639" s="39">
        <v>2.5105237942252</v>
      </c>
      <c r="B7639" s="45">
        <v>8</v>
      </c>
      <c r="D7639" s="2"/>
      <c r="E7639" s="31"/>
      <c r="G7639" s="43"/>
      <c r="H7639" s="2"/>
    </row>
    <row r="7640" spans="1:8">
      <c r="A7640" s="39">
        <v>2.51027860143963</v>
      </c>
      <c r="B7640" s="45">
        <v>21</v>
      </c>
      <c r="D7640" s="2"/>
      <c r="E7640" s="31"/>
      <c r="G7640" s="43"/>
      <c r="H7640" s="2"/>
    </row>
    <row r="7641" spans="1:8">
      <c r="A7641" s="39">
        <v>2.51027860143963</v>
      </c>
      <c r="B7641" s="45">
        <v>5</v>
      </c>
      <c r="D7641" s="2"/>
      <c r="E7641" s="31"/>
      <c r="G7641" s="43"/>
      <c r="H7641" s="2"/>
    </row>
    <row r="7642" spans="1:8">
      <c r="A7642" s="39">
        <v>2.51006798806412</v>
      </c>
      <c r="B7642" s="45">
        <v>9.1</v>
      </c>
      <c r="D7642" s="2"/>
      <c r="E7642" s="31"/>
      <c r="G7642" s="43"/>
      <c r="H7642" s="2"/>
    </row>
    <row r="7643" spans="1:8">
      <c r="A7643" s="39">
        <v>2.50992508644267</v>
      </c>
      <c r="B7643" s="45">
        <v>22.4</v>
      </c>
      <c r="D7643" s="2"/>
      <c r="E7643" s="31"/>
      <c r="G7643" s="43"/>
      <c r="H7643" s="2"/>
    </row>
    <row r="7644" spans="1:8">
      <c r="A7644" s="39">
        <v>2.50871710556274</v>
      </c>
      <c r="B7644" s="45">
        <v>1</v>
      </c>
      <c r="D7644" s="2"/>
      <c r="E7644" s="31"/>
      <c r="G7644" s="43"/>
      <c r="H7644" s="2"/>
    </row>
    <row r="7645" spans="1:8">
      <c r="A7645" s="39">
        <v>2.50834136264517</v>
      </c>
      <c r="B7645" s="45">
        <v>21</v>
      </c>
      <c r="D7645" s="2"/>
      <c r="E7645" s="31"/>
      <c r="G7645" s="43"/>
      <c r="H7645" s="2"/>
    </row>
    <row r="7646" spans="1:8">
      <c r="A7646" s="39">
        <v>2.50787169804362</v>
      </c>
      <c r="B7646" s="45">
        <v>3</v>
      </c>
      <c r="D7646" s="2"/>
      <c r="E7646" s="31"/>
      <c r="G7646" s="43"/>
      <c r="H7646" s="2"/>
    </row>
    <row r="7647" spans="1:8">
      <c r="A7647" s="39">
        <v>2.50761388545183</v>
      </c>
      <c r="B7647" s="45">
        <v>0</v>
      </c>
      <c r="D7647" s="2"/>
      <c r="E7647" s="31"/>
      <c r="G7647" s="43"/>
      <c r="H7647" s="2"/>
    </row>
    <row r="7648" spans="1:8">
      <c r="A7648" s="39">
        <v>2.50761388545183</v>
      </c>
      <c r="B7648" s="45">
        <v>11.6</v>
      </c>
      <c r="D7648" s="2"/>
      <c r="E7648" s="31"/>
      <c r="G7648" s="43"/>
      <c r="H7648" s="2"/>
    </row>
    <row r="7649" spans="1:8">
      <c r="A7649" s="39">
        <v>2.50761388545183</v>
      </c>
      <c r="B7649" s="45">
        <v>20.1</v>
      </c>
      <c r="D7649" s="2"/>
      <c r="E7649" s="31"/>
      <c r="G7649" s="43"/>
      <c r="H7649" s="2"/>
    </row>
    <row r="7650" spans="1:8">
      <c r="A7650" s="39">
        <v>2.50749505748865</v>
      </c>
      <c r="B7650" s="45">
        <v>11.5</v>
      </c>
      <c r="D7650" s="2"/>
      <c r="E7650" s="31"/>
      <c r="G7650" s="43"/>
      <c r="H7650" s="2"/>
    </row>
    <row r="7651" spans="1:8">
      <c r="A7651" s="39">
        <v>2.50749293673841</v>
      </c>
      <c r="B7651" s="45">
        <v>23</v>
      </c>
      <c r="D7651" s="2"/>
      <c r="E7651" s="31"/>
      <c r="G7651" s="43"/>
      <c r="H7651" s="2"/>
    </row>
    <row r="7652" spans="1:8">
      <c r="A7652" s="39">
        <v>2.50726151107155</v>
      </c>
      <c r="B7652" s="45">
        <v>6</v>
      </c>
      <c r="D7652" s="2"/>
      <c r="E7652" s="31"/>
      <c r="G7652" s="43"/>
      <c r="H7652" s="2"/>
    </row>
    <row r="7653" spans="1:8">
      <c r="A7653" s="39">
        <v>2.50688640825848</v>
      </c>
      <c r="B7653" s="45">
        <v>3</v>
      </c>
      <c r="D7653" s="2"/>
      <c r="E7653" s="31"/>
      <c r="G7653" s="43"/>
      <c r="H7653" s="2"/>
    </row>
    <row r="7654" spans="1:8">
      <c r="A7654" s="39">
        <v>2.50677671481989</v>
      </c>
      <c r="B7654" s="45">
        <v>9.2</v>
      </c>
      <c r="D7654" s="2"/>
      <c r="E7654" s="31"/>
      <c r="G7654" s="43"/>
      <c r="H7654" s="2"/>
    </row>
    <row r="7655" spans="1:8">
      <c r="A7655" s="39">
        <v>2.50677671481989</v>
      </c>
      <c r="B7655" s="45">
        <v>7.4</v>
      </c>
      <c r="D7655" s="2"/>
      <c r="E7655" s="31"/>
      <c r="G7655" s="43"/>
      <c r="H7655" s="2"/>
    </row>
    <row r="7656" spans="1:8">
      <c r="A7656" s="39">
        <v>2.50675984814353</v>
      </c>
      <c r="B7656" s="45">
        <v>13</v>
      </c>
      <c r="D7656" s="2"/>
      <c r="E7656" s="31"/>
      <c r="G7656" s="43"/>
      <c r="H7656" s="2"/>
    </row>
    <row r="7657" spans="1:8">
      <c r="A7657" s="39">
        <v>2.50641860386063</v>
      </c>
      <c r="B7657" s="45">
        <v>9</v>
      </c>
      <c r="D7657" s="2"/>
      <c r="E7657" s="31"/>
      <c r="G7657" s="43"/>
      <c r="H7657" s="2"/>
    </row>
    <row r="7658" spans="1:8">
      <c r="A7658" s="39">
        <v>2.50602817907045</v>
      </c>
      <c r="B7658" s="45">
        <v>14</v>
      </c>
      <c r="D7658" s="2"/>
      <c r="E7658" s="31"/>
      <c r="G7658" s="43"/>
      <c r="H7658" s="2"/>
    </row>
    <row r="7659" spans="1:8">
      <c r="A7659" s="39">
        <v>2.50581830964456</v>
      </c>
      <c r="B7659" s="45">
        <v>6.2</v>
      </c>
      <c r="D7659" s="2"/>
      <c r="E7659" s="31"/>
      <c r="G7659" s="43"/>
      <c r="H7659" s="2"/>
    </row>
    <row r="7660" spans="1:8">
      <c r="A7660" s="39">
        <v>2.50581830964456</v>
      </c>
      <c r="B7660" s="45">
        <v>1.1</v>
      </c>
      <c r="D7660" s="2"/>
      <c r="E7660" s="31"/>
      <c r="G7660" s="43"/>
      <c r="H7660" s="2"/>
    </row>
    <row r="7661" spans="1:8">
      <c r="A7661" s="39">
        <v>2.50535234682509</v>
      </c>
      <c r="B7661" s="45">
        <v>7</v>
      </c>
      <c r="D7661" s="2"/>
      <c r="E7661" s="31"/>
      <c r="G7661" s="43"/>
      <c r="H7661" s="2"/>
    </row>
    <row r="7662" spans="1:8">
      <c r="A7662" s="39">
        <v>2.50513384684488</v>
      </c>
      <c r="B7662" s="45">
        <v>7.9</v>
      </c>
      <c r="D7662" s="2"/>
      <c r="E7662" s="31"/>
      <c r="G7662" s="43"/>
      <c r="H7662" s="2"/>
    </row>
    <row r="7663" spans="1:8">
      <c r="A7663" s="39">
        <v>2.50507811933477</v>
      </c>
      <c r="B7663" s="45">
        <v>12.6</v>
      </c>
      <c r="D7663" s="2"/>
      <c r="E7663" s="31"/>
      <c r="G7663" s="43"/>
      <c r="H7663" s="2"/>
    </row>
    <row r="7664" spans="1:8">
      <c r="A7664" s="39">
        <v>2.50468080938821</v>
      </c>
      <c r="B7664" s="45">
        <v>9.7</v>
      </c>
      <c r="D7664" s="2"/>
      <c r="E7664" s="31"/>
      <c r="G7664" s="43"/>
      <c r="H7664" s="2"/>
    </row>
    <row r="7665" spans="1:8">
      <c r="A7665" s="39">
        <v>2.50397649948511</v>
      </c>
      <c r="B7665" s="45">
        <v>5.1</v>
      </c>
      <c r="D7665" s="2"/>
      <c r="E7665" s="31"/>
      <c r="G7665" s="43"/>
      <c r="H7665" s="2"/>
    </row>
    <row r="7666" spans="1:8">
      <c r="A7666" s="39">
        <v>2.50397649948511</v>
      </c>
      <c r="B7666" s="45">
        <v>25</v>
      </c>
      <c r="D7666" s="2"/>
      <c r="E7666" s="31"/>
      <c r="G7666" s="43"/>
      <c r="H7666" s="2"/>
    </row>
    <row r="7667" spans="1:8">
      <c r="A7667" s="39">
        <v>2.50324902229177</v>
      </c>
      <c r="B7667" s="45">
        <v>8.9</v>
      </c>
      <c r="D7667" s="2"/>
      <c r="E7667" s="31"/>
      <c r="G7667" s="43"/>
      <c r="H7667" s="2"/>
    </row>
    <row r="7668" spans="1:8">
      <c r="A7668" s="39">
        <v>2.50266167157573</v>
      </c>
      <c r="B7668" s="45">
        <v>9</v>
      </c>
      <c r="D7668" s="2"/>
      <c r="E7668" s="31"/>
      <c r="G7668" s="43"/>
      <c r="H7668" s="2"/>
    </row>
    <row r="7669" spans="1:8">
      <c r="A7669" s="39">
        <v>2.50186656128778</v>
      </c>
      <c r="B7669" s="45">
        <v>4</v>
      </c>
      <c r="D7669" s="2"/>
      <c r="E7669" s="31"/>
      <c r="G7669" s="43"/>
      <c r="H7669" s="2"/>
    </row>
    <row r="7670" spans="1:8">
      <c r="A7670" s="39">
        <v>2.50183359352898</v>
      </c>
      <c r="B7670" s="45">
        <v>5</v>
      </c>
      <c r="D7670" s="2"/>
      <c r="E7670" s="31"/>
      <c r="G7670" s="43"/>
      <c r="H7670" s="2"/>
    </row>
    <row r="7671" spans="1:8">
      <c r="A7671" s="39">
        <v>2.50171153284646</v>
      </c>
      <c r="B7671" s="45">
        <v>7</v>
      </c>
      <c r="D7671" s="2"/>
      <c r="E7671" s="31"/>
      <c r="G7671" s="43"/>
      <c r="H7671" s="2"/>
    </row>
    <row r="7672" spans="1:8">
      <c r="A7672" s="39">
        <v>2.50171153284646</v>
      </c>
      <c r="B7672" s="45">
        <v>4.7</v>
      </c>
      <c r="D7672" s="2"/>
      <c r="E7672" s="31"/>
      <c r="G7672" s="43"/>
      <c r="H7672" s="2"/>
    </row>
    <row r="7673" spans="1:8">
      <c r="A7673" s="39">
        <v>2.50171153284646</v>
      </c>
      <c r="B7673" s="45">
        <v>9.7</v>
      </c>
      <c r="D7673" s="2"/>
      <c r="E7673" s="31"/>
      <c r="G7673" s="43"/>
      <c r="H7673" s="2"/>
    </row>
    <row r="7674" spans="1:8">
      <c r="A7674" s="39">
        <v>2.5014391331068</v>
      </c>
      <c r="B7674" s="45">
        <v>15.7</v>
      </c>
      <c r="D7674" s="2"/>
      <c r="E7674" s="31"/>
      <c r="G7674" s="43"/>
      <c r="H7674" s="2"/>
    </row>
    <row r="7675" spans="1:8">
      <c r="A7675" s="39">
        <v>2.5014391331068</v>
      </c>
      <c r="B7675" s="45">
        <v>4.5</v>
      </c>
      <c r="D7675" s="2"/>
      <c r="E7675" s="31"/>
      <c r="G7675" s="43"/>
      <c r="H7675" s="2"/>
    </row>
    <row r="7676" spans="1:8">
      <c r="A7676" s="39">
        <v>2.50033071755321</v>
      </c>
      <c r="B7676" s="45">
        <v>11</v>
      </c>
      <c r="D7676" s="2"/>
      <c r="E7676" s="31"/>
      <c r="G7676" s="43"/>
      <c r="H7676" s="2"/>
    </row>
    <row r="7677" spans="1:8">
      <c r="A7677" s="39">
        <v>2.50033071755321</v>
      </c>
      <c r="B7677" s="45">
        <v>12</v>
      </c>
      <c r="D7677" s="2"/>
      <c r="E7677" s="31"/>
      <c r="G7677" s="43"/>
      <c r="H7677" s="2"/>
    </row>
    <row r="7678" spans="1:8">
      <c r="A7678" s="39">
        <v>2.50033071755321</v>
      </c>
      <c r="B7678" s="45">
        <v>9</v>
      </c>
      <c r="D7678" s="2"/>
      <c r="E7678" s="31"/>
      <c r="G7678" s="43"/>
      <c r="H7678" s="2"/>
    </row>
    <row r="7679" spans="1:8">
      <c r="A7679" s="39">
        <v>2.49994364385092</v>
      </c>
      <c r="B7679" s="45">
        <v>9.9</v>
      </c>
      <c r="D7679" s="2"/>
      <c r="E7679" s="31"/>
      <c r="G7679" s="43"/>
      <c r="H7679" s="2"/>
    </row>
    <row r="7680" spans="1:8">
      <c r="A7680" s="39">
        <v>2.49972234155132</v>
      </c>
      <c r="B7680" s="45">
        <v>20</v>
      </c>
      <c r="D7680" s="2"/>
      <c r="E7680" s="31"/>
      <c r="G7680" s="43"/>
      <c r="H7680" s="2"/>
    </row>
    <row r="7681" spans="1:8">
      <c r="A7681" s="39">
        <v>2.49972234155132</v>
      </c>
      <c r="B7681" s="45">
        <v>12.8</v>
      </c>
      <c r="D7681" s="2"/>
      <c r="E7681" s="31"/>
      <c r="G7681" s="43"/>
      <c r="H7681" s="2"/>
    </row>
    <row r="7682" spans="1:8">
      <c r="A7682" s="39">
        <v>2.49905231318734</v>
      </c>
      <c r="B7682" s="45">
        <v>10.7</v>
      </c>
      <c r="D7682" s="2"/>
      <c r="E7682" s="31"/>
      <c r="G7682" s="43"/>
      <c r="H7682" s="2"/>
    </row>
    <row r="7683" spans="1:8">
      <c r="A7683" s="39">
        <v>2.4990185908921</v>
      </c>
      <c r="B7683" s="45">
        <v>5.2</v>
      </c>
      <c r="D7683" s="2"/>
      <c r="E7683" s="31"/>
      <c r="G7683" s="43"/>
      <c r="H7683" s="2"/>
    </row>
    <row r="7684" spans="1:8">
      <c r="A7684" s="39">
        <v>2.49828921884803</v>
      </c>
      <c r="B7684" s="45">
        <v>7.7</v>
      </c>
      <c r="D7684" s="2"/>
      <c r="E7684" s="31"/>
      <c r="G7684" s="43"/>
      <c r="H7684" s="2"/>
    </row>
    <row r="7685" spans="1:8">
      <c r="A7685" s="39">
        <v>2.49780014687883</v>
      </c>
      <c r="B7685" s="45">
        <v>15.1</v>
      </c>
      <c r="D7685" s="2"/>
      <c r="E7685" s="31"/>
      <c r="G7685" s="43"/>
      <c r="H7685" s="2"/>
    </row>
    <row r="7686" spans="1:8">
      <c r="A7686" s="39">
        <v>2.49780014687883</v>
      </c>
      <c r="B7686" s="45">
        <v>14.9</v>
      </c>
      <c r="D7686" s="2"/>
      <c r="E7686" s="31"/>
      <c r="G7686" s="43"/>
      <c r="H7686" s="2"/>
    </row>
    <row r="7687" spans="1:8">
      <c r="A7687" s="39">
        <v>2.49742920474503</v>
      </c>
      <c r="B7687" s="45">
        <v>10.7</v>
      </c>
      <c r="D7687" s="2"/>
      <c r="E7687" s="31"/>
      <c r="G7687" s="43"/>
      <c r="H7687" s="2"/>
    </row>
    <row r="7688" spans="1:8">
      <c r="A7688" s="39">
        <v>2.49707234963323</v>
      </c>
      <c r="B7688" s="45">
        <v>2</v>
      </c>
      <c r="D7688" s="2"/>
      <c r="E7688" s="31"/>
      <c r="G7688" s="43"/>
      <c r="H7688" s="2"/>
    </row>
    <row r="7689" spans="1:8">
      <c r="A7689" s="39">
        <v>2.49694162711201</v>
      </c>
      <c r="B7689" s="45">
        <v>14.7</v>
      </c>
      <c r="D7689" s="2"/>
      <c r="E7689" s="31"/>
      <c r="G7689" s="43"/>
      <c r="H7689" s="2"/>
    </row>
    <row r="7690" spans="1:8">
      <c r="A7690" s="39">
        <v>2.49674960796061</v>
      </c>
      <c r="B7690" s="45">
        <v>16</v>
      </c>
      <c r="D7690" s="2"/>
      <c r="E7690" s="31"/>
      <c r="G7690" s="43"/>
      <c r="H7690" s="2"/>
    </row>
    <row r="7691" spans="1:8">
      <c r="A7691" s="39">
        <v>2.49674960796061</v>
      </c>
      <c r="B7691" s="45">
        <v>10.5</v>
      </c>
      <c r="D7691" s="2"/>
      <c r="E7691" s="31"/>
      <c r="G7691" s="43"/>
      <c r="H7691" s="2"/>
    </row>
    <row r="7692" spans="1:8">
      <c r="A7692" s="39">
        <v>2.4962380650869</v>
      </c>
      <c r="B7692" s="45">
        <v>8</v>
      </c>
      <c r="D7692" s="2"/>
      <c r="E7692" s="31"/>
      <c r="G7692" s="43"/>
      <c r="H7692" s="2"/>
    </row>
    <row r="7693" spans="1:8">
      <c r="A7693" s="39">
        <v>2.49620358825522</v>
      </c>
      <c r="B7693" s="45">
        <v>10.9</v>
      </c>
      <c r="D7693" s="2"/>
      <c r="E7693" s="31"/>
      <c r="G7693" s="43"/>
      <c r="H7693" s="2"/>
    </row>
    <row r="7694" spans="1:8">
      <c r="A7694" s="39">
        <v>2.49597425035835</v>
      </c>
      <c r="B7694" s="45">
        <v>7.4</v>
      </c>
      <c r="D7694" s="2"/>
      <c r="E7694" s="31"/>
      <c r="G7694" s="43"/>
      <c r="H7694" s="2"/>
    </row>
    <row r="7695" spans="1:8">
      <c r="A7695" s="39">
        <v>2.49597425035835</v>
      </c>
      <c r="B7695" s="45">
        <v>11</v>
      </c>
      <c r="D7695" s="2"/>
      <c r="E7695" s="31"/>
      <c r="G7695" s="43"/>
      <c r="H7695" s="2"/>
    </row>
    <row r="7696" spans="1:8">
      <c r="A7696" s="39">
        <v>2.49597425035835</v>
      </c>
      <c r="B7696" s="45">
        <v>17.4</v>
      </c>
      <c r="D7696" s="2"/>
      <c r="E7696" s="31"/>
      <c r="G7696" s="43"/>
      <c r="H7696" s="2"/>
    </row>
    <row r="7697" spans="1:8">
      <c r="A7697" s="39">
        <v>2.49479608693678</v>
      </c>
      <c r="B7697" s="45">
        <v>14.4</v>
      </c>
      <c r="D7697" s="2"/>
      <c r="E7697" s="31"/>
      <c r="G7697" s="43"/>
      <c r="H7697" s="2"/>
    </row>
    <row r="7698" spans="1:8">
      <c r="A7698" s="39">
        <v>2.49479608693678</v>
      </c>
      <c r="B7698" s="45">
        <v>13.3</v>
      </c>
      <c r="D7698" s="2"/>
      <c r="E7698" s="31"/>
      <c r="G7698" s="43"/>
      <c r="H7698" s="2"/>
    </row>
    <row r="7699" spans="1:8">
      <c r="A7699" s="39">
        <v>2.49479608693678</v>
      </c>
      <c r="B7699" s="45">
        <v>18.7</v>
      </c>
      <c r="D7699" s="2"/>
      <c r="E7699" s="31"/>
      <c r="G7699" s="43"/>
      <c r="H7699" s="2"/>
    </row>
    <row r="7700" spans="1:8">
      <c r="A7700" s="39">
        <v>2.49409233627756</v>
      </c>
      <c r="B7700" s="45">
        <v>30</v>
      </c>
      <c r="D7700" s="2"/>
      <c r="E7700" s="31"/>
      <c r="G7700" s="43"/>
      <c r="H7700" s="2"/>
    </row>
    <row r="7701" spans="1:8">
      <c r="A7701" s="39">
        <v>2.49388472028653</v>
      </c>
      <c r="B7701" s="45">
        <v>7</v>
      </c>
      <c r="D7701" s="2"/>
      <c r="E7701" s="31"/>
      <c r="G7701" s="43"/>
      <c r="H7701" s="2"/>
    </row>
    <row r="7702" spans="1:8">
      <c r="A7702" s="39">
        <v>2.49343336340526</v>
      </c>
      <c r="B7702" s="45">
        <v>4.5</v>
      </c>
      <c r="D7702" s="2"/>
      <c r="E7702" s="31"/>
      <c r="G7702" s="43"/>
      <c r="H7702" s="2"/>
    </row>
    <row r="7703" spans="1:8">
      <c r="A7703" s="39">
        <v>2.49268483495912</v>
      </c>
      <c r="B7703" s="45">
        <v>11</v>
      </c>
      <c r="D7703" s="2"/>
      <c r="E7703" s="31"/>
      <c r="G7703" s="43"/>
      <c r="H7703" s="2"/>
    </row>
    <row r="7704" spans="1:8">
      <c r="A7704" s="39">
        <v>2.49209416549023</v>
      </c>
      <c r="B7704" s="45">
        <v>9.8</v>
      </c>
      <c r="D7704" s="2"/>
      <c r="E7704" s="31"/>
      <c r="G7704" s="43"/>
      <c r="H7704" s="2"/>
    </row>
    <row r="7705" spans="1:8">
      <c r="A7705" s="39">
        <v>2.49201669293625</v>
      </c>
      <c r="B7705" s="45">
        <v>6</v>
      </c>
      <c r="D7705" s="2"/>
      <c r="E7705" s="31"/>
      <c r="G7705" s="43"/>
      <c r="H7705" s="2"/>
    </row>
    <row r="7706" spans="1:8">
      <c r="A7706" s="39">
        <v>2.49201669293625</v>
      </c>
      <c r="B7706" s="45">
        <v>5.9</v>
      </c>
      <c r="D7706" s="2"/>
      <c r="E7706" s="31"/>
      <c r="G7706" s="43"/>
      <c r="H7706" s="2"/>
    </row>
    <row r="7707" spans="1:8">
      <c r="A7707" s="39">
        <v>2.4919810842999</v>
      </c>
      <c r="B7707" s="45">
        <v>10.5</v>
      </c>
      <c r="D7707" s="2"/>
      <c r="E7707" s="31"/>
      <c r="G7707" s="43"/>
      <c r="H7707" s="2"/>
    </row>
    <row r="7708" spans="1:8">
      <c r="A7708" s="39">
        <v>2.4919810842999</v>
      </c>
      <c r="B7708" s="45">
        <v>15</v>
      </c>
      <c r="D7708" s="2"/>
      <c r="E7708" s="31"/>
      <c r="G7708" s="43"/>
      <c r="H7708" s="2"/>
    </row>
    <row r="7709" spans="1:8">
      <c r="A7709" s="39">
        <v>2.49173605453097</v>
      </c>
      <c r="B7709" s="45">
        <v>15</v>
      </c>
      <c r="D7709" s="2"/>
      <c r="E7709" s="31"/>
      <c r="G7709" s="43"/>
      <c r="H7709" s="2"/>
    </row>
    <row r="7710" spans="1:8">
      <c r="A7710" s="39">
        <v>2.49144459085119</v>
      </c>
      <c r="B7710" s="45">
        <v>2</v>
      </c>
      <c r="D7710" s="2"/>
      <c r="E7710" s="31"/>
      <c r="G7710" s="43"/>
      <c r="H7710" s="2"/>
    </row>
    <row r="7711" spans="1:8">
      <c r="A7711" s="39">
        <v>2.49144459085119</v>
      </c>
      <c r="B7711" s="45">
        <v>2</v>
      </c>
      <c r="D7711" s="2"/>
      <c r="E7711" s="31"/>
      <c r="G7711" s="43"/>
      <c r="H7711" s="2"/>
    </row>
    <row r="7712" spans="1:8">
      <c r="A7712" s="39">
        <v>2.49057358298146</v>
      </c>
      <c r="B7712" s="45">
        <v>23.4</v>
      </c>
      <c r="D7712" s="2"/>
      <c r="E7712" s="31"/>
      <c r="G7712" s="43"/>
      <c r="H7712" s="2"/>
    </row>
    <row r="7713" spans="1:8">
      <c r="A7713" s="39">
        <v>2.4901399432868</v>
      </c>
      <c r="B7713" s="45">
        <v>8</v>
      </c>
      <c r="D7713" s="2"/>
      <c r="E7713" s="31"/>
      <c r="G7713" s="43"/>
      <c r="H7713" s="2"/>
    </row>
    <row r="7714" spans="1:8">
      <c r="A7714" s="39">
        <v>2.48986894309579</v>
      </c>
      <c r="B7714" s="45">
        <v>16.8</v>
      </c>
      <c r="D7714" s="2"/>
      <c r="E7714" s="31"/>
      <c r="G7714" s="43"/>
      <c r="H7714" s="2"/>
    </row>
    <row r="7715" spans="1:8">
      <c r="A7715" s="39">
        <v>2.48958738877541</v>
      </c>
      <c r="B7715" s="45">
        <v>3.8</v>
      </c>
      <c r="D7715" s="2"/>
      <c r="E7715" s="31"/>
      <c r="G7715" s="43"/>
      <c r="H7715" s="2"/>
    </row>
    <row r="7716" spans="1:8">
      <c r="A7716" s="39">
        <v>2.48958738877541</v>
      </c>
      <c r="B7716" s="45">
        <v>14</v>
      </c>
      <c r="D7716" s="2"/>
      <c r="E7716" s="31"/>
      <c r="G7716" s="43"/>
      <c r="H7716" s="2"/>
    </row>
    <row r="7717" spans="1:8">
      <c r="A7717" s="39">
        <v>2.48958738877541</v>
      </c>
      <c r="B7717" s="45">
        <v>8.7</v>
      </c>
      <c r="D7717" s="2"/>
      <c r="E7717" s="31"/>
      <c r="G7717" s="43"/>
      <c r="H7717" s="2"/>
    </row>
    <row r="7718" spans="1:8">
      <c r="A7718" s="39">
        <v>2.48939120245214</v>
      </c>
      <c r="B7718" s="45">
        <v>0</v>
      </c>
      <c r="D7718" s="2"/>
      <c r="E7718" s="31"/>
      <c r="G7718" s="43"/>
      <c r="H7718" s="2"/>
    </row>
    <row r="7719" spans="1:8">
      <c r="A7719" s="39">
        <v>2.48919564159685</v>
      </c>
      <c r="B7719" s="45">
        <v>4</v>
      </c>
      <c r="D7719" s="2"/>
      <c r="E7719" s="31"/>
      <c r="G7719" s="43"/>
      <c r="H7719" s="2"/>
    </row>
    <row r="7720" spans="1:8">
      <c r="A7720" s="39">
        <v>2.48919564159685</v>
      </c>
      <c r="B7720" s="45">
        <v>8.5</v>
      </c>
      <c r="D7720" s="2"/>
      <c r="E7720" s="31"/>
      <c r="G7720" s="43"/>
      <c r="H7720" s="2"/>
    </row>
    <row r="7721" spans="1:8">
      <c r="A7721" s="39">
        <v>2.48919564159685</v>
      </c>
      <c r="B7721" s="45">
        <v>15.3</v>
      </c>
      <c r="D7721" s="2"/>
      <c r="E7721" s="31"/>
      <c r="G7721" s="43"/>
      <c r="H7721" s="2"/>
    </row>
    <row r="7722" spans="1:8">
      <c r="A7722" s="39">
        <v>2.48919564159685</v>
      </c>
      <c r="B7722" s="45">
        <v>14.7</v>
      </c>
      <c r="D7722" s="2"/>
      <c r="E7722" s="31"/>
      <c r="G7722" s="43"/>
      <c r="H7722" s="2"/>
    </row>
    <row r="7723" spans="1:8">
      <c r="A7723" s="39">
        <v>2.48869947842492</v>
      </c>
      <c r="B7723" s="45">
        <v>18</v>
      </c>
      <c r="D7723" s="2"/>
      <c r="E7723" s="31"/>
      <c r="G7723" s="43"/>
      <c r="H7723" s="2"/>
    </row>
    <row r="7724" spans="1:8">
      <c r="A7724" s="39">
        <v>2.4885223400979</v>
      </c>
      <c r="B7724" s="45">
        <v>10.7</v>
      </c>
      <c r="D7724" s="2"/>
      <c r="E7724" s="31"/>
      <c r="G7724" s="43"/>
      <c r="H7724" s="2"/>
    </row>
    <row r="7725" spans="1:8">
      <c r="A7725" s="39">
        <v>2.4884623310038</v>
      </c>
      <c r="B7725" s="45">
        <v>8</v>
      </c>
      <c r="D7725" s="2"/>
      <c r="E7725" s="31"/>
      <c r="G7725" s="43"/>
      <c r="H7725" s="2"/>
    </row>
    <row r="7726" spans="1:8">
      <c r="A7726" s="39">
        <v>2.4884623310038</v>
      </c>
      <c r="B7726" s="45">
        <v>10</v>
      </c>
      <c r="D7726" s="2"/>
      <c r="E7726" s="31"/>
      <c r="G7726" s="43"/>
      <c r="H7726" s="2"/>
    </row>
    <row r="7727" spans="1:8">
      <c r="A7727" s="39">
        <v>2.48802227685277</v>
      </c>
      <c r="B7727" s="45">
        <v>11.9</v>
      </c>
      <c r="D7727" s="2"/>
      <c r="E7727" s="31"/>
      <c r="G7727" s="43"/>
      <c r="H7727" s="2"/>
    </row>
    <row r="7728" spans="1:8">
      <c r="A7728" s="39">
        <v>2.48802227685277</v>
      </c>
      <c r="B7728" s="45">
        <v>1.5</v>
      </c>
      <c r="D7728" s="2"/>
      <c r="E7728" s="31"/>
      <c r="G7728" s="43"/>
      <c r="H7728" s="2"/>
    </row>
    <row r="7729" spans="1:8">
      <c r="A7729" s="39">
        <v>2.48797200123158</v>
      </c>
      <c r="B7729" s="45">
        <v>9.2</v>
      </c>
      <c r="D7729" s="2"/>
      <c r="E7729" s="31"/>
      <c r="G7729" s="43"/>
      <c r="H7729" s="2"/>
    </row>
    <row r="7730" spans="1:8">
      <c r="A7730" s="39">
        <v>2.4866533512534</v>
      </c>
      <c r="B7730" s="45">
        <v>4.1</v>
      </c>
      <c r="D7730" s="2"/>
      <c r="E7730" s="31"/>
      <c r="G7730" s="43"/>
      <c r="H7730" s="2"/>
    </row>
    <row r="7731" spans="1:8">
      <c r="A7731" s="39">
        <v>2.48651704684489</v>
      </c>
      <c r="B7731" s="45">
        <v>2</v>
      </c>
      <c r="D7731" s="2"/>
      <c r="E7731" s="31"/>
      <c r="G7731" s="43"/>
      <c r="H7731" s="2"/>
    </row>
    <row r="7732" spans="1:8">
      <c r="A7732" s="39">
        <v>2.48600627918281</v>
      </c>
      <c r="B7732" s="45">
        <v>12.5</v>
      </c>
      <c r="D7732" s="2"/>
      <c r="E7732" s="31"/>
      <c r="G7732" s="43"/>
      <c r="H7732" s="2"/>
    </row>
    <row r="7733" spans="1:8">
      <c r="A7733" s="39">
        <v>2.48600627918281</v>
      </c>
      <c r="B7733" s="45">
        <v>2</v>
      </c>
      <c r="D7733" s="2"/>
      <c r="E7733" s="31"/>
      <c r="G7733" s="43"/>
      <c r="H7733" s="2"/>
    </row>
    <row r="7734" spans="1:8">
      <c r="A7734" s="39">
        <v>2.48578956965155</v>
      </c>
      <c r="B7734" s="45">
        <v>0</v>
      </c>
      <c r="D7734" s="2"/>
      <c r="E7734" s="31"/>
      <c r="G7734" s="43"/>
      <c r="H7734" s="2"/>
    </row>
    <row r="7735" spans="1:8">
      <c r="A7735" s="39">
        <v>2.48515583260318</v>
      </c>
      <c r="B7735" s="45">
        <v>9.3</v>
      </c>
      <c r="D7735" s="2"/>
      <c r="E7735" s="31"/>
      <c r="G7735" s="43"/>
      <c r="H7735" s="2"/>
    </row>
    <row r="7736" spans="1:8">
      <c r="A7736" s="39">
        <v>2.48506209245821</v>
      </c>
      <c r="B7736" s="45">
        <v>13.6</v>
      </c>
      <c r="D7736" s="2"/>
      <c r="E7736" s="31"/>
      <c r="G7736" s="43"/>
      <c r="H7736" s="2"/>
    </row>
    <row r="7737" spans="1:8">
      <c r="A7737" s="39">
        <v>2.48498107268516</v>
      </c>
      <c r="B7737" s="45">
        <v>8</v>
      </c>
      <c r="D7737" s="2"/>
      <c r="E7737" s="31"/>
      <c r="G7737" s="43"/>
      <c r="H7737" s="2"/>
    </row>
    <row r="7738" spans="1:8">
      <c r="A7738" s="39">
        <v>2.48498107268516</v>
      </c>
      <c r="B7738" s="45">
        <v>6.2</v>
      </c>
      <c r="D7738" s="2"/>
      <c r="E7738" s="31"/>
      <c r="G7738" s="43"/>
      <c r="H7738" s="2"/>
    </row>
    <row r="7739" spans="1:8">
      <c r="A7739" s="39">
        <v>2.48469979645813</v>
      </c>
      <c r="B7739" s="45">
        <v>11.8</v>
      </c>
      <c r="D7739" s="2"/>
      <c r="E7739" s="31"/>
      <c r="G7739" s="43"/>
      <c r="H7739" s="2"/>
    </row>
    <row r="7740" spans="1:8">
      <c r="A7740" s="39">
        <v>2.48459996285435</v>
      </c>
      <c r="B7740" s="45">
        <v>10.5</v>
      </c>
      <c r="D7740" s="2"/>
      <c r="E7740" s="31"/>
      <c r="G7740" s="43"/>
      <c r="H7740" s="2"/>
    </row>
    <row r="7741" spans="1:8">
      <c r="A7741" s="39">
        <v>2.48459996285435</v>
      </c>
      <c r="B7741" s="45">
        <v>15.2</v>
      </c>
      <c r="D7741" s="2"/>
      <c r="E7741" s="31"/>
      <c r="G7741" s="43"/>
      <c r="H7741" s="2"/>
    </row>
    <row r="7742" spans="1:8">
      <c r="A7742" s="39">
        <v>2.48433461526486</v>
      </c>
      <c r="B7742" s="45">
        <v>0</v>
      </c>
      <c r="D7742" s="2"/>
      <c r="E7742" s="31"/>
      <c r="G7742" s="43"/>
      <c r="H7742" s="2"/>
    </row>
    <row r="7743" spans="1:8">
      <c r="A7743" s="39">
        <v>2.48427751066005</v>
      </c>
      <c r="B7743" s="45">
        <v>11.3</v>
      </c>
      <c r="D7743" s="2"/>
      <c r="E7743" s="31"/>
      <c r="G7743" s="43"/>
      <c r="H7743" s="2"/>
    </row>
    <row r="7744" spans="1:8">
      <c r="A7744" s="39">
        <v>2.48357394863494</v>
      </c>
      <c r="B7744" s="45">
        <v>9.9</v>
      </c>
      <c r="D7744" s="2"/>
      <c r="E7744" s="31"/>
      <c r="G7744" s="43"/>
      <c r="H7744" s="2"/>
    </row>
    <row r="7745" spans="1:8">
      <c r="A7745" s="39">
        <v>2.48283232573003</v>
      </c>
      <c r="B7745" s="45">
        <v>8</v>
      </c>
      <c r="D7745" s="2"/>
      <c r="E7745" s="31"/>
      <c r="G7745" s="43"/>
      <c r="H7745" s="2"/>
    </row>
    <row r="7746" spans="1:8">
      <c r="A7746" s="39">
        <v>2.48242516959021</v>
      </c>
      <c r="B7746" s="45">
        <v>3.8</v>
      </c>
      <c r="D7746" s="2"/>
      <c r="E7746" s="31"/>
      <c r="G7746" s="43"/>
      <c r="H7746" s="2"/>
    </row>
    <row r="7747" spans="1:8">
      <c r="A7747" s="39">
        <v>2.48242516959021</v>
      </c>
      <c r="B7747" s="45">
        <v>12</v>
      </c>
      <c r="D7747" s="2"/>
      <c r="E7747" s="31"/>
      <c r="G7747" s="43"/>
      <c r="H7747" s="2"/>
    </row>
    <row r="7748" spans="1:8">
      <c r="A7748" s="39">
        <v>2.48212857507081</v>
      </c>
      <c r="B7748" s="45">
        <v>7.2</v>
      </c>
      <c r="D7748" s="2"/>
      <c r="E7748" s="31"/>
      <c r="G7748" s="43"/>
      <c r="H7748" s="2"/>
    </row>
    <row r="7749" spans="1:8">
      <c r="A7749" s="39">
        <v>2.48178860747576</v>
      </c>
      <c r="B7749" s="45">
        <v>6</v>
      </c>
      <c r="D7749" s="2"/>
      <c r="E7749" s="31"/>
      <c r="G7749" s="43"/>
      <c r="H7749" s="2"/>
    </row>
    <row r="7750" spans="1:8">
      <c r="A7750" s="39">
        <v>2.4816434027979</v>
      </c>
      <c r="B7750" s="45">
        <v>10.9</v>
      </c>
      <c r="D7750" s="2"/>
      <c r="E7750" s="31"/>
      <c r="G7750" s="43"/>
      <c r="H7750" s="2"/>
    </row>
    <row r="7751" spans="1:8">
      <c r="A7751" s="39">
        <v>2.48146326255961</v>
      </c>
      <c r="B7751" s="45">
        <v>11</v>
      </c>
      <c r="D7751" s="2"/>
      <c r="E7751" s="31"/>
      <c r="G7751" s="43"/>
      <c r="H7751" s="2"/>
    </row>
    <row r="7752" spans="1:8">
      <c r="A7752" s="39">
        <v>2.48142470649149</v>
      </c>
      <c r="B7752" s="45">
        <v>9.4</v>
      </c>
      <c r="D7752" s="2"/>
      <c r="E7752" s="31"/>
      <c r="G7752" s="43"/>
      <c r="H7752" s="2"/>
    </row>
    <row r="7753" spans="1:8">
      <c r="A7753" s="39">
        <v>2.48142470649149</v>
      </c>
      <c r="B7753" s="45">
        <v>0.4</v>
      </c>
      <c r="D7753" s="2"/>
      <c r="E7753" s="31"/>
      <c r="G7753" s="43"/>
      <c r="H7753" s="2"/>
    </row>
    <row r="7754" spans="1:8">
      <c r="A7754" s="39">
        <v>2.48117764885592</v>
      </c>
      <c r="B7754" s="45">
        <v>4.5</v>
      </c>
      <c r="D7754" s="2"/>
      <c r="E7754" s="31"/>
      <c r="G7754" s="43"/>
      <c r="H7754" s="2"/>
    </row>
    <row r="7755" spans="1:8">
      <c r="A7755" s="39">
        <v>2.48117764885592</v>
      </c>
      <c r="B7755" s="45">
        <v>6.6</v>
      </c>
      <c r="D7755" s="2"/>
      <c r="E7755" s="31"/>
      <c r="G7755" s="43"/>
      <c r="H7755" s="2"/>
    </row>
    <row r="7756" spans="1:8">
      <c r="A7756" s="39">
        <v>2.48117764885592</v>
      </c>
      <c r="B7756" s="45">
        <v>3.6</v>
      </c>
      <c r="D7756" s="2"/>
      <c r="E7756" s="31"/>
      <c r="G7756" s="43"/>
      <c r="H7756" s="2"/>
    </row>
    <row r="7757" spans="1:8">
      <c r="A7757" s="39">
        <v>2.4807597005345</v>
      </c>
      <c r="B7757" s="45">
        <v>22</v>
      </c>
      <c r="D7757" s="2"/>
      <c r="E7757" s="31"/>
      <c r="G7757" s="43"/>
      <c r="H7757" s="2"/>
    </row>
    <row r="7758" spans="1:8">
      <c r="A7758" s="39">
        <v>2.47980872325656</v>
      </c>
      <c r="B7758" s="45">
        <v>1</v>
      </c>
      <c r="D7758" s="2"/>
      <c r="E7758" s="31"/>
      <c r="G7758" s="43"/>
      <c r="H7758" s="2"/>
    </row>
    <row r="7759" spans="1:8">
      <c r="A7759" s="39">
        <v>2.47980872325656</v>
      </c>
      <c r="B7759" s="45">
        <v>1</v>
      </c>
      <c r="D7759" s="2"/>
      <c r="E7759" s="31"/>
      <c r="G7759" s="43"/>
      <c r="H7759" s="2"/>
    </row>
    <row r="7760" spans="1:8">
      <c r="A7760" s="39">
        <v>2.47968266268507</v>
      </c>
      <c r="B7760" s="45">
        <v>28</v>
      </c>
      <c r="D7760" s="2"/>
      <c r="E7760" s="31"/>
      <c r="G7760" s="43"/>
      <c r="H7760" s="2"/>
    </row>
    <row r="7761" spans="1:8">
      <c r="A7761" s="39">
        <v>2.47960521573897</v>
      </c>
      <c r="B7761" s="45">
        <v>0</v>
      </c>
      <c r="D7761" s="2"/>
      <c r="E7761" s="31"/>
      <c r="G7761" s="43"/>
      <c r="H7761" s="2"/>
    </row>
    <row r="7762" spans="1:8">
      <c r="A7762" s="39">
        <v>2.47960521573897</v>
      </c>
      <c r="B7762" s="47">
        <v>0</v>
      </c>
      <c r="D7762" s="2"/>
      <c r="E7762" s="31"/>
      <c r="G7762" s="43"/>
      <c r="H7762" s="2"/>
    </row>
    <row r="7763" spans="1:8">
      <c r="A7763" s="39">
        <v>2.47924227491147</v>
      </c>
      <c r="B7763" s="47">
        <v>3</v>
      </c>
      <c r="D7763" s="2"/>
      <c r="E7763" s="31"/>
      <c r="G7763" s="43"/>
      <c r="H7763" s="2"/>
    </row>
    <row r="7764" spans="1:8">
      <c r="A7764" s="39">
        <v>2.47912426045687</v>
      </c>
      <c r="B7764" s="47">
        <v>3.1</v>
      </c>
      <c r="D7764" s="2"/>
      <c r="E7764" s="31"/>
      <c r="G7764" s="43"/>
      <c r="H7764" s="2"/>
    </row>
    <row r="7765" spans="1:8">
      <c r="A7765" s="39">
        <v>2.47884405999761</v>
      </c>
      <c r="B7765" s="47">
        <v>13</v>
      </c>
      <c r="D7765" s="2"/>
      <c r="E7765" s="31"/>
      <c r="G7765" s="43"/>
      <c r="H7765" s="2"/>
    </row>
    <row r="7766" spans="1:8">
      <c r="A7766" s="39">
        <v>2.47884405999761</v>
      </c>
      <c r="B7766" s="47">
        <v>5</v>
      </c>
      <c r="D7766" s="2"/>
      <c r="E7766" s="31"/>
      <c r="G7766" s="43"/>
      <c r="H7766" s="2"/>
    </row>
    <row r="7767" spans="1:8">
      <c r="A7767" s="39">
        <v>2.47884405999761</v>
      </c>
      <c r="B7767" s="47">
        <v>16</v>
      </c>
      <c r="D7767" s="2"/>
      <c r="E7767" s="31"/>
      <c r="G7767" s="43"/>
      <c r="H7767" s="2"/>
    </row>
    <row r="7768" spans="1:8">
      <c r="A7768" s="39">
        <v>2.47884405999761</v>
      </c>
      <c r="B7768" s="47">
        <v>12.7</v>
      </c>
      <c r="D7768" s="2"/>
      <c r="E7768" s="31"/>
      <c r="G7768" s="43"/>
      <c r="H7768" s="2"/>
    </row>
    <row r="7769" spans="1:8">
      <c r="A7769" s="39">
        <v>2.47884405999761</v>
      </c>
      <c r="B7769" s="47">
        <v>11</v>
      </c>
      <c r="D7769" s="2"/>
      <c r="E7769" s="31"/>
      <c r="G7769" s="43"/>
      <c r="H7769" s="2"/>
    </row>
    <row r="7770" spans="1:8">
      <c r="A7770" s="39">
        <v>2.47864901445918</v>
      </c>
      <c r="B7770" s="47">
        <v>12</v>
      </c>
      <c r="D7770" s="2"/>
      <c r="E7770" s="31"/>
      <c r="G7770" s="43"/>
      <c r="H7770" s="2"/>
    </row>
    <row r="7771" spans="1:8">
      <c r="A7771" s="39">
        <v>2.47860982177471</v>
      </c>
      <c r="B7771" s="47">
        <v>11.5</v>
      </c>
      <c r="D7771" s="2"/>
      <c r="E7771" s="31"/>
      <c r="G7771" s="43"/>
      <c r="H7771" s="2"/>
    </row>
    <row r="7772" spans="1:8">
      <c r="A7772" s="39">
        <v>2.47842281761374</v>
      </c>
      <c r="B7772" s="47">
        <v>9.2</v>
      </c>
      <c r="D7772" s="2"/>
      <c r="E7772" s="31"/>
      <c r="G7772" s="43"/>
      <c r="H7772" s="2"/>
    </row>
    <row r="7773" spans="1:8">
      <c r="A7773" s="39">
        <v>2.47842281761374</v>
      </c>
      <c r="B7773" s="47">
        <v>21</v>
      </c>
      <c r="D7773" s="2"/>
      <c r="E7773" s="31"/>
      <c r="G7773" s="43"/>
      <c r="H7773" s="2"/>
    </row>
    <row r="7774" spans="1:8">
      <c r="A7774" s="39">
        <v>2.4777553348575</v>
      </c>
      <c r="B7774" s="47">
        <v>4.9</v>
      </c>
      <c r="D7774" s="2"/>
      <c r="E7774" s="31"/>
      <c r="G7774" s="43"/>
      <c r="H7774" s="2"/>
    </row>
    <row r="7775" spans="1:8">
      <c r="A7775" s="39">
        <v>2.4777553348575</v>
      </c>
      <c r="B7775" s="47">
        <v>18.7</v>
      </c>
      <c r="D7775" s="2"/>
      <c r="E7775" s="31"/>
      <c r="G7775" s="43"/>
      <c r="H7775" s="2"/>
    </row>
    <row r="7776" spans="1:8">
      <c r="A7776" s="39">
        <v>2.47774951611479</v>
      </c>
      <c r="B7776" s="47">
        <v>7.8</v>
      </c>
      <c r="D7776" s="2"/>
      <c r="E7776" s="31"/>
      <c r="G7776" s="43"/>
      <c r="H7776" s="2"/>
    </row>
    <row r="7777" spans="1:8">
      <c r="A7777" s="39">
        <v>2.47759367142151</v>
      </c>
      <c r="B7777" s="47">
        <v>20.1</v>
      </c>
      <c r="D7777" s="2"/>
      <c r="E7777" s="31"/>
      <c r="G7777" s="43"/>
      <c r="H7777" s="2"/>
    </row>
    <row r="7778" spans="1:8">
      <c r="A7778" s="39">
        <v>2.47724189040896</v>
      </c>
      <c r="B7778" s="47">
        <v>10.8</v>
      </c>
      <c r="D7778" s="2"/>
      <c r="E7778" s="31"/>
      <c r="G7778" s="43"/>
      <c r="H7778" s="2"/>
    </row>
    <row r="7779" spans="1:8">
      <c r="A7779" s="39">
        <v>2.47705984333144</v>
      </c>
      <c r="B7779" s="47">
        <v>14.6</v>
      </c>
      <c r="D7779" s="2"/>
      <c r="E7779" s="31"/>
      <c r="G7779" s="43"/>
      <c r="H7779" s="2"/>
    </row>
    <row r="7780" spans="1:8">
      <c r="A7780" s="39">
        <v>2.47640291311691</v>
      </c>
      <c r="B7780" s="47">
        <v>16</v>
      </c>
      <c r="D7780" s="2"/>
      <c r="E7780" s="31"/>
      <c r="G7780" s="43"/>
      <c r="H7780" s="2"/>
    </row>
    <row r="7781" spans="1:8">
      <c r="A7781" s="39">
        <v>2.475966229511</v>
      </c>
      <c r="B7781" s="47">
        <v>8</v>
      </c>
      <c r="D7781" s="2"/>
      <c r="E7781" s="31"/>
      <c r="G7781" s="43"/>
      <c r="H7781" s="2"/>
    </row>
    <row r="7782" spans="1:8">
      <c r="A7782" s="39">
        <v>2.47570194645845</v>
      </c>
      <c r="B7782" s="47">
        <v>7</v>
      </c>
      <c r="D7782" s="2"/>
      <c r="E7782" s="31"/>
      <c r="G7782" s="43"/>
      <c r="H7782" s="2"/>
    </row>
    <row r="7783" spans="1:8">
      <c r="A7783" s="39">
        <v>2.47570194645845</v>
      </c>
      <c r="B7783" s="47">
        <v>5</v>
      </c>
      <c r="D7783" s="2"/>
      <c r="E7783" s="31"/>
      <c r="G7783" s="43"/>
      <c r="H7783" s="2"/>
    </row>
    <row r="7784" spans="1:8">
      <c r="A7784" s="39">
        <v>2.47487741175141</v>
      </c>
      <c r="B7784" s="47">
        <v>15.5</v>
      </c>
      <c r="D7784" s="2"/>
      <c r="E7784" s="31"/>
      <c r="G7784" s="43"/>
      <c r="H7784" s="2"/>
    </row>
    <row r="7785" spans="1:8">
      <c r="A7785" s="39">
        <v>2.47451063501982</v>
      </c>
      <c r="B7785" s="47">
        <v>16</v>
      </c>
      <c r="D7785" s="2"/>
      <c r="E7785" s="31"/>
      <c r="G7785" s="43"/>
      <c r="H7785" s="2"/>
    </row>
    <row r="7786" spans="1:8">
      <c r="A7786" s="39">
        <v>2.47433302085908</v>
      </c>
      <c r="B7786" s="47">
        <v>3.9</v>
      </c>
      <c r="D7786" s="2"/>
      <c r="E7786" s="31"/>
      <c r="G7786" s="43"/>
      <c r="H7786" s="2"/>
    </row>
    <row r="7787" spans="1:8">
      <c r="A7787" s="39">
        <v>2.4738004423466</v>
      </c>
      <c r="B7787" s="47">
        <v>9.2</v>
      </c>
      <c r="D7787" s="2"/>
      <c r="E7787" s="31"/>
      <c r="G7787" s="43"/>
      <c r="H7787" s="2"/>
    </row>
    <row r="7788" spans="1:8">
      <c r="A7788" s="39">
        <v>2.47368726218426</v>
      </c>
      <c r="B7788" s="47">
        <v>7</v>
      </c>
      <c r="D7788" s="2"/>
      <c r="E7788" s="31"/>
      <c r="G7788" s="43"/>
      <c r="H7788" s="2"/>
    </row>
    <row r="7789" spans="1:8">
      <c r="A7789" s="39">
        <v>2.47368356716016</v>
      </c>
      <c r="B7789" s="47">
        <v>18.9</v>
      </c>
      <c r="D7789" s="2"/>
      <c r="E7789" s="31"/>
      <c r="G7789" s="43"/>
      <c r="H7789" s="2"/>
    </row>
    <row r="7790" spans="1:8">
      <c r="A7790" s="39">
        <v>2.47311428464945</v>
      </c>
      <c r="B7790" s="47">
        <v>11</v>
      </c>
      <c r="D7790" s="2"/>
      <c r="E7790" s="31"/>
      <c r="G7790" s="43"/>
      <c r="H7790" s="2"/>
    </row>
    <row r="7791" spans="1:8">
      <c r="A7791" s="39">
        <v>2.47239806273093</v>
      </c>
      <c r="B7791" s="47">
        <v>7</v>
      </c>
      <c r="D7791" s="2"/>
      <c r="E7791" s="31"/>
      <c r="G7791" s="43"/>
      <c r="H7791" s="2"/>
    </row>
    <row r="7792" spans="1:8">
      <c r="A7792" s="39">
        <v>2.47236310412324</v>
      </c>
      <c r="B7792" s="47">
        <v>10.4</v>
      </c>
      <c r="D7792" s="2"/>
      <c r="E7792" s="31"/>
      <c r="G7792" s="43"/>
      <c r="H7792" s="2"/>
    </row>
    <row r="7793" spans="1:8">
      <c r="A7793" s="39">
        <v>2.47236310412324</v>
      </c>
      <c r="B7793" s="47">
        <v>6.2</v>
      </c>
      <c r="D7793" s="2"/>
      <c r="E7793" s="31"/>
      <c r="G7793" s="43"/>
      <c r="H7793" s="2"/>
    </row>
    <row r="7794" spans="1:8">
      <c r="A7794" s="39">
        <v>2.47232724328303</v>
      </c>
      <c r="B7794" s="47">
        <v>10.2</v>
      </c>
      <c r="D7794" s="2"/>
      <c r="E7794" s="31"/>
      <c r="G7794" s="43"/>
      <c r="H7794" s="2"/>
    </row>
    <row r="7795" spans="1:8">
      <c r="A7795" s="39">
        <v>2.47183970223378</v>
      </c>
      <c r="B7795" s="47">
        <v>5.7</v>
      </c>
      <c r="D7795" s="2"/>
      <c r="E7795" s="31"/>
      <c r="G7795" s="43"/>
      <c r="H7795" s="2"/>
    </row>
    <row r="7796" spans="1:8">
      <c r="A7796" s="39">
        <v>2.47168184081241</v>
      </c>
      <c r="B7796" s="47">
        <v>9.2</v>
      </c>
      <c r="D7796" s="2"/>
      <c r="E7796" s="31"/>
      <c r="G7796" s="43"/>
      <c r="H7796" s="2"/>
    </row>
    <row r="7797" spans="1:8">
      <c r="A7797" s="39">
        <v>2.47161339420809</v>
      </c>
      <c r="B7797" s="47">
        <v>8.6</v>
      </c>
      <c r="D7797" s="2"/>
      <c r="E7797" s="31"/>
      <c r="G7797" s="43"/>
      <c r="H7797" s="2"/>
    </row>
    <row r="7798" spans="1:8">
      <c r="A7798" s="39">
        <v>2.47161339420809</v>
      </c>
      <c r="B7798" s="47">
        <v>9.9</v>
      </c>
      <c r="D7798" s="2"/>
      <c r="E7798" s="31"/>
      <c r="G7798" s="43"/>
      <c r="H7798" s="2"/>
    </row>
    <row r="7799" spans="1:8">
      <c r="A7799" s="39">
        <v>2.4715723151825</v>
      </c>
      <c r="B7799" s="47">
        <v>25</v>
      </c>
      <c r="D7799" s="2"/>
      <c r="E7799" s="31"/>
      <c r="G7799" s="43"/>
      <c r="H7799" s="2"/>
    </row>
    <row r="7800" spans="1:8">
      <c r="A7800" s="39">
        <v>2.47118612219617</v>
      </c>
      <c r="B7800" s="47">
        <v>6</v>
      </c>
      <c r="D7800" s="2"/>
      <c r="E7800" s="31"/>
      <c r="G7800" s="43"/>
      <c r="H7800" s="2"/>
    </row>
    <row r="7801" spans="1:8">
      <c r="A7801" s="39">
        <v>2.47101650112535</v>
      </c>
      <c r="B7801" s="47">
        <v>8</v>
      </c>
      <c r="D7801" s="2"/>
      <c r="E7801" s="31"/>
      <c r="G7801" s="43"/>
      <c r="H7801" s="2"/>
    </row>
    <row r="7802" spans="1:8">
      <c r="A7802" s="39">
        <v>2.47096561889389</v>
      </c>
      <c r="B7802" s="47">
        <v>7.9</v>
      </c>
      <c r="D7802" s="2"/>
      <c r="E7802" s="31"/>
      <c r="G7802" s="43"/>
      <c r="H7802" s="2"/>
    </row>
    <row r="7803" spans="1:8">
      <c r="A7803" s="39">
        <v>2.47096561889389</v>
      </c>
      <c r="B7803" s="47">
        <v>10</v>
      </c>
      <c r="D7803" s="2"/>
      <c r="E7803" s="31"/>
      <c r="G7803" s="43"/>
      <c r="H7803" s="2"/>
    </row>
    <row r="7804" spans="1:8">
      <c r="A7804" s="39">
        <v>2.47090983218298</v>
      </c>
      <c r="B7804" s="47">
        <v>15.1</v>
      </c>
      <c r="D7804" s="2"/>
      <c r="E7804" s="31"/>
      <c r="G7804" s="43"/>
      <c r="H7804" s="2"/>
    </row>
    <row r="7805" spans="1:8">
      <c r="A7805" s="39">
        <v>2.47087164879185</v>
      </c>
      <c r="B7805" s="47">
        <v>6</v>
      </c>
      <c r="D7805" s="2"/>
      <c r="E7805" s="31"/>
      <c r="G7805" s="43"/>
      <c r="H7805" s="2"/>
    </row>
    <row r="7806" spans="1:8">
      <c r="A7806" s="39">
        <v>2.47024939697537</v>
      </c>
      <c r="B7806" s="47">
        <v>8.5</v>
      </c>
      <c r="D7806" s="2"/>
      <c r="E7806" s="31"/>
      <c r="G7806" s="43"/>
      <c r="H7806" s="2"/>
    </row>
    <row r="7807" spans="1:8">
      <c r="A7807" s="39">
        <v>2.46966989812746</v>
      </c>
      <c r="B7807" s="47">
        <v>11.4</v>
      </c>
      <c r="D7807" s="2"/>
      <c r="E7807" s="31"/>
      <c r="G7807" s="43"/>
      <c r="H7807" s="2"/>
    </row>
    <row r="7808" spans="1:8">
      <c r="A7808" s="39">
        <v>2.46966989812746</v>
      </c>
      <c r="B7808" s="47">
        <v>17.1</v>
      </c>
      <c r="D7808" s="2"/>
      <c r="E7808" s="31"/>
      <c r="G7808" s="43"/>
      <c r="H7808" s="2"/>
    </row>
    <row r="7809" spans="1:8">
      <c r="A7809" s="39">
        <v>2.46950270813276</v>
      </c>
      <c r="B7809" s="47">
        <v>5.9</v>
      </c>
      <c r="D7809" s="2"/>
      <c r="E7809" s="31"/>
      <c r="G7809" s="43"/>
      <c r="H7809" s="2"/>
    </row>
    <row r="7810" spans="1:8">
      <c r="A7810" s="39">
        <v>2.46950270813276</v>
      </c>
      <c r="B7810" s="47">
        <v>12.3</v>
      </c>
      <c r="D7810" s="2"/>
      <c r="E7810" s="31"/>
      <c r="G7810" s="43"/>
      <c r="H7810" s="2"/>
    </row>
    <row r="7811" spans="1:8">
      <c r="A7811" s="39">
        <v>2.46857180204574</v>
      </c>
      <c r="B7811" s="47">
        <v>5</v>
      </c>
      <c r="D7811" s="2"/>
      <c r="E7811" s="31"/>
      <c r="G7811" s="43"/>
      <c r="H7811" s="2"/>
    </row>
    <row r="7812" spans="1:8">
      <c r="A7812" s="39">
        <v>2.46817285566192</v>
      </c>
      <c r="B7812" s="47">
        <v>6.5</v>
      </c>
      <c r="D7812" s="2"/>
      <c r="E7812" s="31"/>
      <c r="G7812" s="43"/>
      <c r="H7812" s="2"/>
    </row>
    <row r="7813" spans="1:8">
      <c r="A7813" s="39">
        <v>2.4680535618864</v>
      </c>
      <c r="B7813" s="47">
        <v>14.5</v>
      </c>
      <c r="D7813" s="2"/>
      <c r="E7813" s="31"/>
      <c r="G7813" s="43"/>
      <c r="H7813" s="2"/>
    </row>
    <row r="7814" spans="1:8">
      <c r="A7814" s="39">
        <v>2.46796045980947</v>
      </c>
      <c r="B7814" s="47">
        <v>6.8</v>
      </c>
      <c r="D7814" s="2"/>
      <c r="E7814" s="31"/>
      <c r="G7814" s="43"/>
      <c r="H7814" s="2"/>
    </row>
    <row r="7815" spans="1:8">
      <c r="A7815" s="39">
        <v>2.46734981122718</v>
      </c>
      <c r="B7815" s="47">
        <v>9</v>
      </c>
      <c r="D7815" s="2"/>
      <c r="E7815" s="31"/>
      <c r="G7815" s="43"/>
      <c r="H7815" s="2"/>
    </row>
    <row r="7816" spans="1:8">
      <c r="A7816" s="39">
        <v>2.46598489800721</v>
      </c>
      <c r="B7816" s="47">
        <v>12</v>
      </c>
      <c r="D7816" s="2"/>
      <c r="E7816" s="31"/>
      <c r="G7816" s="43"/>
      <c r="H7816" s="2"/>
    </row>
    <row r="7817" spans="1:8">
      <c r="A7817" s="39">
        <v>2.46543500446318</v>
      </c>
      <c r="B7817" s="47">
        <v>7</v>
      </c>
      <c r="D7817" s="2"/>
      <c r="E7817" s="31"/>
      <c r="G7817" s="43"/>
      <c r="H7817" s="2"/>
    </row>
    <row r="7818" spans="1:8">
      <c r="A7818" s="39">
        <v>2.46543500446318</v>
      </c>
      <c r="B7818" s="47">
        <v>9.4</v>
      </c>
      <c r="D7818" s="2"/>
      <c r="E7818" s="31"/>
      <c r="G7818" s="43"/>
      <c r="H7818" s="2"/>
    </row>
    <row r="7819" spans="1:8">
      <c r="A7819" s="39">
        <v>2.46543500446318</v>
      </c>
      <c r="B7819" s="47">
        <v>0</v>
      </c>
      <c r="D7819" s="2"/>
      <c r="E7819" s="31"/>
      <c r="G7819" s="43"/>
      <c r="H7819" s="2"/>
    </row>
    <row r="7820" spans="1:8">
      <c r="A7820" s="39">
        <v>2.46528133598211</v>
      </c>
      <c r="B7820" s="47">
        <v>17</v>
      </c>
      <c r="D7820" s="2"/>
      <c r="E7820" s="31"/>
      <c r="G7820" s="43"/>
      <c r="H7820" s="2"/>
    </row>
    <row r="7821" spans="1:8">
      <c r="A7821" s="39">
        <v>2.46504927082709</v>
      </c>
      <c r="B7821" s="47">
        <v>10.3</v>
      </c>
      <c r="D7821" s="2"/>
      <c r="E7821" s="31"/>
      <c r="G7821" s="43"/>
      <c r="H7821" s="2"/>
    </row>
    <row r="7822" spans="1:8">
      <c r="A7822" s="39">
        <v>2.46469273104462</v>
      </c>
      <c r="B7822" s="47">
        <v>2</v>
      </c>
      <c r="D7822" s="2"/>
      <c r="E7822" s="31"/>
      <c r="G7822" s="43"/>
      <c r="H7822" s="2"/>
    </row>
    <row r="7823" spans="1:8">
      <c r="A7823" s="39">
        <v>2.4645348085903</v>
      </c>
      <c r="B7823" s="47">
        <v>6</v>
      </c>
      <c r="D7823" s="2"/>
      <c r="E7823" s="31"/>
      <c r="G7823" s="43"/>
      <c r="H7823" s="2"/>
    </row>
    <row r="7824" spans="1:8">
      <c r="A7824" s="39">
        <v>2.4645348085903</v>
      </c>
      <c r="B7824" s="47">
        <v>9.5</v>
      </c>
      <c r="D7824" s="2"/>
      <c r="E7824" s="31"/>
      <c r="G7824" s="43"/>
      <c r="H7824" s="2"/>
    </row>
    <row r="7825" spans="1:8">
      <c r="A7825" s="39">
        <v>2.46451962162721</v>
      </c>
      <c r="B7825" s="47">
        <v>8.2</v>
      </c>
      <c r="D7825" s="2"/>
      <c r="E7825" s="31"/>
      <c r="G7825" s="43"/>
      <c r="H7825" s="2"/>
    </row>
    <row r="7826" spans="1:8">
      <c r="A7826" s="39">
        <v>2.46451962162721</v>
      </c>
      <c r="B7826" s="47">
        <v>16.6</v>
      </c>
      <c r="D7826" s="2"/>
      <c r="E7826" s="31"/>
      <c r="G7826" s="43"/>
      <c r="H7826" s="2"/>
    </row>
    <row r="7827" spans="1:8">
      <c r="A7827" s="39">
        <v>2.46451962162721</v>
      </c>
      <c r="B7827" s="47">
        <v>12</v>
      </c>
      <c r="D7827" s="2"/>
      <c r="E7827" s="31"/>
      <c r="G7827" s="43"/>
      <c r="H7827" s="2"/>
    </row>
    <row r="7828" spans="1:8">
      <c r="A7828" s="39">
        <v>2.4643214735815</v>
      </c>
      <c r="B7828" s="47">
        <v>2</v>
      </c>
      <c r="D7828" s="2"/>
      <c r="E7828" s="31"/>
      <c r="G7828" s="43"/>
      <c r="H7828" s="2"/>
    </row>
    <row r="7829" spans="1:8">
      <c r="A7829" s="39">
        <v>2.4643214735815</v>
      </c>
      <c r="B7829" s="47">
        <v>2</v>
      </c>
      <c r="D7829" s="2"/>
      <c r="E7829" s="31"/>
      <c r="G7829" s="43"/>
      <c r="H7829" s="2"/>
    </row>
    <row r="7830" spans="1:8">
      <c r="A7830" s="39">
        <v>2.46428348613591</v>
      </c>
      <c r="B7830" s="47">
        <v>6.5</v>
      </c>
      <c r="D7830" s="2"/>
      <c r="E7830" s="31"/>
      <c r="G7830" s="43"/>
      <c r="H7830" s="2"/>
    </row>
    <row r="7831" spans="1:8">
      <c r="A7831" s="39">
        <v>2.46323777665793</v>
      </c>
      <c r="B7831" s="47">
        <v>12.9</v>
      </c>
      <c r="D7831" s="2"/>
      <c r="E7831" s="31"/>
      <c r="G7831" s="43"/>
      <c r="H7831" s="2"/>
    </row>
    <row r="7832" spans="1:8">
      <c r="A7832" s="39">
        <v>2.46323777665793</v>
      </c>
      <c r="B7832" s="47">
        <v>4.3</v>
      </c>
      <c r="D7832" s="2"/>
      <c r="E7832" s="31"/>
      <c r="G7832" s="43"/>
      <c r="H7832" s="2"/>
    </row>
    <row r="7833" spans="1:8">
      <c r="A7833" s="39">
        <v>2.46317064990678</v>
      </c>
      <c r="B7833" s="47">
        <v>10.9</v>
      </c>
      <c r="D7833" s="2"/>
      <c r="E7833" s="31"/>
      <c r="G7833" s="43"/>
      <c r="H7833" s="2"/>
    </row>
    <row r="7834" spans="1:8">
      <c r="A7834" s="39">
        <v>2.46251029946459</v>
      </c>
      <c r="B7834" s="47">
        <v>19</v>
      </c>
      <c r="D7834" s="2"/>
      <c r="E7834" s="31"/>
      <c r="G7834" s="43"/>
      <c r="H7834" s="2"/>
    </row>
    <row r="7835" spans="1:8">
      <c r="A7835" s="39">
        <v>2.46171980595341</v>
      </c>
      <c r="B7835" s="47">
        <v>13.5</v>
      </c>
      <c r="D7835" s="2"/>
      <c r="E7835" s="31"/>
      <c r="G7835" s="43"/>
      <c r="H7835" s="2"/>
    </row>
    <row r="7836" spans="1:8">
      <c r="A7836" s="39">
        <v>2.46138242163205</v>
      </c>
      <c r="B7836" s="47">
        <v>17</v>
      </c>
      <c r="D7836" s="2"/>
      <c r="E7836" s="31"/>
      <c r="G7836" s="43"/>
      <c r="H7836" s="2"/>
    </row>
    <row r="7837" spans="1:8">
      <c r="A7837" s="39">
        <v>2.46101605529419</v>
      </c>
      <c r="B7837" s="47">
        <v>18.5</v>
      </c>
      <c r="D7837" s="2"/>
      <c r="E7837" s="31"/>
      <c r="G7837" s="43"/>
      <c r="H7837" s="2"/>
    </row>
    <row r="7838" spans="1:8">
      <c r="A7838" s="39">
        <v>2.46072884159444</v>
      </c>
      <c r="B7838" s="47">
        <v>5.1</v>
      </c>
      <c r="D7838" s="2"/>
      <c r="E7838" s="31"/>
      <c r="G7838" s="43"/>
      <c r="H7838" s="2"/>
    </row>
    <row r="7839" spans="1:8">
      <c r="A7839" s="39">
        <v>2.46064376486539</v>
      </c>
      <c r="B7839" s="47">
        <v>4.9</v>
      </c>
      <c r="D7839" s="2"/>
      <c r="E7839" s="31"/>
      <c r="G7839" s="43"/>
      <c r="H7839" s="2"/>
    </row>
    <row r="7840" spans="1:8">
      <c r="A7840" s="39">
        <v>2.46035640180634</v>
      </c>
      <c r="B7840" s="47">
        <v>10.2</v>
      </c>
      <c r="D7840" s="2"/>
      <c r="E7840" s="31"/>
      <c r="G7840" s="43"/>
      <c r="H7840" s="2"/>
    </row>
    <row r="7841" spans="1:8">
      <c r="A7841" s="39">
        <v>2.45995469010793</v>
      </c>
      <c r="B7841" s="47">
        <v>15.5</v>
      </c>
      <c r="D7841" s="2"/>
      <c r="E7841" s="31"/>
      <c r="G7841" s="43"/>
      <c r="H7841" s="2"/>
    </row>
    <row r="7842" spans="1:8">
      <c r="A7842" s="39">
        <v>2.45965283978123</v>
      </c>
      <c r="B7842" s="47">
        <v>14.4</v>
      </c>
      <c r="D7842" s="2"/>
      <c r="E7842" s="31"/>
      <c r="G7842" s="43"/>
      <c r="H7842" s="2"/>
    </row>
    <row r="7843" spans="1:8">
      <c r="A7843" s="39">
        <v>2.45965283978123</v>
      </c>
      <c r="B7843" s="47">
        <v>8.6</v>
      </c>
      <c r="D7843" s="2"/>
      <c r="E7843" s="31"/>
      <c r="G7843" s="43"/>
      <c r="H7843" s="2"/>
    </row>
    <row r="7844" spans="1:8">
      <c r="A7844" s="39">
        <v>2.45960855397575</v>
      </c>
      <c r="B7844" s="47">
        <v>17</v>
      </c>
      <c r="D7844" s="2"/>
      <c r="E7844" s="31"/>
      <c r="G7844" s="43"/>
      <c r="H7844" s="2"/>
    </row>
    <row r="7845" spans="1:8">
      <c r="A7845" s="39">
        <v>2.45960855397575</v>
      </c>
      <c r="B7845" s="47">
        <v>16.9</v>
      </c>
      <c r="D7845" s="2"/>
      <c r="E7845" s="31"/>
      <c r="G7845" s="43"/>
      <c r="H7845" s="2"/>
    </row>
    <row r="7846" spans="1:8">
      <c r="A7846" s="39">
        <v>2.45960039069122</v>
      </c>
      <c r="B7846" s="47">
        <v>2</v>
      </c>
      <c r="D7846" s="2"/>
      <c r="E7846" s="31"/>
      <c r="G7846" s="43"/>
      <c r="H7846" s="2"/>
    </row>
    <row r="7847" spans="1:8">
      <c r="A7847" s="39">
        <v>2.45960039069122</v>
      </c>
      <c r="B7847" s="47">
        <v>20</v>
      </c>
      <c r="D7847" s="2"/>
      <c r="E7847" s="31"/>
      <c r="G7847" s="43"/>
      <c r="H7847" s="2"/>
    </row>
    <row r="7848" spans="1:8">
      <c r="A7848" s="39">
        <v>2.45950606819757</v>
      </c>
      <c r="B7848" s="47">
        <v>15</v>
      </c>
      <c r="D7848" s="2"/>
      <c r="E7848" s="31"/>
      <c r="G7848" s="43"/>
      <c r="H7848" s="2"/>
    </row>
    <row r="7849" spans="1:8">
      <c r="A7849" s="39">
        <v>2.45894927775612</v>
      </c>
      <c r="B7849" s="47">
        <v>10.2</v>
      </c>
      <c r="D7849" s="2"/>
      <c r="E7849" s="31"/>
      <c r="G7849" s="43"/>
      <c r="H7849" s="2"/>
    </row>
    <row r="7850" spans="1:8">
      <c r="A7850" s="39">
        <v>2.45876810148162</v>
      </c>
      <c r="B7850" s="47">
        <v>10</v>
      </c>
      <c r="D7850" s="2"/>
      <c r="E7850" s="31"/>
      <c r="G7850" s="43"/>
      <c r="H7850" s="2"/>
    </row>
    <row r="7851" spans="1:8">
      <c r="A7851" s="39">
        <v>2.45876810148162</v>
      </c>
      <c r="B7851" s="47">
        <v>12.4</v>
      </c>
      <c r="D7851" s="2"/>
      <c r="E7851" s="31"/>
      <c r="G7851" s="43"/>
      <c r="H7851" s="2"/>
    </row>
    <row r="7852" spans="1:8">
      <c r="A7852" s="39">
        <v>2.45822377264541</v>
      </c>
      <c r="B7852" s="47">
        <v>16.5</v>
      </c>
      <c r="D7852" s="2"/>
      <c r="E7852" s="31"/>
      <c r="G7852" s="43"/>
      <c r="H7852" s="2"/>
    </row>
    <row r="7853" spans="1:8">
      <c r="A7853" s="39">
        <v>2.45822377264541</v>
      </c>
      <c r="B7853" s="47">
        <v>7</v>
      </c>
      <c r="D7853" s="2"/>
      <c r="E7853" s="31"/>
      <c r="G7853" s="43"/>
      <c r="H7853" s="2"/>
    </row>
    <row r="7854" spans="1:8">
      <c r="A7854" s="39">
        <v>2.45777129837115</v>
      </c>
      <c r="B7854" s="47">
        <v>0</v>
      </c>
      <c r="D7854" s="2"/>
      <c r="E7854" s="31"/>
      <c r="G7854" s="43"/>
      <c r="H7854" s="2"/>
    </row>
    <row r="7855" spans="1:8">
      <c r="A7855" s="39">
        <v>2.45749730199809</v>
      </c>
      <c r="B7855" s="47">
        <v>7.5</v>
      </c>
      <c r="D7855" s="2"/>
      <c r="E7855" s="31"/>
      <c r="G7855" s="43"/>
      <c r="H7855" s="2"/>
    </row>
    <row r="7856" spans="1:8">
      <c r="A7856" s="39">
        <v>2.45749730199809</v>
      </c>
      <c r="B7856" s="47">
        <v>11.4</v>
      </c>
      <c r="D7856" s="2"/>
      <c r="E7856" s="31"/>
      <c r="G7856" s="43"/>
      <c r="H7856" s="2"/>
    </row>
    <row r="7857" spans="1:8">
      <c r="A7857" s="39">
        <v>2.45735740244201</v>
      </c>
      <c r="B7857" s="47">
        <v>2</v>
      </c>
      <c r="D7857" s="2"/>
      <c r="E7857" s="31"/>
      <c r="G7857" s="43"/>
      <c r="H7857" s="2"/>
    </row>
    <row r="7858" spans="1:8">
      <c r="A7858" s="39">
        <v>2.45722145086697</v>
      </c>
      <c r="B7858" s="47">
        <v>10.5</v>
      </c>
      <c r="D7858" s="2"/>
      <c r="E7858" s="31"/>
      <c r="G7858" s="43"/>
      <c r="H7858" s="2"/>
    </row>
    <row r="7859" spans="1:8">
      <c r="A7859" s="39">
        <v>2.45722145086697</v>
      </c>
      <c r="B7859" s="47">
        <v>16.5</v>
      </c>
      <c r="D7859" s="2"/>
      <c r="E7859" s="31"/>
      <c r="G7859" s="43"/>
      <c r="H7859" s="2"/>
    </row>
    <row r="7860" spans="1:8">
      <c r="A7860" s="39">
        <v>2.4568385916808</v>
      </c>
      <c r="B7860" s="47">
        <v>10</v>
      </c>
      <c r="D7860" s="2"/>
      <c r="E7860" s="31"/>
      <c r="G7860" s="43"/>
      <c r="H7860" s="2"/>
    </row>
    <row r="7861" spans="1:8">
      <c r="A7861" s="39">
        <v>2.45653698806729</v>
      </c>
      <c r="B7861" s="47">
        <v>4.5</v>
      </c>
      <c r="D7861" s="2"/>
      <c r="E7861" s="31"/>
      <c r="G7861" s="43"/>
      <c r="H7861" s="2"/>
    </row>
    <row r="7862" spans="1:8">
      <c r="A7862" s="39">
        <v>2.4559630047245</v>
      </c>
      <c r="B7862" s="47">
        <v>10.5</v>
      </c>
      <c r="D7862" s="2"/>
      <c r="E7862" s="31"/>
      <c r="G7862" s="43"/>
      <c r="H7862" s="2"/>
    </row>
    <row r="7863" spans="1:8">
      <c r="A7863" s="39">
        <v>2.45550020129357</v>
      </c>
      <c r="B7863" s="47">
        <v>12.3</v>
      </c>
      <c r="D7863" s="44"/>
      <c r="E7863" s="31"/>
      <c r="G7863" s="43"/>
      <c r="H7863" s="2"/>
    </row>
    <row r="7864" spans="1:8">
      <c r="A7864" s="39">
        <v>2.45550020129357</v>
      </c>
      <c r="B7864" s="47">
        <v>8.4</v>
      </c>
      <c r="D7864" s="2"/>
      <c r="E7864" s="31"/>
      <c r="G7864" s="43"/>
      <c r="H7864" s="2"/>
    </row>
    <row r="7865" spans="1:8">
      <c r="A7865" s="39">
        <v>2.45516806246792</v>
      </c>
      <c r="B7865" s="47">
        <v>4.2</v>
      </c>
      <c r="D7865" s="2"/>
      <c r="E7865" s="31"/>
      <c r="G7865" s="43"/>
      <c r="H7865" s="2"/>
    </row>
    <row r="7866" spans="1:8">
      <c r="A7866" s="39">
        <v>2.45468229936121</v>
      </c>
      <c r="B7866" s="47">
        <v>3.25</v>
      </c>
      <c r="D7866" s="2"/>
      <c r="E7866" s="31"/>
      <c r="G7866" s="43"/>
      <c r="H7866" s="2"/>
    </row>
    <row r="7867" spans="1:8">
      <c r="A7867" s="39">
        <v>2.45449251476793</v>
      </c>
      <c r="B7867" s="47">
        <v>9.9</v>
      </c>
      <c r="D7867" s="2"/>
      <c r="E7867" s="31"/>
      <c r="G7867" s="43"/>
      <c r="H7867" s="2"/>
    </row>
    <row r="7868" spans="1:8">
      <c r="A7868" s="39">
        <v>2.45402434358036</v>
      </c>
      <c r="B7868" s="47">
        <v>4</v>
      </c>
      <c r="D7868" s="2"/>
      <c r="E7868" s="31"/>
      <c r="G7868" s="43"/>
      <c r="H7868" s="2"/>
    </row>
    <row r="7869" spans="1:8">
      <c r="A7869" s="39">
        <v>2.45377629284941</v>
      </c>
      <c r="B7869" s="47">
        <v>10</v>
      </c>
      <c r="D7869" s="2"/>
      <c r="E7869" s="31"/>
      <c r="G7869" s="43"/>
      <c r="H7869" s="2"/>
    </row>
    <row r="7870" spans="1:8">
      <c r="A7870" s="39">
        <v>2.45353946118075</v>
      </c>
      <c r="B7870" s="47">
        <v>7</v>
      </c>
      <c r="D7870" s="44"/>
      <c r="E7870" s="31"/>
      <c r="G7870" s="43"/>
      <c r="H7870" s="2"/>
    </row>
    <row r="7871" spans="1:8">
      <c r="A7871" s="39">
        <v>2.45340451489759</v>
      </c>
      <c r="B7871" s="47">
        <v>7.3</v>
      </c>
      <c r="D7871" s="2"/>
      <c r="E7871" s="31"/>
      <c r="G7871" s="43"/>
      <c r="H7871" s="2"/>
    </row>
    <row r="7872" spans="1:8">
      <c r="A7872" s="39">
        <v>2.45305309595113</v>
      </c>
      <c r="B7872" s="47">
        <v>16.4</v>
      </c>
      <c r="D7872" s="2"/>
      <c r="E7872" s="31"/>
      <c r="G7872" s="43"/>
      <c r="H7872" s="2"/>
    </row>
    <row r="7873" spans="1:8">
      <c r="A7873" s="39">
        <v>2.45305309595113</v>
      </c>
      <c r="B7873" s="47">
        <v>20.3</v>
      </c>
      <c r="D7873" s="2"/>
      <c r="E7873" s="31"/>
      <c r="G7873" s="43"/>
      <c r="H7873" s="2"/>
    </row>
    <row r="7874" spans="1:8">
      <c r="A7874" s="39">
        <v>2.45261721953014</v>
      </c>
      <c r="B7874" s="47">
        <v>22</v>
      </c>
      <c r="D7874" s="2"/>
      <c r="E7874" s="31"/>
      <c r="G7874" s="43"/>
      <c r="H7874" s="2"/>
    </row>
    <row r="7875" spans="1:8">
      <c r="A7875" s="39">
        <v>2.45216405915491</v>
      </c>
      <c r="B7875" s="47">
        <v>18.6</v>
      </c>
      <c r="D7875" s="2"/>
      <c r="E7875" s="31"/>
      <c r="G7875" s="43"/>
      <c r="H7875" s="2"/>
    </row>
    <row r="7876" spans="1:8">
      <c r="A7876" s="39">
        <v>2.4517457484695</v>
      </c>
      <c r="B7876" s="47">
        <v>12</v>
      </c>
      <c r="D7876" s="2"/>
      <c r="E7876" s="31"/>
      <c r="G7876" s="43"/>
      <c r="H7876" s="2"/>
    </row>
    <row r="7877" spans="1:8">
      <c r="A7877" s="39">
        <v>2.45092514103032</v>
      </c>
      <c r="B7877" s="47">
        <v>22.8</v>
      </c>
      <c r="D7877" s="2"/>
      <c r="E7877" s="31"/>
      <c r="G7877" s="43"/>
      <c r="H7877" s="2"/>
    </row>
    <row r="7878" spans="1:8">
      <c r="A7878" s="39">
        <v>2.45050692577444</v>
      </c>
      <c r="B7878" s="47">
        <v>8</v>
      </c>
      <c r="D7878" s="2"/>
      <c r="E7878" s="31"/>
      <c r="G7878" s="43"/>
      <c r="H7878" s="2"/>
    </row>
    <row r="7879" spans="1:8">
      <c r="A7879" s="39">
        <v>2.45050653345482</v>
      </c>
      <c r="B7879" s="47">
        <v>12</v>
      </c>
      <c r="D7879" s="2"/>
      <c r="E7879" s="31"/>
      <c r="G7879" s="43"/>
      <c r="H7879" s="2"/>
    </row>
    <row r="7880" spans="1:8">
      <c r="A7880" s="39">
        <v>2.45045979540589</v>
      </c>
      <c r="B7880" s="47">
        <v>14.4</v>
      </c>
      <c r="D7880" s="2"/>
      <c r="E7880" s="31"/>
      <c r="G7880" s="43"/>
      <c r="H7880" s="2"/>
    </row>
    <row r="7881" spans="1:8">
      <c r="A7881" s="39">
        <v>2.45045979540589</v>
      </c>
      <c r="B7881" s="47">
        <v>6.5</v>
      </c>
      <c r="D7881" s="2"/>
      <c r="E7881" s="31"/>
      <c r="G7881" s="43"/>
      <c r="H7881" s="2"/>
    </row>
    <row r="7882" spans="1:8">
      <c r="A7882" s="39">
        <v>2.45019518325681</v>
      </c>
      <c r="B7882" s="47">
        <v>1</v>
      </c>
      <c r="D7882" s="2"/>
      <c r="E7882" s="31"/>
      <c r="G7882" s="43"/>
      <c r="H7882" s="2"/>
    </row>
    <row r="7883" spans="1:8">
      <c r="A7883" s="39">
        <v>2.45019518325681</v>
      </c>
      <c r="B7883" s="47">
        <v>13</v>
      </c>
      <c r="D7883" s="2"/>
      <c r="E7883" s="31"/>
      <c r="G7883" s="43"/>
      <c r="H7883" s="2"/>
    </row>
    <row r="7884" spans="1:8">
      <c r="A7884" s="39">
        <v>2.45019518325681</v>
      </c>
      <c r="B7884" s="47">
        <v>18.8</v>
      </c>
      <c r="D7884" s="2"/>
      <c r="E7884" s="31"/>
      <c r="G7884" s="43"/>
      <c r="H7884" s="2"/>
    </row>
    <row r="7885" spans="1:8">
      <c r="A7885" s="39">
        <v>2.44980297142971</v>
      </c>
      <c r="B7885" s="47">
        <v>9.5</v>
      </c>
      <c r="D7885" s="2"/>
      <c r="E7885" s="31"/>
      <c r="G7885" s="43"/>
      <c r="H7885" s="2"/>
    </row>
    <row r="7886" spans="1:8">
      <c r="A7886" s="39">
        <v>2.44975604474667</v>
      </c>
      <c r="B7886" s="47">
        <v>5.4</v>
      </c>
      <c r="D7886" s="2"/>
      <c r="E7886" s="31"/>
      <c r="G7886" s="43"/>
      <c r="H7886" s="2"/>
    </row>
    <row r="7887" spans="1:8">
      <c r="A7887" s="39">
        <v>2.44931047801213</v>
      </c>
      <c r="B7887" s="47">
        <v>8.6</v>
      </c>
      <c r="D7887" s="2"/>
      <c r="E7887" s="31"/>
      <c r="G7887" s="43"/>
      <c r="H7887" s="2"/>
    </row>
    <row r="7888" spans="1:8">
      <c r="A7888" s="39">
        <v>2.44905229408745</v>
      </c>
      <c r="B7888" s="47">
        <v>19.4</v>
      </c>
      <c r="D7888" s="2"/>
      <c r="E7888" s="31"/>
      <c r="G7888" s="43"/>
      <c r="H7888" s="2"/>
    </row>
    <row r="7889" spans="1:8">
      <c r="A7889" s="39">
        <v>2.44900789727076</v>
      </c>
      <c r="B7889" s="47">
        <v>4.9</v>
      </c>
      <c r="D7889" s="2"/>
      <c r="E7889" s="31"/>
      <c r="G7889" s="43"/>
      <c r="H7889" s="2"/>
    </row>
    <row r="7890" spans="1:8">
      <c r="A7890" s="39">
        <v>2.44896440091749</v>
      </c>
      <c r="B7890" s="47">
        <v>10</v>
      </c>
      <c r="D7890" s="2"/>
      <c r="E7890" s="31"/>
      <c r="G7890" s="43"/>
      <c r="H7890" s="2"/>
    </row>
    <row r="7891" spans="1:8">
      <c r="A7891" s="39">
        <v>2.44896440091749</v>
      </c>
      <c r="B7891" s="47">
        <v>8</v>
      </c>
      <c r="D7891" s="2"/>
      <c r="E7891" s="31"/>
      <c r="G7891" s="43"/>
      <c r="H7891" s="2"/>
    </row>
    <row r="7892" spans="1:8">
      <c r="A7892" s="39">
        <v>2.44839584737949</v>
      </c>
      <c r="B7892" s="47">
        <v>13.1</v>
      </c>
      <c r="D7892" s="2"/>
      <c r="E7892" s="31"/>
      <c r="G7892" s="43"/>
      <c r="H7892" s="2"/>
    </row>
    <row r="7893" spans="1:8">
      <c r="A7893" s="39">
        <v>2.44832343447107</v>
      </c>
      <c r="B7893" s="47">
        <v>7.5</v>
      </c>
      <c r="D7893" s="2"/>
      <c r="E7893" s="31"/>
      <c r="G7893" s="43"/>
      <c r="H7893" s="2"/>
    </row>
    <row r="7894" spans="1:8">
      <c r="A7894" s="39">
        <v>2.44832343447107</v>
      </c>
      <c r="B7894" s="47">
        <v>2.8</v>
      </c>
      <c r="D7894" s="2"/>
      <c r="E7894" s="31"/>
      <c r="G7894" s="43"/>
      <c r="H7894" s="2"/>
    </row>
    <row r="7895" spans="1:8">
      <c r="A7895" s="39">
        <v>2.44831082087989</v>
      </c>
      <c r="B7895" s="47">
        <v>21.2</v>
      </c>
      <c r="D7895" s="2"/>
      <c r="E7895" s="31"/>
      <c r="G7895" s="43"/>
      <c r="H7895" s="2"/>
    </row>
    <row r="7896" spans="1:8">
      <c r="A7896" s="39">
        <v>2.44700366080467</v>
      </c>
      <c r="B7896" s="47">
        <v>26.5</v>
      </c>
      <c r="D7896" s="2"/>
      <c r="E7896" s="31"/>
      <c r="G7896" s="43"/>
      <c r="H7896" s="2"/>
    </row>
    <row r="7897" spans="1:8">
      <c r="A7897" s="39">
        <v>2.44698872332927</v>
      </c>
      <c r="B7897" s="47">
        <v>5</v>
      </c>
      <c r="D7897" s="2"/>
      <c r="E7897" s="31"/>
      <c r="G7897" s="43"/>
      <c r="H7897" s="2"/>
    </row>
    <row r="7898" spans="1:8">
      <c r="A7898" s="39">
        <v>2.44698872332927</v>
      </c>
      <c r="B7898" s="47">
        <v>12</v>
      </c>
      <c r="D7898" s="2"/>
      <c r="E7898" s="31"/>
      <c r="G7898" s="43"/>
      <c r="H7898" s="2"/>
    </row>
    <row r="7899" spans="1:8">
      <c r="A7899" s="39">
        <v>2.44694104210978</v>
      </c>
      <c r="B7899" s="47">
        <v>13.5</v>
      </c>
      <c r="D7899" s="2"/>
      <c r="E7899" s="31"/>
      <c r="G7899" s="43"/>
      <c r="H7899" s="2"/>
    </row>
    <row r="7900" spans="1:8">
      <c r="A7900" s="39">
        <v>2.44685433968724</v>
      </c>
      <c r="B7900" s="47">
        <v>6</v>
      </c>
      <c r="D7900" s="2"/>
      <c r="E7900" s="31"/>
      <c r="G7900" s="43"/>
      <c r="H7900" s="2"/>
    </row>
    <row r="7901" spans="1:8">
      <c r="A7901" s="39">
        <v>2.44661407366421</v>
      </c>
      <c r="B7901" s="47">
        <v>23</v>
      </c>
      <c r="D7901" s="2"/>
      <c r="E7901" s="31"/>
      <c r="G7901" s="43"/>
      <c r="H7901" s="2"/>
    </row>
    <row r="7902" spans="1:8">
      <c r="A7902" s="39">
        <v>2.44661407366421</v>
      </c>
      <c r="B7902" s="47">
        <v>13</v>
      </c>
      <c r="D7902" s="2"/>
      <c r="E7902" s="31"/>
      <c r="G7902" s="43"/>
      <c r="H7902" s="2"/>
    </row>
    <row r="7903" spans="1:8">
      <c r="A7903" s="39">
        <v>2.44628516130416</v>
      </c>
      <c r="B7903" s="47">
        <v>10</v>
      </c>
      <c r="D7903" s="2"/>
      <c r="E7903" s="31"/>
      <c r="G7903" s="43"/>
      <c r="H7903" s="2"/>
    </row>
    <row r="7904" spans="1:8">
      <c r="A7904" s="39">
        <v>2.44577832401771</v>
      </c>
      <c r="B7904" s="47">
        <v>25</v>
      </c>
      <c r="D7904" s="2"/>
      <c r="E7904" s="31"/>
      <c r="G7904" s="43"/>
      <c r="H7904" s="2"/>
    </row>
    <row r="7905" spans="1:8">
      <c r="A7905" s="39">
        <v>2.44569650072945</v>
      </c>
      <c r="B7905" s="47">
        <v>13</v>
      </c>
      <c r="D7905" s="2"/>
      <c r="E7905" s="31"/>
      <c r="G7905" s="43"/>
      <c r="H7905" s="2"/>
    </row>
    <row r="7906" spans="1:8">
      <c r="A7906" s="39">
        <v>2.44543104416547</v>
      </c>
      <c r="B7906" s="47">
        <v>4.2</v>
      </c>
      <c r="D7906" s="2"/>
      <c r="E7906" s="31"/>
      <c r="G7906" s="43"/>
      <c r="H7906" s="2"/>
    </row>
    <row r="7907" spans="1:8">
      <c r="A7907" s="39">
        <v>2.44539874519605</v>
      </c>
      <c r="B7907" s="47">
        <v>6</v>
      </c>
      <c r="D7907" s="2"/>
      <c r="E7907" s="31"/>
      <c r="G7907" s="43"/>
      <c r="H7907" s="2"/>
    </row>
    <row r="7908" spans="1:8">
      <c r="A7908" s="39">
        <v>2.44467094795046</v>
      </c>
      <c r="B7908" s="47">
        <v>11.2</v>
      </c>
      <c r="D7908" s="2"/>
      <c r="E7908" s="31"/>
      <c r="G7908" s="43"/>
      <c r="H7908" s="2"/>
    </row>
    <row r="7909" spans="1:8">
      <c r="A7909" s="39">
        <v>2.44421665767297</v>
      </c>
      <c r="B7909" s="47">
        <v>10.1</v>
      </c>
      <c r="D7909" s="2"/>
      <c r="E7909" s="31"/>
      <c r="G7909" s="43"/>
      <c r="H7909" s="2"/>
    </row>
    <row r="7910" spans="1:8">
      <c r="A7910" s="39">
        <v>2.44342228881368</v>
      </c>
      <c r="B7910" s="47">
        <v>24</v>
      </c>
      <c r="D7910" s="2"/>
      <c r="E7910" s="31"/>
      <c r="G7910" s="43"/>
      <c r="H7910" s="2"/>
    </row>
    <row r="7911" spans="1:8">
      <c r="A7911" s="39">
        <v>2.44342228881368</v>
      </c>
      <c r="B7911" s="47">
        <v>20</v>
      </c>
      <c r="D7911" s="2"/>
      <c r="E7911" s="31"/>
      <c r="G7911" s="43"/>
      <c r="H7911" s="2"/>
    </row>
    <row r="7912" spans="1:8">
      <c r="A7912" s="39">
        <v>2.44321535345927</v>
      </c>
      <c r="B7912" s="47">
        <v>0</v>
      </c>
      <c r="D7912" s="2"/>
      <c r="E7912" s="31"/>
      <c r="G7912" s="43"/>
      <c r="H7912" s="2"/>
    </row>
    <row r="7913" spans="1:8">
      <c r="A7913" s="39">
        <v>2.44303296407161</v>
      </c>
      <c r="B7913" s="47">
        <v>5</v>
      </c>
      <c r="D7913" s="2"/>
      <c r="E7913" s="31"/>
      <c r="G7913" s="43"/>
      <c r="H7913" s="2"/>
    </row>
    <row r="7914" spans="1:8">
      <c r="A7914" s="39">
        <v>2.44303296407161</v>
      </c>
      <c r="B7914" s="47">
        <v>1</v>
      </c>
      <c r="D7914" s="2"/>
      <c r="E7914" s="31"/>
      <c r="G7914" s="43"/>
      <c r="H7914" s="2"/>
    </row>
    <row r="7915" spans="1:8">
      <c r="A7915" s="39">
        <v>2.44303296407161</v>
      </c>
      <c r="B7915" s="47">
        <v>12.3</v>
      </c>
      <c r="D7915" s="2"/>
      <c r="E7915" s="31"/>
      <c r="G7915" s="43"/>
      <c r="H7915" s="2"/>
    </row>
    <row r="7916" spans="1:8">
      <c r="A7916" s="39">
        <v>2.44303296407161</v>
      </c>
      <c r="B7916" s="47">
        <v>10.4</v>
      </c>
      <c r="D7916" s="2"/>
      <c r="E7916" s="31"/>
      <c r="G7916" s="43"/>
      <c r="H7916" s="2"/>
    </row>
    <row r="7917" spans="1:8">
      <c r="A7917" s="39">
        <v>2.44276735117862</v>
      </c>
      <c r="B7917" s="47">
        <v>9.8</v>
      </c>
      <c r="D7917" s="2"/>
      <c r="E7917" s="31"/>
      <c r="G7917" s="43"/>
      <c r="H7917" s="2"/>
    </row>
    <row r="7918" spans="1:8">
      <c r="A7918" s="39">
        <v>2.44273783816969</v>
      </c>
      <c r="B7918" s="47">
        <v>13.2</v>
      </c>
      <c r="D7918" s="2"/>
      <c r="E7918" s="31"/>
      <c r="G7918" s="43"/>
      <c r="H7918" s="2"/>
    </row>
    <row r="7919" spans="1:8">
      <c r="A7919" s="39">
        <v>2.44271853815446</v>
      </c>
      <c r="B7919" s="47">
        <v>5.5</v>
      </c>
      <c r="D7919" s="2"/>
      <c r="E7919" s="31"/>
      <c r="G7919" s="43"/>
      <c r="H7919" s="2"/>
    </row>
    <row r="7920" spans="1:8">
      <c r="A7920" s="39">
        <v>2.44216326927391</v>
      </c>
      <c r="B7920" s="47">
        <v>5</v>
      </c>
      <c r="D7920" s="2"/>
      <c r="E7920" s="31"/>
      <c r="G7920" s="43"/>
      <c r="H7920" s="2"/>
    </row>
    <row r="7921" spans="1:8">
      <c r="A7921" s="39">
        <v>2.4417750205038</v>
      </c>
      <c r="B7921" s="47">
        <v>12</v>
      </c>
      <c r="D7921" s="2"/>
      <c r="E7921" s="31"/>
      <c r="G7921" s="43"/>
      <c r="H7921" s="2"/>
    </row>
    <row r="7922" spans="1:8">
      <c r="A7922" s="39">
        <v>2.4417750205038</v>
      </c>
      <c r="B7922" s="47">
        <v>9</v>
      </c>
      <c r="D7922" s="2"/>
      <c r="E7922" s="31"/>
      <c r="G7922" s="43"/>
      <c r="H7922" s="2"/>
    </row>
    <row r="7923" spans="1:8">
      <c r="A7923" s="39">
        <v>2.44160052023457</v>
      </c>
      <c r="B7923" s="47">
        <v>10.5</v>
      </c>
      <c r="D7923" s="2"/>
      <c r="E7923" s="31"/>
      <c r="G7923" s="43"/>
      <c r="H7923" s="2"/>
    </row>
    <row r="7924" spans="1:8">
      <c r="A7924" s="39">
        <v>2.44147880647423</v>
      </c>
      <c r="B7924" s="47">
        <v>0</v>
      </c>
      <c r="D7924" s="2"/>
      <c r="E7924" s="31"/>
      <c r="G7924" s="43"/>
      <c r="H7924" s="2"/>
    </row>
    <row r="7925" spans="1:8">
      <c r="A7925" s="39">
        <v>2.4406072861768</v>
      </c>
      <c r="B7925" s="47">
        <v>18</v>
      </c>
      <c r="D7925" s="2"/>
      <c r="E7925" s="31"/>
      <c r="G7925" s="43"/>
      <c r="H7925" s="2"/>
    </row>
    <row r="7926" spans="1:8">
      <c r="A7926" s="39">
        <v>2.44010988087486</v>
      </c>
      <c r="B7926" s="47">
        <v>4.7</v>
      </c>
      <c r="D7926" s="2"/>
      <c r="E7926" s="31"/>
      <c r="G7926" s="43"/>
      <c r="H7926" s="2"/>
    </row>
    <row r="7927" spans="1:8">
      <c r="A7927" s="39">
        <v>2.44010988087486</v>
      </c>
      <c r="B7927" s="47">
        <v>4.3</v>
      </c>
      <c r="D7927" s="2"/>
      <c r="E7927" s="31"/>
      <c r="G7927" s="43"/>
      <c r="H7927" s="2"/>
    </row>
    <row r="7928" spans="1:8">
      <c r="A7928" s="39">
        <v>2.44010988087486</v>
      </c>
      <c r="B7928" s="47">
        <v>6.9</v>
      </c>
      <c r="D7928" s="2"/>
      <c r="E7928" s="31"/>
      <c r="G7928" s="43"/>
      <c r="H7928" s="2"/>
    </row>
    <row r="7929" spans="1:8">
      <c r="A7929" s="39">
        <v>2.43945185447901</v>
      </c>
      <c r="B7929" s="47">
        <v>23</v>
      </c>
      <c r="D7929" s="2"/>
      <c r="E7929" s="31"/>
      <c r="G7929" s="43"/>
      <c r="H7929" s="2"/>
    </row>
    <row r="7930" spans="1:8">
      <c r="A7930" s="39">
        <v>2.43854597902796</v>
      </c>
      <c r="B7930" s="47">
        <v>14.9</v>
      </c>
      <c r="D7930" s="2"/>
      <c r="E7930" s="31"/>
      <c r="G7930" s="43"/>
      <c r="H7930" s="2"/>
    </row>
    <row r="7931" spans="1:8">
      <c r="A7931" s="39">
        <v>2.43812077274011</v>
      </c>
      <c r="B7931" s="47">
        <v>13.5</v>
      </c>
      <c r="D7931" s="2"/>
      <c r="E7931" s="31"/>
      <c r="G7931" s="43"/>
      <c r="H7931" s="2"/>
    </row>
    <row r="7932" spans="1:8">
      <c r="A7932" s="39">
        <v>2.43802472767708</v>
      </c>
      <c r="B7932" s="47">
        <v>12.8</v>
      </c>
      <c r="D7932" s="2"/>
      <c r="E7932" s="31"/>
      <c r="G7932" s="43"/>
      <c r="H7932" s="2"/>
    </row>
    <row r="7933" spans="1:8">
      <c r="A7933" s="39">
        <v>2.43777607489094</v>
      </c>
      <c r="B7933" s="47">
        <v>9.7</v>
      </c>
      <c r="D7933" s="2"/>
      <c r="E7933" s="31"/>
      <c r="G7933" s="43"/>
      <c r="H7933" s="2"/>
    </row>
    <row r="7934" spans="1:8">
      <c r="A7934" s="39">
        <v>2.43713885497774</v>
      </c>
      <c r="B7934" s="47">
        <v>11</v>
      </c>
      <c r="D7934" s="2"/>
      <c r="E7934" s="31"/>
      <c r="G7934" s="43"/>
      <c r="H7934" s="2"/>
    </row>
    <row r="7935" spans="1:8">
      <c r="A7935" s="39">
        <v>2.4370885328807</v>
      </c>
      <c r="B7935" s="47">
        <v>10.7</v>
      </c>
      <c r="D7935" s="2"/>
      <c r="E7935" s="31"/>
      <c r="G7935" s="43"/>
      <c r="H7935" s="2"/>
    </row>
    <row r="7936" spans="1:8">
      <c r="A7936" s="39">
        <v>2.43668756687644</v>
      </c>
      <c r="B7936" s="47">
        <v>14.5</v>
      </c>
      <c r="D7936" s="2"/>
      <c r="E7936" s="31"/>
      <c r="G7936" s="43"/>
      <c r="H7936" s="2"/>
    </row>
    <row r="7937" spans="1:8">
      <c r="A7937" s="39">
        <v>2.43668756687644</v>
      </c>
      <c r="B7937" s="47">
        <v>7</v>
      </c>
      <c r="D7937" s="2"/>
      <c r="E7937" s="31"/>
      <c r="G7937" s="43"/>
      <c r="H7937" s="2"/>
    </row>
    <row r="7938" spans="1:8">
      <c r="A7938" s="39">
        <v>2.43668756687644</v>
      </c>
      <c r="B7938" s="47">
        <v>11.8</v>
      </c>
      <c r="D7938" s="2"/>
      <c r="E7938" s="31"/>
      <c r="G7938" s="43"/>
      <c r="H7938" s="2"/>
    </row>
    <row r="7939" spans="1:8">
      <c r="A7939" s="39">
        <v>2.43668756687644</v>
      </c>
      <c r="B7939" s="47">
        <v>4</v>
      </c>
      <c r="D7939" s="2"/>
      <c r="E7939" s="31"/>
      <c r="G7939" s="43"/>
      <c r="H7939" s="2"/>
    </row>
    <row r="7940" spans="1:8">
      <c r="A7940" s="39">
        <v>2.43638478222148</v>
      </c>
      <c r="B7940" s="47">
        <v>9.6</v>
      </c>
      <c r="D7940" s="2"/>
      <c r="E7940" s="31"/>
      <c r="G7940" s="43"/>
      <c r="H7940" s="2"/>
    </row>
    <row r="7941" spans="1:8">
      <c r="A7941" s="39">
        <v>2.43589280016533</v>
      </c>
      <c r="B7941" s="47">
        <v>11.3</v>
      </c>
      <c r="D7941" s="2"/>
      <c r="E7941" s="31"/>
      <c r="G7941" s="43"/>
      <c r="H7941" s="2"/>
    </row>
    <row r="7942" spans="1:8">
      <c r="A7942" s="39">
        <v>2.43573173092753</v>
      </c>
      <c r="B7942" s="47">
        <v>5.4</v>
      </c>
      <c r="D7942" s="2"/>
      <c r="E7942" s="31"/>
      <c r="G7942" s="43"/>
      <c r="H7942" s="2"/>
    </row>
    <row r="7943" spans="1:8">
      <c r="A7943" s="39">
        <v>2.43531864127707</v>
      </c>
      <c r="B7943" s="47">
        <v>3.4</v>
      </c>
      <c r="D7943" s="2"/>
      <c r="E7943" s="31"/>
      <c r="G7943" s="43"/>
      <c r="H7943" s="2"/>
    </row>
    <row r="7944" spans="1:8">
      <c r="A7944" s="39">
        <v>2.43502816890242</v>
      </c>
      <c r="B7944" s="47">
        <v>6.8</v>
      </c>
      <c r="D7944" s="2"/>
      <c r="E7944" s="31"/>
      <c r="G7944" s="43"/>
      <c r="H7944" s="2"/>
    </row>
    <row r="7945" spans="1:8">
      <c r="A7945" s="39">
        <v>2.43502816890242</v>
      </c>
      <c r="B7945" s="47">
        <v>8.4</v>
      </c>
      <c r="D7945" s="2"/>
      <c r="E7945" s="31"/>
      <c r="G7945" s="43"/>
      <c r="H7945" s="2"/>
    </row>
    <row r="7946" spans="1:8">
      <c r="A7946" s="39">
        <v>2.43486616611757</v>
      </c>
      <c r="B7946" s="47">
        <v>5.3</v>
      </c>
      <c r="D7946" s="2"/>
      <c r="E7946" s="31"/>
      <c r="G7946" s="43"/>
      <c r="H7946" s="2"/>
    </row>
    <row r="7947" spans="1:8">
      <c r="A7947" s="39">
        <v>2.43443830104937</v>
      </c>
      <c r="B7947" s="47">
        <v>10</v>
      </c>
      <c r="D7947" s="2"/>
      <c r="E7947" s="31"/>
      <c r="G7947" s="43"/>
      <c r="H7947" s="2"/>
    </row>
    <row r="7948" spans="1:8">
      <c r="A7948" s="39">
        <v>2.43300585721233</v>
      </c>
      <c r="B7948" s="47">
        <v>9.8</v>
      </c>
      <c r="D7948" s="2"/>
      <c r="E7948" s="31"/>
      <c r="G7948" s="43"/>
      <c r="H7948" s="2"/>
    </row>
    <row r="7949" spans="1:8">
      <c r="A7949" s="39">
        <v>2.43228963529381</v>
      </c>
      <c r="B7949" s="47">
        <v>10</v>
      </c>
      <c r="D7949" s="2"/>
      <c r="E7949" s="31"/>
      <c r="G7949" s="43"/>
      <c r="H7949" s="2"/>
    </row>
    <row r="7950" spans="1:8">
      <c r="A7950" s="39">
        <v>2.43228963529381</v>
      </c>
      <c r="B7950" s="47">
        <v>22</v>
      </c>
      <c r="D7950" s="2"/>
      <c r="E7950" s="31"/>
      <c r="G7950" s="43"/>
      <c r="H7950" s="2"/>
    </row>
    <row r="7951" spans="1:8">
      <c r="A7951" s="39">
        <v>2.43228963529381</v>
      </c>
      <c r="B7951" s="47">
        <v>25</v>
      </c>
      <c r="D7951" s="2"/>
      <c r="E7951" s="31"/>
      <c r="G7951" s="43"/>
      <c r="H7951" s="2"/>
    </row>
    <row r="7952" spans="1:8">
      <c r="A7952" s="39">
        <v>2.43221392080198</v>
      </c>
      <c r="B7952" s="47">
        <v>11</v>
      </c>
      <c r="D7952" s="2"/>
      <c r="E7952" s="31"/>
      <c r="G7952" s="43"/>
      <c r="H7952" s="2"/>
    </row>
    <row r="7953" spans="1:8">
      <c r="A7953" s="39">
        <v>2.43216227826615</v>
      </c>
      <c r="B7953" s="47">
        <v>10.5</v>
      </c>
      <c r="D7953" s="2"/>
      <c r="E7953" s="31"/>
      <c r="G7953" s="43"/>
      <c r="H7953" s="2"/>
    </row>
    <row r="7954" spans="1:8">
      <c r="A7954" s="39">
        <v>2.43216227826615</v>
      </c>
      <c r="B7954" s="47">
        <v>5.5</v>
      </c>
      <c r="D7954" s="2"/>
      <c r="E7954" s="31"/>
      <c r="G7954" s="43"/>
      <c r="H7954" s="2"/>
    </row>
    <row r="7955" spans="1:8">
      <c r="A7955" s="39">
        <v>2.43197131993968</v>
      </c>
      <c r="B7955" s="47">
        <v>16</v>
      </c>
      <c r="D7955" s="2"/>
      <c r="E7955" s="31"/>
      <c r="G7955" s="43"/>
      <c r="H7955" s="2"/>
    </row>
    <row r="7956" spans="1:8">
      <c r="A7956" s="39">
        <v>2.43197131993968</v>
      </c>
      <c r="B7956" s="47">
        <v>4.1</v>
      </c>
      <c r="D7956" s="2"/>
      <c r="E7956" s="31"/>
      <c r="G7956" s="43"/>
      <c r="H7956" s="2"/>
    </row>
    <row r="7957" spans="1:8">
      <c r="A7957" s="39">
        <v>2.43151035877687</v>
      </c>
      <c r="B7957" s="47">
        <v>8.6</v>
      </c>
      <c r="D7957" s="2"/>
      <c r="E7957" s="31"/>
      <c r="G7957" s="43"/>
      <c r="H7957" s="2"/>
    </row>
    <row r="7958" spans="1:8">
      <c r="A7958" s="39">
        <v>2.43131773990208</v>
      </c>
      <c r="B7958" s="47">
        <v>2</v>
      </c>
      <c r="D7958" s="2"/>
      <c r="E7958" s="31"/>
      <c r="G7958" s="43"/>
      <c r="H7958" s="2"/>
    </row>
    <row r="7959" spans="1:8">
      <c r="A7959" s="39">
        <v>2.43129171268764</v>
      </c>
      <c r="B7959" s="47">
        <v>13</v>
      </c>
      <c r="D7959" s="2"/>
      <c r="E7959" s="31"/>
      <c r="G7959" s="43"/>
      <c r="H7959" s="2"/>
    </row>
    <row r="7960" spans="1:8">
      <c r="A7960" s="39">
        <v>2.43129171268764</v>
      </c>
      <c r="B7960" s="47">
        <v>9.5</v>
      </c>
      <c r="D7960" s="2"/>
      <c r="E7960" s="31"/>
      <c r="G7960" s="43"/>
      <c r="H7960" s="2"/>
    </row>
    <row r="7961" spans="1:8">
      <c r="A7961" s="39">
        <v>2.42942474761973</v>
      </c>
      <c r="B7961" s="47">
        <v>7</v>
      </c>
      <c r="D7961" s="2"/>
      <c r="E7961" s="31"/>
      <c r="G7961" s="43"/>
      <c r="H7961" s="2"/>
    </row>
    <row r="7962" spans="1:8">
      <c r="A7962" s="39">
        <v>2.42939967270154</v>
      </c>
      <c r="B7962" s="47">
        <v>3.5</v>
      </c>
      <c r="D7962" s="2"/>
      <c r="E7962" s="31"/>
      <c r="G7962" s="43"/>
      <c r="H7962" s="2"/>
    </row>
    <row r="7963" spans="1:8">
      <c r="A7963" s="39">
        <v>2.42934727562927</v>
      </c>
      <c r="B7963" s="47">
        <v>30</v>
      </c>
      <c r="D7963" s="2"/>
      <c r="E7963" s="31"/>
      <c r="G7963" s="43"/>
      <c r="H7963" s="2"/>
    </row>
    <row r="7964" spans="1:8">
      <c r="A7964" s="39">
        <v>2.42934727562927</v>
      </c>
      <c r="B7964" s="47">
        <v>20</v>
      </c>
      <c r="D7964" s="2"/>
      <c r="E7964" s="31"/>
      <c r="G7964" s="43"/>
      <c r="H7964" s="2"/>
    </row>
    <row r="7965" spans="1:8">
      <c r="A7965" s="39">
        <v>2.42934727562927</v>
      </c>
      <c r="B7965" s="47">
        <v>12.2</v>
      </c>
      <c r="D7965" s="2"/>
      <c r="E7965" s="31"/>
      <c r="G7965" s="43"/>
      <c r="H7965" s="2"/>
    </row>
    <row r="7966" spans="1:8">
      <c r="A7966" s="39">
        <v>2.42934727562927</v>
      </c>
      <c r="B7966" s="47">
        <v>7</v>
      </c>
      <c r="D7966" s="2"/>
      <c r="E7966" s="31"/>
      <c r="G7966" s="43"/>
      <c r="H7966" s="2"/>
    </row>
    <row r="7967" spans="1:8">
      <c r="A7967" s="39">
        <v>2.42934727562927</v>
      </c>
      <c r="B7967" s="47">
        <v>13</v>
      </c>
      <c r="D7967" s="2"/>
      <c r="E7967" s="31"/>
      <c r="G7967" s="43"/>
      <c r="H7967" s="2"/>
    </row>
    <row r="7968" spans="1:8">
      <c r="A7968" s="39">
        <v>2.42870852570121</v>
      </c>
      <c r="B7968" s="47">
        <v>19.2</v>
      </c>
      <c r="D7968" s="2"/>
      <c r="E7968" s="31"/>
      <c r="G7968" s="43"/>
      <c r="H7968" s="2"/>
    </row>
    <row r="7969" spans="1:8">
      <c r="A7969" s="39">
        <v>2.42869611067643</v>
      </c>
      <c r="B7969" s="47">
        <v>12</v>
      </c>
      <c r="D7969" s="2"/>
      <c r="E7969" s="31"/>
      <c r="G7969" s="43"/>
      <c r="H7969" s="2"/>
    </row>
    <row r="7970" spans="1:8">
      <c r="A7970" s="39">
        <v>2.42864352497005</v>
      </c>
      <c r="B7970" s="47">
        <v>10.5</v>
      </c>
      <c r="D7970" s="2"/>
      <c r="E7970" s="31"/>
      <c r="G7970" s="43"/>
      <c r="H7970" s="2"/>
    </row>
    <row r="7971" spans="1:8">
      <c r="A7971" s="39">
        <v>2.42859850669186</v>
      </c>
      <c r="B7971" s="47">
        <v>22</v>
      </c>
      <c r="D7971" s="2"/>
      <c r="E7971" s="31"/>
      <c r="G7971" s="43"/>
      <c r="H7971" s="2"/>
    </row>
    <row r="7972" spans="1:8">
      <c r="A7972" s="39">
        <v>2.42847401328023</v>
      </c>
      <c r="B7972" s="47">
        <v>3.3</v>
      </c>
      <c r="D7972" s="2"/>
      <c r="E7972" s="31"/>
      <c r="G7972" s="43"/>
      <c r="H7972" s="2"/>
    </row>
    <row r="7973" spans="1:8">
      <c r="A7973" s="39">
        <v>2.42820361725886</v>
      </c>
      <c r="B7973" s="47">
        <v>14.8</v>
      </c>
      <c r="D7973" s="2"/>
      <c r="E7973" s="31"/>
      <c r="G7973" s="43"/>
      <c r="H7973" s="2"/>
    </row>
    <row r="7974" spans="1:8">
      <c r="A7974" s="39">
        <v>2.42799254865133</v>
      </c>
      <c r="B7974" s="47">
        <v>11</v>
      </c>
      <c r="D7974" s="2"/>
      <c r="E7974" s="31"/>
      <c r="G7974" s="43"/>
      <c r="H7974" s="2"/>
    </row>
    <row r="7975" spans="1:8">
      <c r="A7975" s="39">
        <v>2.42799254865133</v>
      </c>
      <c r="B7975" s="47">
        <v>30</v>
      </c>
      <c r="D7975" s="2"/>
      <c r="E7975" s="31"/>
      <c r="G7975" s="43"/>
      <c r="H7975" s="2"/>
    </row>
    <row r="7976" spans="1:8">
      <c r="A7976" s="39">
        <v>2.42763419282343</v>
      </c>
      <c r="B7976" s="47">
        <v>8.4</v>
      </c>
      <c r="D7976" s="2"/>
      <c r="E7976" s="31"/>
      <c r="G7976" s="43"/>
      <c r="H7976" s="2"/>
    </row>
    <row r="7977" spans="1:8">
      <c r="A7977" s="39">
        <v>2.4254355195636</v>
      </c>
      <c r="B7977" s="47">
        <v>12</v>
      </c>
      <c r="D7977" s="44"/>
      <c r="E7977" s="31"/>
      <c r="G7977" s="43"/>
      <c r="H7977" s="2"/>
    </row>
    <row r="7978" spans="1:8">
      <c r="A7978" s="39">
        <v>2.42540896260412</v>
      </c>
      <c r="B7978" s="47">
        <v>7.7</v>
      </c>
      <c r="D7978" s="2"/>
      <c r="E7978" s="31"/>
      <c r="G7978" s="43"/>
      <c r="H7978" s="2"/>
    </row>
    <row r="7979" spans="1:8">
      <c r="A7979" s="39">
        <v>2.42540896260412</v>
      </c>
      <c r="B7979" s="47">
        <v>20</v>
      </c>
      <c r="D7979" s="2"/>
      <c r="E7979" s="31"/>
      <c r="G7979" s="43"/>
      <c r="H7979" s="2"/>
    </row>
    <row r="7980" spans="1:8">
      <c r="A7980" s="39">
        <v>2.42512741610861</v>
      </c>
      <c r="B7980" s="47">
        <v>3.3</v>
      </c>
      <c r="D7980" s="2"/>
      <c r="E7980" s="31"/>
      <c r="G7980" s="43"/>
      <c r="H7980" s="2"/>
    </row>
    <row r="7981" spans="1:8">
      <c r="A7981" s="39">
        <v>2.42502042231942</v>
      </c>
      <c r="B7981" s="47">
        <v>9</v>
      </c>
      <c r="D7981" s="2"/>
      <c r="E7981" s="31"/>
      <c r="G7981" s="43"/>
      <c r="H7981" s="2"/>
    </row>
    <row r="7982" spans="1:8">
      <c r="A7982" s="39">
        <v>2.42447473852578</v>
      </c>
      <c r="B7982" s="47">
        <v>24</v>
      </c>
      <c r="D7982" s="2"/>
      <c r="E7982" s="31"/>
      <c r="G7982" s="43"/>
      <c r="H7982" s="2"/>
    </row>
    <row r="7983" spans="1:8">
      <c r="A7983" s="39">
        <v>2.42447473852578</v>
      </c>
      <c r="B7983" s="47">
        <v>16.5</v>
      </c>
      <c r="D7983" s="2"/>
      <c r="E7983" s="31"/>
      <c r="G7983" s="43"/>
      <c r="H7983" s="2"/>
    </row>
    <row r="7984" spans="1:8">
      <c r="A7984" s="39">
        <v>2.42442102101473</v>
      </c>
      <c r="B7984" s="47">
        <v>16.5</v>
      </c>
      <c r="D7984" s="2"/>
      <c r="E7984" s="31"/>
      <c r="G7984" s="43"/>
      <c r="H7984" s="2"/>
    </row>
    <row r="7985" spans="1:8">
      <c r="A7985" s="39">
        <v>2.42429262507383</v>
      </c>
      <c r="B7985" s="47">
        <v>8</v>
      </c>
      <c r="D7985" s="2"/>
      <c r="E7985" s="31"/>
      <c r="G7985" s="43"/>
      <c r="H7985" s="2"/>
    </row>
    <row r="7986" spans="1:8">
      <c r="A7986" s="39">
        <v>2.42369497227157</v>
      </c>
      <c r="B7986" s="47">
        <v>12</v>
      </c>
      <c r="D7986" s="2"/>
      <c r="E7986" s="31"/>
      <c r="G7986" s="43"/>
      <c r="H7986" s="2"/>
    </row>
    <row r="7987" spans="1:8">
      <c r="A7987" s="39">
        <v>2.42322653102409</v>
      </c>
      <c r="B7987" s="47">
        <v>11.5</v>
      </c>
      <c r="D7987" s="2"/>
      <c r="E7987" s="31"/>
      <c r="G7987" s="43"/>
      <c r="H7987" s="2"/>
    </row>
    <row r="7988" spans="1:8">
      <c r="A7988" s="39">
        <v>2.42301351969629</v>
      </c>
      <c r="B7988" s="47">
        <v>8</v>
      </c>
      <c r="D7988" s="2"/>
      <c r="E7988" s="31"/>
      <c r="G7988" s="43"/>
      <c r="H7988" s="2"/>
    </row>
    <row r="7989" spans="1:8">
      <c r="A7989" s="39">
        <v>2.42299831088275</v>
      </c>
      <c r="B7989" s="47">
        <v>1</v>
      </c>
      <c r="D7989" s="2"/>
      <c r="E7989" s="31"/>
      <c r="G7989" s="43"/>
      <c r="H7989" s="2"/>
    </row>
    <row r="7990" spans="1:8">
      <c r="A7990" s="39">
        <v>2.42283703058264</v>
      </c>
      <c r="B7990" s="47">
        <v>11.8</v>
      </c>
      <c r="D7990" s="2"/>
      <c r="E7990" s="31"/>
      <c r="G7990" s="43"/>
      <c r="H7990" s="2"/>
    </row>
    <row r="7991" spans="1:8">
      <c r="A7991" s="39">
        <v>2.42230976903706</v>
      </c>
      <c r="B7991" s="47">
        <v>9</v>
      </c>
      <c r="D7991" s="2"/>
      <c r="E7991" s="31"/>
      <c r="G7991" s="43"/>
      <c r="H7991" s="2"/>
    </row>
    <row r="7992" spans="1:8">
      <c r="A7992" s="39">
        <v>2.42230976903706</v>
      </c>
      <c r="B7992" s="47">
        <v>8</v>
      </c>
      <c r="D7992" s="2"/>
      <c r="E7992" s="31"/>
      <c r="G7992" s="43"/>
      <c r="H7992" s="2"/>
    </row>
    <row r="7993" spans="1:8">
      <c r="A7993" s="39">
        <v>2.42230976903706</v>
      </c>
      <c r="B7993" s="47">
        <v>15.9</v>
      </c>
      <c r="D7993" s="2"/>
      <c r="E7993" s="31"/>
      <c r="G7993" s="43"/>
      <c r="H7993" s="2"/>
    </row>
    <row r="7994" spans="1:8">
      <c r="A7994" s="39">
        <v>2.42230976903706</v>
      </c>
      <c r="B7994" s="47">
        <v>9.5</v>
      </c>
      <c r="D7994" s="2"/>
      <c r="E7994" s="31"/>
      <c r="G7994" s="43"/>
      <c r="H7994" s="2"/>
    </row>
    <row r="7995" spans="1:8">
      <c r="A7995" s="39">
        <v>2.42216761937556</v>
      </c>
      <c r="B7995" s="47">
        <v>6</v>
      </c>
      <c r="D7995" s="2"/>
      <c r="E7995" s="31"/>
      <c r="G7995" s="43"/>
      <c r="H7995" s="2"/>
    </row>
    <row r="7996" spans="1:8">
      <c r="A7996" s="39">
        <v>2.42166049042534</v>
      </c>
      <c r="B7996" s="47">
        <v>11</v>
      </c>
      <c r="D7996" s="2"/>
      <c r="E7996" s="31"/>
      <c r="G7996" s="43"/>
      <c r="H7996" s="2"/>
    </row>
    <row r="7997" spans="1:8">
      <c r="A7997" s="39">
        <v>2.42166049042534</v>
      </c>
      <c r="B7997" s="47">
        <v>9</v>
      </c>
      <c r="D7997" s="2"/>
      <c r="E7997" s="31"/>
      <c r="G7997" s="43"/>
      <c r="H7997" s="2"/>
    </row>
    <row r="7998" spans="1:8">
      <c r="A7998" s="39">
        <v>2.42162938528338</v>
      </c>
      <c r="B7998" s="47">
        <v>0</v>
      </c>
      <c r="D7998" s="2"/>
      <c r="E7998" s="31"/>
      <c r="G7998" s="43"/>
      <c r="H7998" s="2"/>
    </row>
    <row r="7999" spans="1:8">
      <c r="A7999" s="39">
        <v>2.42104409944406</v>
      </c>
      <c r="B7999" s="47">
        <v>19</v>
      </c>
      <c r="D7999" s="2"/>
      <c r="E7999" s="31"/>
      <c r="G7999" s="43"/>
      <c r="H7999" s="2"/>
    </row>
    <row r="8000" spans="1:8">
      <c r="A8000" s="39">
        <v>2.4209449224837</v>
      </c>
      <c r="B8000" s="47">
        <v>3</v>
      </c>
      <c r="D8000" s="2"/>
      <c r="E8000" s="31"/>
      <c r="G8000" s="43"/>
      <c r="H8000" s="2"/>
    </row>
    <row r="8001" spans="1:8">
      <c r="A8001" s="39">
        <v>2.42051888870453</v>
      </c>
      <c r="B8001" s="47">
        <v>10.1</v>
      </c>
      <c r="D8001" s="2"/>
      <c r="E8001" s="31"/>
      <c r="G8001" s="43"/>
      <c r="H8001" s="2"/>
    </row>
    <row r="8002" spans="1:8">
      <c r="A8002" s="39">
        <v>2.42047197363823</v>
      </c>
      <c r="B8002" s="47">
        <v>9.8</v>
      </c>
      <c r="D8002" s="2"/>
      <c r="E8002" s="31"/>
      <c r="G8002" s="43"/>
      <c r="H8002" s="2"/>
    </row>
    <row r="8003" spans="1:8">
      <c r="A8003" s="39">
        <v>2.42026045968401</v>
      </c>
      <c r="B8003" s="47">
        <v>5.3</v>
      </c>
      <c r="D8003" s="2"/>
      <c r="E8003" s="31"/>
      <c r="G8003" s="43"/>
      <c r="H8003" s="2"/>
    </row>
    <row r="8004" spans="1:8">
      <c r="A8004" s="39">
        <v>2.42025336637513</v>
      </c>
      <c r="B8004" s="47">
        <v>10</v>
      </c>
      <c r="D8004" s="2"/>
      <c r="E8004" s="31"/>
      <c r="G8004" s="43"/>
      <c r="H8004" s="2"/>
    </row>
    <row r="8005" spans="1:8">
      <c r="A8005" s="39">
        <v>2.4201985170594</v>
      </c>
      <c r="B8005" s="47">
        <v>4.5</v>
      </c>
      <c r="D8005" s="2"/>
      <c r="E8005" s="31"/>
      <c r="G8005" s="43"/>
      <c r="H8005" s="2"/>
    </row>
    <row r="8006" spans="1:8">
      <c r="A8006" s="39">
        <v>2.42011386267897</v>
      </c>
      <c r="B8006" s="47">
        <v>9.8</v>
      </c>
      <c r="D8006" s="2"/>
      <c r="E8006" s="31"/>
      <c r="G8006" s="43"/>
      <c r="H8006" s="2"/>
    </row>
    <row r="8007" spans="1:8">
      <c r="A8007" s="39">
        <v>2.41884624232491</v>
      </c>
      <c r="B8007" s="47">
        <v>5</v>
      </c>
      <c r="D8007" s="2"/>
      <c r="E8007" s="31"/>
      <c r="G8007" s="43"/>
      <c r="H8007" s="2"/>
    </row>
    <row r="8008" spans="1:8">
      <c r="A8008" s="39">
        <v>2.41879101574096</v>
      </c>
      <c r="B8008" s="47">
        <v>16.2</v>
      </c>
      <c r="D8008" s="2"/>
      <c r="E8008" s="31"/>
      <c r="G8008" s="43"/>
      <c r="H8008" s="2"/>
    </row>
    <row r="8009" spans="1:8">
      <c r="A8009" s="39">
        <v>2.4184989842077</v>
      </c>
      <c r="B8009" s="47">
        <v>4.4</v>
      </c>
      <c r="D8009" s="2"/>
      <c r="E8009" s="31"/>
      <c r="G8009" s="43"/>
      <c r="H8009" s="2"/>
    </row>
    <row r="8010" spans="1:8">
      <c r="A8010" s="39">
        <v>2.41808726508174</v>
      </c>
      <c r="B8010" s="47">
        <v>8.4</v>
      </c>
      <c r="D8010" s="2"/>
      <c r="E8010" s="31"/>
      <c r="G8010" s="43"/>
      <c r="H8010" s="2"/>
    </row>
    <row r="8011" spans="1:8">
      <c r="A8011" s="39">
        <v>2.41782568270876</v>
      </c>
      <c r="B8011" s="47">
        <v>7.7</v>
      </c>
      <c r="D8011" s="2"/>
      <c r="E8011" s="31"/>
      <c r="G8011" s="43"/>
      <c r="H8011" s="2"/>
    </row>
    <row r="8012" spans="1:8">
      <c r="A8012" s="39">
        <v>2.41777045207402</v>
      </c>
      <c r="B8012" s="47">
        <v>6.3</v>
      </c>
      <c r="D8012" s="2"/>
      <c r="E8012" s="31"/>
      <c r="G8012" s="43"/>
      <c r="H8012" s="2"/>
    </row>
    <row r="8013" spans="1:8">
      <c r="A8013" s="39">
        <v>2.41743911827469</v>
      </c>
      <c r="B8013" s="47">
        <v>6.7</v>
      </c>
      <c r="D8013" s="2"/>
      <c r="E8013" s="31"/>
      <c r="G8013" s="43"/>
      <c r="H8013" s="2"/>
    </row>
    <row r="8014" spans="1:8">
      <c r="A8014" s="39">
        <v>2.41673555624958</v>
      </c>
      <c r="B8014" s="47">
        <v>14.6</v>
      </c>
      <c r="D8014" s="2"/>
      <c r="E8014" s="31"/>
      <c r="G8014" s="43"/>
      <c r="H8014" s="2"/>
    </row>
    <row r="8015" spans="1:8">
      <c r="A8015" s="39">
        <v>2.41667923628401</v>
      </c>
      <c r="B8015" s="47">
        <v>12.2</v>
      </c>
      <c r="D8015" s="2"/>
      <c r="E8015" s="31"/>
      <c r="G8015" s="43"/>
      <c r="H8015" s="2"/>
    </row>
    <row r="8016" spans="1:8">
      <c r="A8016" s="39">
        <v>2.41628539903709</v>
      </c>
      <c r="B8016" s="47">
        <v>10.4</v>
      </c>
      <c r="D8016" s="2"/>
      <c r="E8016" s="31"/>
      <c r="G8016" s="43"/>
      <c r="H8016" s="2"/>
    </row>
    <row r="8017" spans="1:8">
      <c r="A8017" s="39">
        <v>2.41595175909066</v>
      </c>
      <c r="B8017" s="47">
        <v>14.6</v>
      </c>
      <c r="D8017" s="2"/>
      <c r="E8017" s="31"/>
      <c r="G8017" s="43"/>
      <c r="H8017" s="2"/>
    </row>
    <row r="8018" spans="1:8">
      <c r="A8018" s="39">
        <v>2.41595175909066</v>
      </c>
      <c r="B8018" s="47">
        <v>16</v>
      </c>
      <c r="D8018" s="2"/>
      <c r="E8018" s="31"/>
      <c r="G8018" s="43"/>
      <c r="H8018" s="2"/>
    </row>
    <row r="8019" spans="1:8">
      <c r="A8019" s="39">
        <v>2.41581653116785</v>
      </c>
      <c r="B8019" s="47">
        <v>8</v>
      </c>
      <c r="D8019" s="2"/>
      <c r="E8019" s="31"/>
      <c r="G8019" s="43"/>
      <c r="H8019" s="2"/>
    </row>
    <row r="8020" spans="1:8">
      <c r="A8020" s="39">
        <v>2.41563181899948</v>
      </c>
      <c r="B8020" s="47">
        <v>5</v>
      </c>
      <c r="D8020" s="2"/>
      <c r="E8020" s="31"/>
      <c r="G8020" s="43"/>
      <c r="H8020" s="2"/>
    </row>
    <row r="8021" spans="1:8">
      <c r="A8021" s="39">
        <v>2.41527226244486</v>
      </c>
      <c r="B8021" s="47">
        <v>9.5</v>
      </c>
      <c r="D8021" s="2"/>
      <c r="E8021" s="31"/>
      <c r="G8021" s="43"/>
      <c r="H8021" s="2"/>
    </row>
    <row r="8022" spans="1:8">
      <c r="A8022" s="39">
        <v>2.41497823896187</v>
      </c>
      <c r="B8022" s="47">
        <v>10.5</v>
      </c>
      <c r="D8022" s="2"/>
      <c r="E8022" s="31"/>
      <c r="G8022" s="43"/>
      <c r="H8022" s="2"/>
    </row>
    <row r="8023" spans="1:8">
      <c r="A8023" s="39">
        <v>2.41456851178564</v>
      </c>
      <c r="B8023" s="47">
        <v>14</v>
      </c>
      <c r="D8023" s="2"/>
      <c r="E8023" s="31"/>
      <c r="G8023" s="43"/>
      <c r="H8023" s="2"/>
    </row>
    <row r="8024" spans="1:8">
      <c r="A8024" s="39">
        <v>2.41438408733081</v>
      </c>
      <c r="B8024" s="47">
        <v>5.3</v>
      </c>
      <c r="D8024" s="2"/>
      <c r="E8024" s="31"/>
      <c r="G8024" s="43"/>
      <c r="H8024" s="2"/>
    </row>
    <row r="8025" spans="1:8">
      <c r="A8025" s="39">
        <v>2.41438408733081</v>
      </c>
      <c r="B8025" s="47">
        <v>2</v>
      </c>
      <c r="D8025" s="2"/>
      <c r="E8025" s="31"/>
      <c r="G8025" s="43"/>
      <c r="H8025" s="2"/>
    </row>
    <row r="8026" spans="1:8">
      <c r="A8026" s="39">
        <v>2.41438408733081</v>
      </c>
      <c r="B8026" s="47">
        <v>15</v>
      </c>
      <c r="D8026" s="2"/>
      <c r="E8026" s="31"/>
      <c r="G8026" s="43"/>
      <c r="H8026" s="2"/>
    </row>
    <row r="8027" spans="1:8">
      <c r="A8027" s="39">
        <v>2.41432465892427</v>
      </c>
      <c r="B8027" s="47">
        <v>9.2</v>
      </c>
      <c r="D8027" s="2"/>
      <c r="E8027" s="31"/>
      <c r="G8027" s="43"/>
      <c r="H8027" s="2"/>
    </row>
    <row r="8028" spans="1:8">
      <c r="A8028" s="39">
        <v>2.41410029448685</v>
      </c>
      <c r="B8028" s="47">
        <v>12.8</v>
      </c>
      <c r="D8028" s="2"/>
      <c r="E8028" s="31"/>
      <c r="G8028" s="43"/>
      <c r="H8028" s="2"/>
    </row>
    <row r="8029" spans="1:8">
      <c r="A8029" s="39">
        <v>2.41366786541229</v>
      </c>
      <c r="B8029" s="47">
        <v>10</v>
      </c>
      <c r="D8029" s="2"/>
      <c r="E8029" s="31"/>
      <c r="G8029" s="43"/>
      <c r="H8029" s="2"/>
    </row>
    <row r="8030" spans="1:8">
      <c r="A8030" s="39">
        <v>2.41330975445303</v>
      </c>
      <c r="B8030" s="47">
        <v>9</v>
      </c>
      <c r="D8030" s="2"/>
      <c r="E8030" s="31"/>
      <c r="G8030" s="43"/>
      <c r="H8030" s="2"/>
    </row>
    <row r="8031" spans="1:8">
      <c r="A8031" s="39">
        <v>2.41321774612404</v>
      </c>
      <c r="B8031" s="47">
        <v>10.5</v>
      </c>
      <c r="D8031" s="2"/>
      <c r="E8031" s="31"/>
      <c r="G8031" s="43"/>
      <c r="H8031" s="2"/>
    </row>
    <row r="8032" spans="1:8">
      <c r="A8032" s="39">
        <v>2.41295164349377</v>
      </c>
      <c r="B8032" s="47">
        <v>7</v>
      </c>
      <c r="D8032" s="2"/>
      <c r="E8032" s="31"/>
      <c r="G8032" s="43"/>
      <c r="H8032" s="2"/>
    </row>
    <row r="8033" spans="1:8">
      <c r="A8033" s="39">
        <v>2.41273136888749</v>
      </c>
      <c r="B8033" s="47">
        <v>7.2</v>
      </c>
      <c r="D8033" s="2"/>
      <c r="E8033" s="31"/>
      <c r="G8033" s="43"/>
      <c r="H8033" s="2"/>
    </row>
    <row r="8034" spans="1:8">
      <c r="A8034" s="39">
        <v>2.41236391881144</v>
      </c>
      <c r="B8034" s="47">
        <v>18.4</v>
      </c>
      <c r="D8034" s="2"/>
      <c r="E8034" s="31"/>
      <c r="G8034" s="43"/>
      <c r="H8034" s="2"/>
    </row>
    <row r="8035" spans="1:8">
      <c r="A8035" s="39">
        <v>2.41175350914876</v>
      </c>
      <c r="B8035" s="47">
        <v>14.4</v>
      </c>
      <c r="D8035" s="2"/>
      <c r="E8035" s="31"/>
      <c r="G8035" s="43"/>
      <c r="H8035" s="2"/>
    </row>
    <row r="8036" spans="1:8">
      <c r="A8036" s="39">
        <v>2.41080297773821</v>
      </c>
      <c r="B8036" s="47">
        <v>9</v>
      </c>
      <c r="D8036" s="2"/>
      <c r="E8036" s="31"/>
      <c r="G8036" s="43"/>
      <c r="H8036" s="2"/>
    </row>
    <row r="8037" spans="1:8">
      <c r="A8037" s="39">
        <v>2.41067798048843</v>
      </c>
      <c r="B8037" s="47">
        <v>0</v>
      </c>
      <c r="D8037" s="2"/>
      <c r="E8037" s="31"/>
      <c r="G8037" s="43"/>
      <c r="H8037" s="2"/>
    </row>
    <row r="8038" spans="1:8">
      <c r="A8038" s="39">
        <v>2.41049568014059</v>
      </c>
      <c r="B8038" s="47">
        <v>9.5</v>
      </c>
      <c r="D8038" s="2"/>
      <c r="E8038" s="31"/>
      <c r="G8038" s="43"/>
      <c r="H8038" s="2"/>
    </row>
    <row r="8039" spans="1:8">
      <c r="A8039" s="39">
        <v>2.41041936622037</v>
      </c>
      <c r="B8039" s="47">
        <v>8.6</v>
      </c>
      <c r="D8039" s="2"/>
      <c r="E8039" s="31"/>
      <c r="G8039" s="43"/>
      <c r="H8039" s="2"/>
    </row>
    <row r="8040" spans="1:8">
      <c r="A8040" s="39">
        <v>2.41034600783032</v>
      </c>
      <c r="B8040" s="47">
        <v>11.5</v>
      </c>
      <c r="D8040" s="2"/>
      <c r="E8040" s="31"/>
      <c r="G8040" s="43"/>
      <c r="H8040" s="2"/>
    </row>
    <row r="8041" spans="1:8">
      <c r="A8041" s="39">
        <v>2.41013194154392</v>
      </c>
      <c r="B8041" s="47">
        <v>10.8</v>
      </c>
      <c r="D8041" s="2"/>
      <c r="E8041" s="31"/>
      <c r="G8041" s="43"/>
      <c r="H8041" s="2"/>
    </row>
    <row r="8042" spans="1:8">
      <c r="A8042" s="39">
        <v>2.40930905488906</v>
      </c>
      <c r="B8042" s="47">
        <v>2</v>
      </c>
      <c r="D8042" s="2"/>
      <c r="E8042" s="31"/>
      <c r="G8042" s="43"/>
      <c r="H8042" s="2"/>
    </row>
    <row r="8043" spans="1:8">
      <c r="A8043" s="39">
        <v>2.40930905488906</v>
      </c>
      <c r="B8043" s="47">
        <v>4.5</v>
      </c>
      <c r="D8043" s="2"/>
      <c r="E8043" s="31"/>
      <c r="G8043" s="43"/>
      <c r="H8043" s="2"/>
    </row>
    <row r="8044" spans="1:8">
      <c r="A8044" s="39">
        <v>2.40907276322248</v>
      </c>
      <c r="B8044" s="47">
        <v>15.7</v>
      </c>
      <c r="D8044" s="2"/>
      <c r="E8044" s="31"/>
      <c r="G8044" s="43"/>
      <c r="H8044" s="2"/>
    </row>
    <row r="8045" spans="1:8">
      <c r="A8045" s="39">
        <v>2.40900888291635</v>
      </c>
      <c r="B8045" s="47">
        <v>8.8</v>
      </c>
      <c r="D8045" s="2"/>
      <c r="E8045" s="31"/>
      <c r="G8045" s="43"/>
      <c r="H8045" s="2"/>
    </row>
    <row r="8046" spans="1:8">
      <c r="A8046" s="39">
        <v>2.40839946172354</v>
      </c>
      <c r="B8046" s="47">
        <v>12</v>
      </c>
      <c r="D8046" s="2"/>
      <c r="E8046" s="31"/>
      <c r="G8046" s="43"/>
      <c r="H8046" s="2"/>
    </row>
    <row r="8047" spans="1:8">
      <c r="A8047" s="39">
        <v>2.40839946172354</v>
      </c>
      <c r="B8047" s="47">
        <v>16.5</v>
      </c>
      <c r="D8047" s="2"/>
      <c r="E8047" s="31"/>
      <c r="G8047" s="43"/>
      <c r="H8047" s="2"/>
    </row>
    <row r="8048" spans="1:8">
      <c r="A8048" s="39">
        <v>2.40758924992316</v>
      </c>
      <c r="B8048" s="47">
        <v>4.7</v>
      </c>
      <c r="D8048" s="2"/>
      <c r="E8048" s="31"/>
      <c r="G8048" s="43"/>
      <c r="H8048" s="2"/>
    </row>
    <row r="8049" spans="1:8">
      <c r="A8049" s="39">
        <v>2.40725566649001</v>
      </c>
      <c r="B8049" s="47">
        <v>6</v>
      </c>
      <c r="D8049" s="2"/>
      <c r="E8049" s="31"/>
      <c r="G8049" s="43"/>
      <c r="H8049" s="2"/>
    </row>
    <row r="8050" spans="1:8">
      <c r="A8050" s="39">
        <v>2.40722186814561</v>
      </c>
      <c r="B8050" s="47">
        <v>2</v>
      </c>
      <c r="D8050" s="2"/>
      <c r="E8050" s="31"/>
      <c r="G8050" s="43"/>
      <c r="H8050" s="2"/>
    </row>
    <row r="8051" spans="1:8">
      <c r="A8051" s="39">
        <v>2.40722186814561</v>
      </c>
      <c r="B8051" s="47">
        <v>1</v>
      </c>
      <c r="D8051" s="2"/>
      <c r="E8051" s="31"/>
      <c r="G8051" s="43"/>
      <c r="H8051" s="2"/>
    </row>
    <row r="8052" spans="1:8">
      <c r="A8052" s="39">
        <v>2.40722186814561</v>
      </c>
      <c r="B8052" s="47">
        <v>9.8</v>
      </c>
      <c r="D8052" s="2"/>
      <c r="E8052" s="31"/>
      <c r="G8052" s="43"/>
      <c r="H8052" s="2"/>
    </row>
    <row r="8053" spans="1:8">
      <c r="A8053" s="39">
        <v>2.40688568789805</v>
      </c>
      <c r="B8053" s="47">
        <v>10.8</v>
      </c>
      <c r="D8053" s="2"/>
      <c r="E8053" s="31"/>
      <c r="G8053" s="43"/>
      <c r="H8053" s="2"/>
    </row>
    <row r="8054" spans="1:8">
      <c r="A8054" s="39">
        <v>2.40688568789805</v>
      </c>
      <c r="B8054" s="47">
        <v>7</v>
      </c>
      <c r="D8054" s="2"/>
      <c r="E8054" s="31"/>
      <c r="G8054" s="43"/>
      <c r="H8054" s="2"/>
    </row>
    <row r="8055" spans="1:8">
      <c r="A8055" s="39">
        <v>2.40618212587295</v>
      </c>
      <c r="B8055" s="47">
        <v>3</v>
      </c>
      <c r="D8055" s="2"/>
      <c r="E8055" s="31"/>
      <c r="G8055" s="43"/>
      <c r="H8055" s="2"/>
    </row>
    <row r="8056" spans="1:8">
      <c r="A8056" s="39">
        <v>2.40612350387499</v>
      </c>
      <c r="B8056" s="47">
        <v>23.8</v>
      </c>
      <c r="D8056" s="2"/>
      <c r="E8056" s="31"/>
      <c r="G8056" s="43"/>
      <c r="H8056" s="2"/>
    </row>
    <row r="8057" spans="1:8">
      <c r="A8057" s="39">
        <v>2.40503960119052</v>
      </c>
      <c r="B8057" s="47">
        <v>14</v>
      </c>
      <c r="D8057" s="2"/>
      <c r="E8057" s="31"/>
      <c r="G8057" s="43"/>
      <c r="H8057" s="2"/>
    </row>
    <row r="8058" spans="1:8">
      <c r="A8058" s="39">
        <v>2.40503295422882</v>
      </c>
      <c r="B8058" s="47">
        <v>4.5</v>
      </c>
      <c r="D8058" s="2"/>
      <c r="E8058" s="31"/>
      <c r="G8058" s="43"/>
      <c r="H8058" s="2"/>
    </row>
    <row r="8059" spans="1:8">
      <c r="A8059" s="39">
        <v>2.40477500182273</v>
      </c>
      <c r="B8059" s="47">
        <v>5</v>
      </c>
      <c r="D8059" s="2"/>
      <c r="E8059" s="31"/>
      <c r="G8059" s="43"/>
      <c r="H8059" s="2"/>
    </row>
    <row r="8060" spans="1:8">
      <c r="A8060" s="39">
        <v>2.40451781529127</v>
      </c>
      <c r="B8060" s="47">
        <v>1</v>
      </c>
      <c r="D8060" s="2"/>
      <c r="E8060" s="31"/>
      <c r="G8060" s="43"/>
      <c r="H8060" s="2"/>
    </row>
    <row r="8061" spans="1:8">
      <c r="A8061" s="39">
        <v>2.40358464680384</v>
      </c>
      <c r="B8061" s="47">
        <v>14</v>
      </c>
      <c r="D8061" s="2"/>
      <c r="E8061" s="31"/>
      <c r="G8061" s="43"/>
      <c r="H8061" s="2"/>
    </row>
    <row r="8062" spans="1:8">
      <c r="A8062" s="39">
        <v>2.40246442689222</v>
      </c>
      <c r="B8062" s="47">
        <v>10.5</v>
      </c>
      <c r="D8062" s="2"/>
      <c r="E8062" s="31"/>
      <c r="G8062" s="43"/>
      <c r="H8062" s="2"/>
    </row>
    <row r="8063" spans="1:8">
      <c r="A8063" s="39">
        <v>2.40246442689222</v>
      </c>
      <c r="B8063" s="47">
        <v>10.5</v>
      </c>
      <c r="D8063" s="2"/>
      <c r="E8063" s="31"/>
      <c r="G8063" s="43"/>
      <c r="H8063" s="2"/>
    </row>
    <row r="8064" spans="1:8">
      <c r="A8064" s="39">
        <v>2.40190663820971</v>
      </c>
      <c r="B8064" s="47">
        <v>10</v>
      </c>
      <c r="D8064" s="2"/>
      <c r="E8064" s="31"/>
      <c r="G8064" s="43"/>
      <c r="H8064" s="2"/>
    </row>
    <row r="8065" spans="1:8">
      <c r="A8065" s="39">
        <v>2.40190663820971</v>
      </c>
      <c r="B8065" s="47">
        <v>8.5</v>
      </c>
      <c r="D8065" s="2"/>
      <c r="E8065" s="31"/>
      <c r="G8065" s="43"/>
      <c r="H8065" s="2"/>
    </row>
    <row r="8066" spans="1:8">
      <c r="A8066" s="39">
        <v>2.40173091046041</v>
      </c>
      <c r="B8066" s="47">
        <v>5</v>
      </c>
      <c r="D8066" s="2"/>
      <c r="E8066" s="31"/>
      <c r="G8066" s="43"/>
      <c r="H8066" s="2"/>
    </row>
    <row r="8067" spans="1:8">
      <c r="A8067" s="39">
        <v>2.40140221522381</v>
      </c>
      <c r="B8067" s="47">
        <v>9.7</v>
      </c>
      <c r="D8067" s="2"/>
      <c r="E8067" s="31"/>
      <c r="G8067" s="43"/>
      <c r="H8067" s="2"/>
    </row>
    <row r="8068" spans="1:8">
      <c r="A8068" s="39">
        <v>2.40099314523515</v>
      </c>
      <c r="B8068" s="47">
        <v>7</v>
      </c>
      <c r="D8068" s="2"/>
      <c r="E8068" s="31"/>
      <c r="G8068" s="43"/>
      <c r="H8068" s="2"/>
    </row>
    <row r="8069" spans="1:8">
      <c r="A8069" s="39">
        <v>2.40055362967207</v>
      </c>
      <c r="B8069" s="47">
        <v>9.8</v>
      </c>
      <c r="D8069" s="2"/>
      <c r="E8069" s="31"/>
      <c r="G8069" s="43"/>
      <c r="H8069" s="2"/>
    </row>
    <row r="8070" spans="1:8">
      <c r="A8070" s="39">
        <v>2.40005964896041</v>
      </c>
      <c r="B8070" s="47">
        <v>8.1</v>
      </c>
      <c r="D8070" s="2"/>
      <c r="E8070" s="31"/>
      <c r="G8070" s="43"/>
      <c r="H8070" s="2"/>
    </row>
    <row r="8071" spans="1:8">
      <c r="A8071" s="39">
        <v>2.40005964896041</v>
      </c>
      <c r="B8071" s="47">
        <v>12</v>
      </c>
      <c r="D8071" s="2"/>
      <c r="E8071" s="31"/>
      <c r="G8071" s="43"/>
      <c r="H8071" s="2"/>
    </row>
    <row r="8072" spans="1:8">
      <c r="A8072" s="39">
        <v>2.39934342704189</v>
      </c>
      <c r="B8072" s="47">
        <v>7.8</v>
      </c>
      <c r="D8072" s="2"/>
      <c r="E8072" s="31"/>
      <c r="G8072" s="43"/>
      <c r="H8072" s="2"/>
    </row>
    <row r="8073" spans="1:8">
      <c r="A8073" s="39">
        <v>2.39908599728279</v>
      </c>
      <c r="B8073" s="47">
        <v>20</v>
      </c>
      <c r="D8073" s="2"/>
      <c r="E8073" s="31"/>
      <c r="G8073" s="43"/>
      <c r="H8073" s="2"/>
    </row>
    <row r="8074" spans="1:8">
      <c r="A8074" s="39">
        <v>2.39908599728279</v>
      </c>
      <c r="B8074" s="47">
        <v>9.8</v>
      </c>
      <c r="D8074" s="2"/>
      <c r="E8074" s="31"/>
      <c r="G8074" s="43"/>
      <c r="H8074" s="2"/>
    </row>
    <row r="8075" spans="1:8">
      <c r="A8075" s="39">
        <v>2.39862720512337</v>
      </c>
      <c r="B8075" s="47">
        <v>7</v>
      </c>
      <c r="D8075" s="2"/>
      <c r="E8075" s="31"/>
      <c r="G8075" s="43"/>
      <c r="H8075" s="2"/>
    </row>
    <row r="8076" spans="1:8">
      <c r="A8076" s="39">
        <v>2.39791098320485</v>
      </c>
      <c r="B8076" s="47">
        <v>9.3</v>
      </c>
      <c r="D8076" s="2"/>
      <c r="E8076" s="31"/>
      <c r="G8076" s="43"/>
      <c r="H8076" s="2"/>
    </row>
    <row r="8077" spans="1:8">
      <c r="A8077" s="39">
        <v>2.39767849596435</v>
      </c>
      <c r="B8077" s="47">
        <v>8.7</v>
      </c>
      <c r="D8077" s="2"/>
      <c r="E8077" s="31"/>
      <c r="G8077" s="43"/>
      <c r="H8077" s="2"/>
    </row>
    <row r="8078" spans="1:8">
      <c r="A8078" s="39">
        <v>2.39767318729443</v>
      </c>
      <c r="B8078" s="47">
        <v>5.8</v>
      </c>
      <c r="D8078" s="2"/>
      <c r="E8078" s="31"/>
      <c r="G8078" s="43"/>
      <c r="H8078" s="2"/>
    </row>
    <row r="8079" spans="1:8">
      <c r="A8079" s="39">
        <v>2.39698872449474</v>
      </c>
      <c r="B8079" s="47">
        <v>3</v>
      </c>
      <c r="D8079" s="2"/>
      <c r="E8079" s="31"/>
      <c r="G8079" s="43"/>
      <c r="H8079" s="2"/>
    </row>
    <row r="8080" spans="1:8">
      <c r="A8080" s="39">
        <v>2.39697474530513</v>
      </c>
      <c r="B8080" s="47">
        <v>12</v>
      </c>
      <c r="D8080" s="2"/>
      <c r="E8080" s="31"/>
      <c r="G8080" s="43"/>
      <c r="H8080" s="2"/>
    </row>
    <row r="8081" spans="1:8">
      <c r="A8081" s="39">
        <v>2.39633225752142</v>
      </c>
      <c r="B8081" s="47">
        <v>8.9</v>
      </c>
      <c r="D8081" s="2"/>
      <c r="E8081" s="31"/>
      <c r="G8081" s="43"/>
      <c r="H8081" s="2"/>
    </row>
    <row r="8082" spans="1:8">
      <c r="A8082" s="39">
        <v>2.39602441787124</v>
      </c>
      <c r="B8082" s="47">
        <v>12</v>
      </c>
      <c r="D8082" s="2"/>
      <c r="E8082" s="31"/>
      <c r="G8082" s="43"/>
      <c r="H8082" s="2"/>
    </row>
    <row r="8083" spans="1:8">
      <c r="A8083" s="39">
        <v>2.39561979889538</v>
      </c>
      <c r="B8083" s="47">
        <v>14.6</v>
      </c>
      <c r="D8083" s="2"/>
      <c r="E8083" s="31"/>
      <c r="G8083" s="43"/>
      <c r="H8083" s="2"/>
    </row>
    <row r="8084" spans="1:8">
      <c r="A8084" s="39">
        <v>2.39561979889538</v>
      </c>
      <c r="B8084" s="47">
        <v>18</v>
      </c>
      <c r="D8084" s="2"/>
      <c r="E8084" s="31"/>
      <c r="G8084" s="43"/>
      <c r="H8084" s="2"/>
    </row>
    <row r="8085" spans="1:8">
      <c r="A8085" s="39">
        <v>2.39561979889538</v>
      </c>
      <c r="B8085" s="47">
        <v>4</v>
      </c>
      <c r="D8085" s="2"/>
      <c r="E8085" s="31"/>
      <c r="G8085" s="43"/>
      <c r="H8085" s="2"/>
    </row>
    <row r="8086" spans="1:8">
      <c r="A8086" s="39">
        <v>2.39561979889538</v>
      </c>
      <c r="B8086" s="47">
        <v>7</v>
      </c>
      <c r="D8086" s="2"/>
      <c r="E8086" s="31"/>
      <c r="G8086" s="43"/>
      <c r="H8086" s="2"/>
    </row>
    <row r="8087" spans="1:8">
      <c r="A8087" s="39">
        <v>2.39537083783363</v>
      </c>
      <c r="B8087" s="47">
        <v>17.8</v>
      </c>
      <c r="D8087" s="2"/>
      <c r="E8087" s="31"/>
      <c r="G8087" s="43"/>
      <c r="H8087" s="2"/>
    </row>
    <row r="8088" spans="1:8">
      <c r="A8088" s="39">
        <v>2.39485492048373</v>
      </c>
      <c r="B8088" s="47">
        <v>6.1</v>
      </c>
      <c r="D8088" s="2"/>
      <c r="E8088" s="31"/>
      <c r="G8088" s="43"/>
      <c r="H8088" s="2"/>
    </row>
    <row r="8089" spans="1:8">
      <c r="A8089" s="39">
        <v>2.39415974266824</v>
      </c>
      <c r="B8089" s="47">
        <v>12.2</v>
      </c>
      <c r="D8089" s="2"/>
      <c r="E8089" s="31"/>
      <c r="G8089" s="43"/>
      <c r="H8089" s="2"/>
    </row>
    <row r="8090" spans="1:8">
      <c r="A8090" s="39">
        <v>2.39415974266824</v>
      </c>
      <c r="B8090" s="47">
        <v>10</v>
      </c>
      <c r="D8090" s="2"/>
      <c r="E8090" s="31"/>
      <c r="G8090" s="43"/>
      <c r="H8090" s="2"/>
    </row>
    <row r="8091" spans="1:8">
      <c r="A8091" s="39">
        <v>2.39415974266824</v>
      </c>
      <c r="B8091" s="47">
        <v>9</v>
      </c>
      <c r="D8091" s="2"/>
      <c r="E8091" s="31"/>
      <c r="G8091" s="43"/>
      <c r="H8091" s="2"/>
    </row>
    <row r="8092" spans="1:8">
      <c r="A8092" s="39">
        <v>2.39351800942098</v>
      </c>
      <c r="B8092" s="47">
        <v>8.9</v>
      </c>
      <c r="D8092" s="2"/>
      <c r="E8092" s="31"/>
      <c r="G8092" s="43"/>
      <c r="H8092" s="2"/>
    </row>
    <row r="8093" spans="1:8">
      <c r="A8093" s="39">
        <v>2.39351800942098</v>
      </c>
      <c r="B8093" s="47">
        <v>8.3</v>
      </c>
      <c r="D8093" s="2"/>
      <c r="E8093" s="31"/>
      <c r="G8093" s="43"/>
      <c r="H8093" s="2"/>
    </row>
    <row r="8094" spans="1:8">
      <c r="A8094" s="39">
        <v>2.39351800942098</v>
      </c>
      <c r="B8094" s="47">
        <v>4.5</v>
      </c>
      <c r="D8094" s="2"/>
      <c r="E8094" s="31"/>
      <c r="G8094" s="43"/>
      <c r="H8094" s="2"/>
    </row>
    <row r="8095" spans="1:8">
      <c r="A8095" s="39">
        <v>2.39345599200902</v>
      </c>
      <c r="B8095" s="47">
        <v>10.5</v>
      </c>
      <c r="D8095" s="2"/>
      <c r="E8095" s="31"/>
      <c r="G8095" s="43"/>
      <c r="H8095" s="2"/>
    </row>
    <row r="8096" spans="1:8">
      <c r="A8096" s="39">
        <v>2.39345599200902</v>
      </c>
      <c r="B8096" s="47">
        <v>14</v>
      </c>
      <c r="D8096" s="2"/>
      <c r="E8096" s="31"/>
      <c r="G8096" s="43"/>
      <c r="H8096" s="2"/>
    </row>
    <row r="8097" spans="1:8">
      <c r="A8097" s="39">
        <v>2.39289742977521</v>
      </c>
      <c r="B8097" s="47">
        <v>3</v>
      </c>
      <c r="D8097" s="2"/>
      <c r="E8097" s="31"/>
      <c r="G8097" s="43"/>
      <c r="H8097" s="2"/>
    </row>
    <row r="8098" spans="1:8">
      <c r="A8098" s="39">
        <v>2.39289742977521</v>
      </c>
      <c r="B8098" s="47">
        <v>12.3</v>
      </c>
      <c r="D8098" s="2"/>
      <c r="E8098" s="31"/>
      <c r="G8098" s="43"/>
      <c r="H8098" s="2"/>
    </row>
    <row r="8099" spans="1:8">
      <c r="A8099" s="39">
        <v>2.39281444739587</v>
      </c>
      <c r="B8099" s="47">
        <v>10.9</v>
      </c>
      <c r="D8099" s="2"/>
      <c r="E8099" s="31"/>
      <c r="G8099" s="43"/>
      <c r="H8099" s="2"/>
    </row>
    <row r="8100" spans="1:8">
      <c r="A8100" s="39">
        <v>2.3927522413498</v>
      </c>
      <c r="B8100" s="47">
        <v>12</v>
      </c>
      <c r="D8100" s="2"/>
      <c r="E8100" s="31"/>
      <c r="G8100" s="43"/>
      <c r="H8100" s="2"/>
    </row>
    <row r="8101" spans="1:8">
      <c r="A8101" s="39">
        <v>2.39154174902209</v>
      </c>
      <c r="B8101" s="47">
        <v>11.2</v>
      </c>
      <c r="D8101" s="2"/>
      <c r="E8101" s="31"/>
      <c r="G8101" s="43"/>
      <c r="H8101" s="2"/>
    </row>
    <row r="8102" spans="1:8">
      <c r="A8102" s="39">
        <v>2.39134474003136</v>
      </c>
      <c r="B8102" s="47">
        <v>8</v>
      </c>
      <c r="D8102" s="2"/>
      <c r="E8102" s="31"/>
      <c r="G8102" s="43"/>
      <c r="H8102" s="2"/>
    </row>
    <row r="8103" spans="1:8">
      <c r="A8103" s="39">
        <v>2.39089362275099</v>
      </c>
      <c r="B8103" s="47">
        <v>20</v>
      </c>
      <c r="D8103" s="2"/>
      <c r="E8103" s="31"/>
      <c r="G8103" s="43"/>
      <c r="H8103" s="2"/>
    </row>
    <row r="8104" spans="1:8">
      <c r="A8104" s="39">
        <v>2.39079577757037</v>
      </c>
      <c r="B8104" s="47">
        <v>12</v>
      </c>
      <c r="D8104" s="2"/>
      <c r="E8104" s="31"/>
      <c r="G8104" s="43"/>
      <c r="H8104" s="2"/>
    </row>
    <row r="8105" spans="1:8">
      <c r="A8105" s="39">
        <v>2.39064098937214</v>
      </c>
      <c r="B8105" s="47">
        <v>15</v>
      </c>
      <c r="D8105" s="2"/>
      <c r="E8105" s="31"/>
      <c r="G8105" s="43"/>
      <c r="H8105" s="2"/>
    </row>
    <row r="8106" spans="1:8">
      <c r="A8106" s="39">
        <v>2.39022032125204</v>
      </c>
      <c r="B8106" s="47">
        <v>9</v>
      </c>
      <c r="D8106" s="2"/>
      <c r="E8106" s="31"/>
      <c r="G8106" s="43"/>
      <c r="H8106" s="2"/>
    </row>
    <row r="8107" spans="1:8">
      <c r="A8107" s="39">
        <v>2.39014219753277</v>
      </c>
      <c r="B8107" s="47">
        <v>4.5</v>
      </c>
      <c r="D8107" s="2"/>
      <c r="E8107" s="31"/>
      <c r="G8107" s="43"/>
      <c r="H8107" s="2"/>
    </row>
    <row r="8108" spans="1:8">
      <c r="A8108" s="39">
        <v>2.38931632018261</v>
      </c>
      <c r="B8108" s="47">
        <v>10</v>
      </c>
      <c r="D8108" s="2"/>
      <c r="E8108" s="31"/>
      <c r="G8108" s="43"/>
      <c r="H8108" s="2"/>
    </row>
    <row r="8109" spans="1:8">
      <c r="A8109" s="39">
        <v>2.38929663727033</v>
      </c>
      <c r="B8109" s="47">
        <v>22</v>
      </c>
      <c r="D8109" s="2"/>
      <c r="E8109" s="31"/>
      <c r="G8109" s="43"/>
      <c r="H8109" s="2"/>
    </row>
    <row r="8110" spans="1:8">
      <c r="A8110" s="39">
        <v>2.38887371825415</v>
      </c>
      <c r="B8110" s="47">
        <v>9.8</v>
      </c>
      <c r="D8110" s="2"/>
      <c r="E8110" s="31"/>
      <c r="G8110" s="43"/>
      <c r="H8110" s="2"/>
    </row>
    <row r="8111" spans="1:8">
      <c r="A8111" s="39">
        <v>2.38887371825415</v>
      </c>
      <c r="B8111" s="47">
        <v>15.3</v>
      </c>
      <c r="D8111" s="2"/>
      <c r="E8111" s="31"/>
      <c r="G8111" s="43"/>
      <c r="H8111" s="2"/>
    </row>
    <row r="8112" spans="1:8">
      <c r="A8112" s="39">
        <v>2.38860009826409</v>
      </c>
      <c r="B8112" s="47">
        <v>3.6</v>
      </c>
      <c r="D8112" s="2"/>
      <c r="E8112" s="31"/>
      <c r="G8112" s="43"/>
      <c r="H8112" s="2"/>
    </row>
    <row r="8113" spans="1:8">
      <c r="A8113" s="39">
        <v>2.38820041675521</v>
      </c>
      <c r="B8113" s="47">
        <v>12.5</v>
      </c>
      <c r="D8113" s="2"/>
      <c r="E8113" s="31"/>
      <c r="G8113" s="43"/>
      <c r="H8113" s="2"/>
    </row>
    <row r="8114" spans="1:8">
      <c r="A8114" s="39">
        <v>2.38820041675521</v>
      </c>
      <c r="B8114" s="47">
        <v>10</v>
      </c>
      <c r="D8114" s="2"/>
      <c r="E8114" s="31"/>
      <c r="G8114" s="43"/>
      <c r="H8114" s="2"/>
    </row>
    <row r="8115" spans="1:8">
      <c r="A8115" s="39">
        <v>2.38752711525627</v>
      </c>
      <c r="B8115" s="47">
        <v>7.2</v>
      </c>
      <c r="D8115" s="2"/>
      <c r="E8115" s="31"/>
      <c r="G8115" s="43"/>
      <c r="H8115" s="2"/>
    </row>
    <row r="8116" spans="1:8">
      <c r="A8116" s="39">
        <v>2.38740624529916</v>
      </c>
      <c r="B8116" s="47">
        <v>3.9</v>
      </c>
      <c r="D8116" s="2"/>
      <c r="E8116" s="31"/>
      <c r="G8116" s="43"/>
      <c r="H8116" s="2"/>
    </row>
    <row r="8117" spans="1:8">
      <c r="A8117" s="39">
        <v>2.38717496554853</v>
      </c>
      <c r="B8117" s="47">
        <v>1</v>
      </c>
      <c r="D8117" s="2"/>
      <c r="E8117" s="31"/>
      <c r="G8117" s="43"/>
      <c r="H8117" s="2"/>
    </row>
    <row r="8118" spans="1:8">
      <c r="A8118" s="39">
        <v>2.38712223607604</v>
      </c>
      <c r="B8118" s="47">
        <v>30</v>
      </c>
      <c r="D8118" s="2"/>
      <c r="E8118" s="31"/>
      <c r="G8118" s="43"/>
      <c r="H8118" s="2"/>
    </row>
    <row r="8119" spans="1:8">
      <c r="A8119" s="39">
        <v>2.38712223607604</v>
      </c>
      <c r="B8119" s="47">
        <v>6.5</v>
      </c>
      <c r="D8119" s="2"/>
      <c r="E8119" s="31"/>
      <c r="G8119" s="43"/>
      <c r="H8119" s="2"/>
    </row>
    <row r="8120" spans="1:8">
      <c r="A8120" s="39">
        <v>2.38712223607604</v>
      </c>
      <c r="B8120" s="47">
        <v>11.8</v>
      </c>
      <c r="D8120" s="2"/>
      <c r="E8120" s="31"/>
      <c r="G8120" s="43"/>
      <c r="H8120" s="2"/>
    </row>
    <row r="8121" spans="1:8">
      <c r="A8121" s="39">
        <v>2.38712223607604</v>
      </c>
      <c r="B8121" s="47">
        <v>11.5</v>
      </c>
      <c r="D8121" s="2"/>
      <c r="E8121" s="31"/>
      <c r="G8121" s="43"/>
      <c r="H8121" s="2"/>
    </row>
    <row r="8122" spans="1:8">
      <c r="A8122" s="39">
        <v>2.38685381375732</v>
      </c>
      <c r="B8122" s="47">
        <v>5.3</v>
      </c>
      <c r="D8122" s="2"/>
      <c r="E8122" s="31"/>
      <c r="G8122" s="43"/>
      <c r="H8122" s="2"/>
    </row>
    <row r="8123" spans="1:8">
      <c r="A8123" s="39">
        <v>2.38685267135696</v>
      </c>
      <c r="B8123" s="47">
        <v>2</v>
      </c>
      <c r="D8123" s="2"/>
      <c r="E8123" s="31"/>
      <c r="G8123" s="43"/>
      <c r="H8123" s="2"/>
    </row>
    <row r="8124" spans="1:8">
      <c r="A8124" s="39">
        <v>2.38685267135696</v>
      </c>
      <c r="B8124" s="47">
        <v>11.5</v>
      </c>
      <c r="D8124" s="2"/>
      <c r="E8124" s="31"/>
      <c r="G8124" s="43"/>
      <c r="H8124" s="2"/>
    </row>
    <row r="8125" spans="1:8">
      <c r="A8125" s="39">
        <v>2.38672178249948</v>
      </c>
      <c r="B8125" s="47">
        <v>23.4</v>
      </c>
      <c r="D8125" s="2"/>
      <c r="E8125" s="31"/>
      <c r="G8125" s="43"/>
      <c r="H8125" s="2"/>
    </row>
    <row r="8126" spans="1:8">
      <c r="A8126" s="39">
        <v>2.38672178249948</v>
      </c>
      <c r="B8126" s="47">
        <v>19.7</v>
      </c>
      <c r="D8126" s="2"/>
      <c r="E8126" s="31"/>
      <c r="G8126" s="43"/>
      <c r="H8126" s="2"/>
    </row>
    <row r="8127" spans="1:8">
      <c r="A8127" s="39">
        <v>2.38672178249948</v>
      </c>
      <c r="B8127" s="47">
        <v>0</v>
      </c>
      <c r="D8127" s="2"/>
      <c r="E8127" s="31"/>
      <c r="G8127" s="43"/>
      <c r="H8127" s="2"/>
    </row>
    <row r="8128" spans="1:8">
      <c r="A8128" s="39">
        <v>2.38672178249948</v>
      </c>
      <c r="B8128" s="47">
        <v>2</v>
      </c>
      <c r="D8128" s="2"/>
      <c r="E8128" s="31"/>
      <c r="G8128" s="43"/>
      <c r="H8128" s="2"/>
    </row>
    <row r="8129" spans="1:8">
      <c r="A8129" s="39">
        <v>2.38648238916989</v>
      </c>
      <c r="B8129" s="47">
        <v>9</v>
      </c>
      <c r="D8129" s="2"/>
      <c r="E8129" s="31"/>
      <c r="G8129" s="43"/>
      <c r="H8129" s="2"/>
    </row>
    <row r="8130" spans="1:8">
      <c r="A8130" s="39">
        <v>2.38573521059001</v>
      </c>
      <c r="B8130" s="47">
        <v>5.7</v>
      </c>
      <c r="D8130" s="2"/>
      <c r="E8130" s="31"/>
      <c r="G8130" s="43"/>
      <c r="H8130" s="2"/>
    </row>
    <row r="8131" spans="1:8">
      <c r="A8131" s="39">
        <v>2.3857147347576</v>
      </c>
      <c r="B8131" s="47">
        <v>10</v>
      </c>
      <c r="D8131" s="2"/>
      <c r="E8131" s="31"/>
      <c r="G8131" s="43"/>
      <c r="H8131" s="2"/>
    </row>
    <row r="8132" spans="1:8">
      <c r="A8132" s="39">
        <v>2.3857147347576</v>
      </c>
      <c r="B8132" s="47">
        <v>11</v>
      </c>
      <c r="D8132" s="2"/>
      <c r="E8132" s="31"/>
      <c r="G8132" s="43"/>
      <c r="H8132" s="2"/>
    </row>
    <row r="8133" spans="1:8">
      <c r="A8133" s="39">
        <v>2.38535285690011</v>
      </c>
      <c r="B8133" s="47">
        <v>1.5</v>
      </c>
      <c r="D8133" s="2"/>
      <c r="E8133" s="31"/>
      <c r="G8133" s="43"/>
      <c r="H8133" s="2"/>
    </row>
    <row r="8134" spans="1:8">
      <c r="A8134" s="39">
        <v>2.38483390926049</v>
      </c>
      <c r="B8134" s="47">
        <v>10.5</v>
      </c>
      <c r="D8134" s="2"/>
      <c r="E8134" s="31"/>
      <c r="G8134" s="43"/>
      <c r="H8134" s="2"/>
    </row>
    <row r="8135" spans="1:8">
      <c r="A8135" s="39">
        <v>2.38483390926049</v>
      </c>
      <c r="B8135" s="47">
        <v>4.5</v>
      </c>
      <c r="D8135" s="2"/>
      <c r="E8135" s="31"/>
      <c r="G8135" s="43"/>
      <c r="H8135" s="2"/>
    </row>
    <row r="8136" spans="1:8">
      <c r="A8136" s="39">
        <v>2.38360348277994</v>
      </c>
      <c r="B8136" s="47">
        <v>12.9</v>
      </c>
      <c r="D8136" s="2"/>
      <c r="E8136" s="31"/>
      <c r="G8136" s="43"/>
      <c r="H8136" s="2"/>
    </row>
    <row r="8137" spans="1:8">
      <c r="A8137" s="39">
        <v>2.3834873062626</v>
      </c>
      <c r="B8137" s="47">
        <v>8.3</v>
      </c>
      <c r="D8137" s="2"/>
      <c r="E8137" s="31"/>
      <c r="G8137" s="43"/>
      <c r="H8137" s="44"/>
    </row>
    <row r="8138" spans="1:8">
      <c r="A8138" s="39">
        <v>2.38295281711908</v>
      </c>
      <c r="B8138" s="47">
        <v>5.4</v>
      </c>
      <c r="D8138" s="2"/>
      <c r="E8138" s="31"/>
      <c r="G8138" s="43"/>
      <c r="H8138" s="2"/>
    </row>
    <row r="8139" spans="1:8">
      <c r="A8139" s="39">
        <v>2.38295281711908</v>
      </c>
      <c r="B8139" s="47">
        <v>12</v>
      </c>
      <c r="D8139" s="2"/>
      <c r="E8139" s="31"/>
      <c r="G8139" s="43"/>
      <c r="H8139" s="2"/>
    </row>
    <row r="8140" spans="1:8">
      <c r="A8140" s="39">
        <v>2.38219598146149</v>
      </c>
      <c r="B8140" s="47">
        <v>6</v>
      </c>
      <c r="D8140" s="2"/>
      <c r="E8140" s="31"/>
      <c r="G8140" s="43"/>
      <c r="H8140" s="2"/>
    </row>
    <row r="8141" spans="1:8">
      <c r="A8141" s="39">
        <v>2.38214070326471</v>
      </c>
      <c r="B8141" s="47">
        <v>14</v>
      </c>
      <c r="D8141" s="2"/>
      <c r="E8141" s="31"/>
      <c r="G8141" s="43"/>
      <c r="H8141" s="2"/>
    </row>
    <row r="8142" spans="1:8">
      <c r="A8142" s="39">
        <v>2.38078848014305</v>
      </c>
      <c r="B8142" s="47">
        <v>13.2</v>
      </c>
      <c r="D8142" s="2"/>
      <c r="E8142" s="31"/>
      <c r="G8142" s="43"/>
      <c r="H8142" s="2"/>
    </row>
    <row r="8143" spans="1:8">
      <c r="A8143" s="39">
        <v>2.38033849696865</v>
      </c>
      <c r="B8143" s="47">
        <v>12</v>
      </c>
      <c r="D8143" s="2"/>
      <c r="E8143" s="31"/>
      <c r="G8143" s="43"/>
      <c r="H8143" s="2"/>
    </row>
    <row r="8144" spans="1:8">
      <c r="A8144" s="39">
        <v>2.37989699309259</v>
      </c>
      <c r="B8144" s="47">
        <v>8.1</v>
      </c>
      <c r="D8144" s="2"/>
      <c r="E8144" s="31"/>
      <c r="G8144" s="43"/>
      <c r="H8144" s="2"/>
    </row>
    <row r="8145" spans="1:8">
      <c r="A8145" s="39">
        <v>2.37989699309259</v>
      </c>
      <c r="B8145" s="47">
        <v>17</v>
      </c>
      <c r="D8145" s="2"/>
      <c r="E8145" s="31"/>
      <c r="G8145" s="43"/>
      <c r="H8145" s="2"/>
    </row>
    <row r="8146" spans="1:8">
      <c r="A8146" s="39">
        <v>2.37957789942353</v>
      </c>
      <c r="B8146" s="47">
        <v>10.5</v>
      </c>
      <c r="D8146" s="2"/>
      <c r="E8146" s="31"/>
      <c r="G8146" s="43"/>
      <c r="H8146" s="2"/>
    </row>
    <row r="8147" spans="1:8">
      <c r="A8147" s="39">
        <v>2.37957789942353</v>
      </c>
      <c r="B8147" s="47">
        <v>14</v>
      </c>
      <c r="D8147" s="2"/>
      <c r="E8147" s="31"/>
      <c r="G8147" s="43"/>
      <c r="H8147" s="2"/>
    </row>
    <row r="8148" spans="1:8">
      <c r="A8148" s="39">
        <v>2.37895427550123</v>
      </c>
      <c r="B8148" s="47">
        <v>11</v>
      </c>
      <c r="D8148" s="2"/>
      <c r="E8148" s="31"/>
      <c r="G8148" s="43"/>
      <c r="H8148" s="2"/>
    </row>
    <row r="8149" spans="1:8">
      <c r="A8149" s="39">
        <v>2.37874320689369</v>
      </c>
      <c r="B8149" s="47">
        <v>8.2</v>
      </c>
      <c r="D8149" s="2"/>
      <c r="E8149" s="31"/>
      <c r="G8149" s="43"/>
      <c r="H8149" s="2"/>
    </row>
    <row r="8150" spans="1:8">
      <c r="A8150" s="39">
        <v>2.37857299140481</v>
      </c>
      <c r="B8150" s="47">
        <v>9.8</v>
      </c>
      <c r="D8150" s="2"/>
      <c r="E8150" s="31"/>
      <c r="G8150" s="43"/>
      <c r="H8150" s="2"/>
    </row>
    <row r="8151" spans="1:8">
      <c r="A8151" s="39">
        <v>2.37810089427105</v>
      </c>
      <c r="B8151" s="47">
        <v>9</v>
      </c>
      <c r="D8151" s="2"/>
      <c r="E8151" s="31"/>
      <c r="G8151" s="43"/>
      <c r="H8151" s="2"/>
    </row>
    <row r="8152" spans="1:8">
      <c r="A8152" s="39">
        <v>2.3774275927721</v>
      </c>
      <c r="B8152" s="47">
        <v>8.5</v>
      </c>
      <c r="D8152" s="2"/>
      <c r="E8152" s="31"/>
      <c r="G8152" s="43"/>
      <c r="H8152" s="2"/>
    </row>
    <row r="8153" spans="1:8">
      <c r="A8153" s="39">
        <v>2.3770705967806</v>
      </c>
      <c r="B8153" s="47">
        <v>1</v>
      </c>
      <c r="D8153" s="2"/>
      <c r="E8153" s="31"/>
      <c r="G8153" s="43"/>
      <c r="H8153" s="2"/>
    </row>
    <row r="8154" spans="1:8">
      <c r="A8154" s="39">
        <v>2.3770705967806</v>
      </c>
      <c r="B8154" s="47">
        <v>6</v>
      </c>
      <c r="D8154" s="2"/>
      <c r="E8154" s="31"/>
      <c r="G8154" s="43"/>
      <c r="H8154" s="2"/>
    </row>
    <row r="8155" spans="1:8">
      <c r="A8155" s="39">
        <v>2.37675429127316</v>
      </c>
      <c r="B8155" s="47">
        <v>10</v>
      </c>
      <c r="D8155" s="2"/>
      <c r="E8155" s="31"/>
      <c r="G8155" s="43"/>
      <c r="H8155" s="2"/>
    </row>
    <row r="8156" spans="1:8">
      <c r="A8156" s="39">
        <v>2.37666799065016</v>
      </c>
      <c r="B8156" s="47">
        <v>14</v>
      </c>
      <c r="D8156" s="2"/>
      <c r="E8156" s="31"/>
      <c r="G8156" s="43"/>
      <c r="H8156" s="2"/>
    </row>
    <row r="8157" spans="1:8">
      <c r="A8157" s="39">
        <v>2.37656597618773</v>
      </c>
      <c r="B8157" s="47">
        <v>16.5</v>
      </c>
      <c r="D8157" s="2"/>
      <c r="E8157" s="31"/>
      <c r="G8157" s="43"/>
      <c r="H8157" s="2"/>
    </row>
    <row r="8158" spans="1:8">
      <c r="A8158" s="39">
        <v>2.37592895879326</v>
      </c>
      <c r="B8158" s="47">
        <v>21</v>
      </c>
      <c r="D8158" s="2"/>
      <c r="E8158" s="31"/>
      <c r="G8158" s="43"/>
      <c r="H8158" s="2"/>
    </row>
    <row r="8159" spans="1:8">
      <c r="A8159" s="39">
        <v>2.37592895879326</v>
      </c>
      <c r="B8159" s="47">
        <v>10.5</v>
      </c>
      <c r="D8159" s="2"/>
      <c r="E8159" s="31"/>
      <c r="G8159" s="43"/>
      <c r="H8159" s="2"/>
    </row>
    <row r="8160" spans="1:8">
      <c r="A8160" s="39">
        <v>2.37515847486929</v>
      </c>
      <c r="B8160" s="47">
        <v>10.5</v>
      </c>
      <c r="D8160" s="2"/>
      <c r="E8160" s="31"/>
      <c r="G8160" s="43"/>
      <c r="H8160" s="2"/>
    </row>
    <row r="8161" spans="1:8">
      <c r="A8161" s="39">
        <v>2.37508591490484</v>
      </c>
      <c r="B8161" s="47">
        <v>1</v>
      </c>
      <c r="D8161" s="2"/>
      <c r="E8161" s="31"/>
      <c r="G8161" s="43"/>
      <c r="H8161" s="2"/>
    </row>
    <row r="8162" spans="1:8">
      <c r="A8162" s="39">
        <v>2.37508591490484</v>
      </c>
      <c r="B8162" s="47">
        <v>15</v>
      </c>
      <c r="D8162" s="2"/>
      <c r="E8162" s="31"/>
      <c r="G8162" s="43"/>
      <c r="H8162" s="2"/>
    </row>
    <row r="8163" spans="1:8">
      <c r="A8163" s="39">
        <v>2.37508591490484</v>
      </c>
      <c r="B8163" s="47">
        <v>6.5</v>
      </c>
      <c r="D8163" s="2"/>
      <c r="E8163" s="31"/>
      <c r="G8163" s="43"/>
      <c r="H8163" s="2"/>
    </row>
    <row r="8164" spans="1:8">
      <c r="A8164" s="39">
        <v>2.37406108527738</v>
      </c>
      <c r="B8164" s="47">
        <v>3</v>
      </c>
      <c r="D8164" s="2"/>
      <c r="E8164" s="31"/>
      <c r="G8164" s="43"/>
      <c r="H8164" s="2"/>
    </row>
    <row r="8165" spans="1:8">
      <c r="A8165" s="39">
        <v>2.37338778377844</v>
      </c>
      <c r="B8165" s="47">
        <v>11.5</v>
      </c>
      <c r="D8165" s="2"/>
      <c r="E8165" s="31"/>
      <c r="G8165" s="43"/>
      <c r="H8165" s="2"/>
    </row>
    <row r="8166" spans="1:8">
      <c r="A8166" s="39">
        <v>2.37304722289163</v>
      </c>
      <c r="B8166" s="47">
        <v>24</v>
      </c>
      <c r="D8166" s="2"/>
      <c r="E8166" s="31"/>
      <c r="G8166" s="43"/>
      <c r="H8166" s="2"/>
    </row>
    <row r="8167" spans="1:8">
      <c r="A8167" s="39">
        <v>2.37303060468345</v>
      </c>
      <c r="B8167" s="47">
        <v>0</v>
      </c>
      <c r="D8167" s="2"/>
      <c r="E8167" s="31"/>
      <c r="G8167" s="43"/>
      <c r="H8167" s="2"/>
    </row>
    <row r="8168" spans="1:8">
      <c r="A8168" s="39">
        <v>2.37249553651735</v>
      </c>
      <c r="B8168" s="47">
        <v>8.7</v>
      </c>
      <c r="D8168" s="2"/>
      <c r="E8168" s="31"/>
      <c r="G8168" s="43"/>
      <c r="H8168" s="2"/>
    </row>
    <row r="8169" spans="1:8">
      <c r="A8169" s="39">
        <v>2.37241114866771</v>
      </c>
      <c r="B8169" s="47">
        <v>9</v>
      </c>
      <c r="D8169" s="2"/>
      <c r="E8169" s="31"/>
      <c r="G8169" s="43"/>
      <c r="H8169" s="2"/>
    </row>
    <row r="8170" spans="1:8">
      <c r="A8170" s="39">
        <v>2.37241114866771</v>
      </c>
      <c r="B8170" s="47">
        <v>9.5</v>
      </c>
      <c r="D8170" s="2"/>
      <c r="E8170" s="31"/>
      <c r="G8170" s="43"/>
      <c r="H8170" s="2"/>
    </row>
    <row r="8171" spans="1:8">
      <c r="A8171" s="39">
        <v>2.37234347223241</v>
      </c>
      <c r="B8171" s="47">
        <v>5.4</v>
      </c>
      <c r="D8171" s="2"/>
      <c r="E8171" s="31"/>
      <c r="G8171" s="43"/>
      <c r="H8171" s="2"/>
    </row>
    <row r="8172" spans="1:8">
      <c r="A8172" s="39">
        <v>2.37230312749011</v>
      </c>
      <c r="B8172" s="47">
        <v>9.7</v>
      </c>
      <c r="D8172" s="2"/>
      <c r="E8172" s="31"/>
      <c r="G8172" s="43"/>
      <c r="H8172" s="2"/>
    </row>
    <row r="8173" spans="1:8">
      <c r="A8173" s="39">
        <v>2.37230312749011</v>
      </c>
      <c r="B8173" s="47">
        <v>11</v>
      </c>
      <c r="D8173" s="2"/>
      <c r="E8173" s="31"/>
      <c r="G8173" s="43"/>
      <c r="H8173" s="2"/>
    </row>
    <row r="8174" spans="1:8">
      <c r="A8174" s="39">
        <v>2.37191865525013</v>
      </c>
      <c r="B8174" s="47">
        <v>11</v>
      </c>
      <c r="D8174" s="2"/>
      <c r="E8174" s="31"/>
      <c r="G8174" s="43"/>
      <c r="H8174" s="2"/>
    </row>
    <row r="8175" spans="1:8">
      <c r="A8175" s="39">
        <v>2.37189122339105</v>
      </c>
      <c r="B8175" s="47">
        <v>11</v>
      </c>
      <c r="D8175" s="2"/>
      <c r="E8175" s="31"/>
      <c r="G8175" s="43"/>
      <c r="H8175" s="2"/>
    </row>
    <row r="8176" spans="1:8">
      <c r="A8176" s="39">
        <v>2.37166360090642</v>
      </c>
      <c r="B8176" s="47">
        <v>5</v>
      </c>
      <c r="D8176" s="2"/>
      <c r="E8176" s="31"/>
      <c r="G8176" s="43"/>
      <c r="H8176" s="2"/>
    </row>
    <row r="8177" spans="1:8">
      <c r="A8177" s="39">
        <v>2.37163972157319</v>
      </c>
      <c r="B8177" s="47">
        <v>7</v>
      </c>
      <c r="D8177" s="2"/>
      <c r="E8177" s="31"/>
      <c r="G8177" s="43"/>
      <c r="H8177" s="2"/>
    </row>
    <row r="8178" spans="1:8">
      <c r="A8178" s="39">
        <v>2.37141077221961</v>
      </c>
      <c r="B8178" s="47">
        <v>5.9</v>
      </c>
      <c r="D8178" s="2"/>
      <c r="E8178" s="31"/>
      <c r="G8178" s="43"/>
      <c r="H8178" s="2"/>
    </row>
    <row r="8179" spans="1:8">
      <c r="A8179" s="39">
        <v>2.3713678792816</v>
      </c>
      <c r="B8179" s="47">
        <v>9</v>
      </c>
      <c r="D8179" s="2"/>
      <c r="E8179" s="31"/>
      <c r="G8179" s="43"/>
      <c r="H8179" s="2"/>
    </row>
    <row r="8180" spans="1:8">
      <c r="A8180" s="39">
        <v>2.37033643934183</v>
      </c>
      <c r="B8180" s="47">
        <v>9</v>
      </c>
      <c r="D8180" s="2"/>
      <c r="E8180" s="31"/>
      <c r="G8180" s="43"/>
      <c r="H8180" s="2"/>
    </row>
    <row r="8181" spans="1:8">
      <c r="A8181" s="39">
        <v>2.37029467530705</v>
      </c>
      <c r="B8181" s="47">
        <v>1</v>
      </c>
      <c r="D8181" s="2"/>
      <c r="E8181" s="31"/>
      <c r="G8181" s="43"/>
      <c r="H8181" s="2"/>
    </row>
    <row r="8182" spans="1:8">
      <c r="A8182" s="39">
        <v>2.36988121636692</v>
      </c>
      <c r="B8182" s="47">
        <v>4</v>
      </c>
      <c r="D8182" s="2"/>
      <c r="E8182" s="31"/>
      <c r="G8182" s="43"/>
      <c r="H8182" s="2"/>
    </row>
    <row r="8183" spans="1:8">
      <c r="A8183" s="39">
        <v>2.36961021250737</v>
      </c>
      <c r="B8183" s="47">
        <v>3.7</v>
      </c>
      <c r="D8183" s="2"/>
      <c r="E8183" s="31"/>
      <c r="G8183" s="43"/>
      <c r="H8183" s="2"/>
    </row>
    <row r="8184" spans="1:8">
      <c r="A8184" s="39">
        <v>2.36939321871674</v>
      </c>
      <c r="B8184" s="47">
        <v>11.2</v>
      </c>
      <c r="D8184" s="2"/>
      <c r="E8184" s="31"/>
      <c r="G8184" s="43"/>
      <c r="H8184" s="2"/>
    </row>
    <row r="8185" spans="1:8">
      <c r="A8185" s="39">
        <v>2.36934797478477</v>
      </c>
      <c r="B8185" s="47">
        <v>12.5</v>
      </c>
      <c r="D8185" s="2"/>
      <c r="E8185" s="31"/>
      <c r="G8185" s="43"/>
      <c r="H8185" s="2"/>
    </row>
    <row r="8186" spans="1:8">
      <c r="A8186" s="39">
        <v>2.36882471893631</v>
      </c>
      <c r="B8186" s="47">
        <v>15</v>
      </c>
      <c r="D8186" s="2"/>
      <c r="E8186" s="31"/>
      <c r="G8186" s="43"/>
      <c r="H8186" s="2"/>
    </row>
    <row r="8187" spans="1:8">
      <c r="A8187" s="39">
        <v>2.36867467328583</v>
      </c>
      <c r="B8187" s="47">
        <v>16</v>
      </c>
      <c r="D8187" s="2"/>
      <c r="E8187" s="31"/>
      <c r="G8187" s="43"/>
      <c r="H8187" s="2"/>
    </row>
    <row r="8188" spans="1:8">
      <c r="A8188" s="39">
        <v>2.36867467328583</v>
      </c>
      <c r="B8188" s="47">
        <v>16.6</v>
      </c>
      <c r="D8188" s="2"/>
      <c r="E8188" s="31"/>
      <c r="G8188" s="43"/>
      <c r="H8188" s="2"/>
    </row>
    <row r="8189" spans="1:8">
      <c r="A8189" s="39">
        <v>2.36800137178688</v>
      </c>
      <c r="B8189" s="47">
        <v>19</v>
      </c>
      <c r="D8189" s="2"/>
      <c r="E8189" s="31"/>
      <c r="G8189" s="43"/>
      <c r="H8189" s="2"/>
    </row>
    <row r="8190" spans="1:8">
      <c r="A8190" s="39">
        <v>2.36800137178688</v>
      </c>
      <c r="B8190" s="47">
        <v>12</v>
      </c>
      <c r="D8190" s="2"/>
      <c r="E8190" s="31"/>
      <c r="G8190" s="43"/>
      <c r="H8190" s="2"/>
    </row>
    <row r="8191" spans="1:8">
      <c r="A8191" s="39">
        <v>2.36726689621648</v>
      </c>
      <c r="B8191" s="47">
        <v>7</v>
      </c>
      <c r="D8191" s="2"/>
      <c r="E8191" s="31"/>
      <c r="G8191" s="43"/>
      <c r="H8191" s="2"/>
    </row>
    <row r="8192" spans="1:8">
      <c r="A8192" s="39">
        <v>2.36721078713671</v>
      </c>
      <c r="B8192" s="47">
        <v>7.8</v>
      </c>
      <c r="D8192" s="2"/>
      <c r="E8192" s="31"/>
      <c r="G8192" s="43"/>
      <c r="H8192" s="2"/>
    </row>
    <row r="8193" spans="1:8">
      <c r="A8193" s="39">
        <v>2.3672060924201</v>
      </c>
      <c r="B8193" s="47">
        <v>8</v>
      </c>
      <c r="D8193" s="2"/>
      <c r="E8193" s="31"/>
      <c r="G8193" s="43"/>
      <c r="H8193" s="2"/>
    </row>
    <row r="8194" spans="1:8">
      <c r="A8194" s="39">
        <v>2.3667966426719</v>
      </c>
      <c r="B8194" s="47">
        <v>6</v>
      </c>
      <c r="D8194" s="2"/>
      <c r="E8194" s="31"/>
      <c r="G8194" s="43"/>
      <c r="H8194" s="2"/>
    </row>
    <row r="8195" spans="1:8">
      <c r="A8195" s="39">
        <v>2.36665476878899</v>
      </c>
      <c r="B8195" s="47">
        <v>7.4</v>
      </c>
      <c r="D8195" s="2"/>
      <c r="E8195" s="31"/>
      <c r="G8195" s="43"/>
      <c r="H8195" s="2"/>
    </row>
    <row r="8196" spans="1:8">
      <c r="A8196" s="39">
        <v>2.36600971629942</v>
      </c>
      <c r="B8196" s="47">
        <v>8</v>
      </c>
      <c r="D8196" s="2"/>
      <c r="E8196" s="31"/>
      <c r="G8196" s="43"/>
      <c r="H8196" s="2"/>
    </row>
    <row r="8197" spans="1:8">
      <c r="A8197" s="39">
        <v>2.36537552841662</v>
      </c>
      <c r="B8197" s="47">
        <v>10.7</v>
      </c>
      <c r="D8197" s="2"/>
      <c r="E8197" s="31"/>
      <c r="G8197" s="43"/>
      <c r="H8197" s="2"/>
    </row>
    <row r="8198" spans="1:8">
      <c r="A8198" s="39">
        <v>2.36537552841662</v>
      </c>
      <c r="B8198" s="47">
        <v>8</v>
      </c>
      <c r="D8198" s="2"/>
      <c r="E8198" s="31"/>
      <c r="G8198" s="43"/>
      <c r="H8198" s="2"/>
    </row>
    <row r="8199" spans="1:8">
      <c r="A8199" s="39">
        <v>2.36537552841662</v>
      </c>
      <c r="B8199" s="47">
        <v>4.5</v>
      </c>
      <c r="D8199" s="2"/>
      <c r="E8199" s="31"/>
      <c r="G8199" s="43"/>
      <c r="H8199" s="2"/>
    </row>
    <row r="8200" spans="1:8">
      <c r="A8200" s="39">
        <v>2.36534104818071</v>
      </c>
      <c r="B8200" s="47">
        <v>15.5</v>
      </c>
      <c r="D8200" s="2"/>
      <c r="E8200" s="31"/>
      <c r="G8200" s="43"/>
      <c r="H8200" s="2"/>
    </row>
    <row r="8201" spans="1:8">
      <c r="A8201" s="39">
        <v>2.36502835555668</v>
      </c>
      <c r="B8201" s="47">
        <v>3</v>
      </c>
      <c r="D8201" s="2"/>
      <c r="E8201" s="31"/>
      <c r="G8201" s="43"/>
      <c r="H8201" s="2"/>
    </row>
    <row r="8202" spans="1:8">
      <c r="A8202" s="39">
        <v>2.36467196639151</v>
      </c>
      <c r="B8202" s="47">
        <v>9</v>
      </c>
      <c r="D8202" s="2"/>
      <c r="E8202" s="31"/>
      <c r="G8202" s="43"/>
      <c r="H8202" s="2"/>
    </row>
    <row r="8203" spans="1:8">
      <c r="A8203" s="39">
        <v>2.36345004731021</v>
      </c>
      <c r="B8203" s="47">
        <v>2.6</v>
      </c>
      <c r="D8203" s="2"/>
      <c r="E8203" s="31"/>
      <c r="G8203" s="43"/>
      <c r="H8203" s="2"/>
    </row>
    <row r="8204" spans="1:8">
      <c r="A8204" s="39">
        <v>2.36345004731021</v>
      </c>
      <c r="B8204" s="47">
        <v>1</v>
      </c>
      <c r="D8204" s="2"/>
      <c r="E8204" s="31"/>
      <c r="G8204" s="43"/>
      <c r="H8204" s="2"/>
    </row>
    <row r="8205" spans="1:8">
      <c r="A8205" s="39">
        <v>2.36328826129427</v>
      </c>
      <c r="B8205" s="47">
        <v>6</v>
      </c>
      <c r="D8205" s="2"/>
      <c r="E8205" s="31"/>
      <c r="G8205" s="43"/>
      <c r="H8205" s="2"/>
    </row>
    <row r="8206" spans="1:8">
      <c r="A8206" s="39">
        <v>2.36269183595323</v>
      </c>
      <c r="B8206" s="47">
        <v>19</v>
      </c>
      <c r="D8206" s="2"/>
      <c r="E8206" s="31"/>
      <c r="G8206" s="43"/>
      <c r="H8206" s="2"/>
    </row>
    <row r="8207" spans="1:8">
      <c r="A8207" s="39">
        <v>2.36256128031618</v>
      </c>
      <c r="B8207" s="47">
        <v>8</v>
      </c>
      <c r="D8207" s="2"/>
      <c r="E8207" s="31"/>
      <c r="G8207" s="43"/>
      <c r="H8207" s="2"/>
    </row>
    <row r="8208" spans="1:8">
      <c r="A8208" s="39">
        <v>2.36194165829638</v>
      </c>
      <c r="B8208" s="47">
        <v>13.8</v>
      </c>
      <c r="D8208" s="2"/>
      <c r="E8208" s="31"/>
      <c r="G8208" s="43"/>
      <c r="H8208" s="2"/>
    </row>
    <row r="8209" spans="1:8">
      <c r="A8209" s="39">
        <v>2.36139665891116</v>
      </c>
      <c r="B8209" s="47">
        <v>10.4</v>
      </c>
      <c r="D8209" s="2"/>
      <c r="E8209" s="31"/>
      <c r="G8209" s="43"/>
      <c r="H8209" s="2"/>
    </row>
    <row r="8210" spans="1:8">
      <c r="A8210" s="39">
        <v>2.36139665891116</v>
      </c>
      <c r="B8210" s="47">
        <v>4</v>
      </c>
      <c r="D8210" s="2"/>
      <c r="E8210" s="31"/>
      <c r="G8210" s="43"/>
      <c r="H8210" s="2"/>
    </row>
    <row r="8211" spans="1:8">
      <c r="A8211" s="39">
        <v>2.36139665891116</v>
      </c>
      <c r="B8211" s="47">
        <v>8</v>
      </c>
      <c r="D8211" s="2"/>
      <c r="E8211" s="31"/>
      <c r="G8211" s="43"/>
      <c r="H8211" s="2"/>
    </row>
    <row r="8212" spans="1:8">
      <c r="A8212" s="39">
        <v>2.36139096958997</v>
      </c>
      <c r="B8212" s="47">
        <v>9.7</v>
      </c>
      <c r="D8212" s="2"/>
      <c r="E8212" s="31"/>
      <c r="G8212" s="43"/>
      <c r="H8212" s="2"/>
    </row>
    <row r="8213" spans="1:8">
      <c r="A8213" s="39">
        <v>2.36066744344181</v>
      </c>
      <c r="B8213" s="47">
        <v>18</v>
      </c>
      <c r="D8213" s="2"/>
      <c r="E8213" s="31"/>
      <c r="G8213" s="43"/>
      <c r="H8213" s="2"/>
    </row>
    <row r="8214" spans="1:8">
      <c r="A8214" s="39">
        <v>2.36066349239663</v>
      </c>
      <c r="B8214" s="47">
        <v>5.5</v>
      </c>
      <c r="D8214" s="2"/>
      <c r="E8214" s="31"/>
      <c r="G8214" s="43"/>
      <c r="H8214" s="2"/>
    </row>
    <row r="8215" spans="1:8">
      <c r="A8215" s="39">
        <v>2.36045059424086</v>
      </c>
      <c r="B8215" s="47">
        <v>8</v>
      </c>
      <c r="D8215" s="2"/>
      <c r="E8215" s="31"/>
      <c r="G8215" s="43"/>
      <c r="H8215" s="2"/>
    </row>
    <row r="8216" spans="1:8">
      <c r="A8216" s="39">
        <v>2.35942393576519</v>
      </c>
      <c r="B8216" s="47">
        <v>9</v>
      </c>
      <c r="D8216" s="2"/>
      <c r="E8216" s="31"/>
      <c r="G8216" s="43"/>
      <c r="H8216" s="2"/>
    </row>
    <row r="8217" spans="1:8">
      <c r="A8217" s="39">
        <v>2.35920853800994</v>
      </c>
      <c r="B8217" s="47">
        <v>10.4</v>
      </c>
      <c r="D8217" s="2"/>
      <c r="E8217" s="31"/>
      <c r="G8217" s="43"/>
      <c r="H8217" s="2"/>
    </row>
    <row r="8218" spans="1:8">
      <c r="A8218" s="39">
        <v>2.35877035572758</v>
      </c>
      <c r="B8218" s="47">
        <v>30.7</v>
      </c>
      <c r="D8218" s="2"/>
      <c r="E8218" s="31"/>
      <c r="G8218" s="43"/>
      <c r="H8218" s="2"/>
    </row>
    <row r="8219" spans="1:8">
      <c r="A8219" s="39">
        <v>2.35851877768625</v>
      </c>
      <c r="B8219" s="47">
        <v>9.7</v>
      </c>
      <c r="D8219" s="2"/>
      <c r="E8219" s="31"/>
      <c r="G8219" s="43"/>
      <c r="H8219" s="2"/>
    </row>
    <row r="8220" spans="1:8">
      <c r="A8220" s="39">
        <v>2.35833990816553</v>
      </c>
      <c r="B8220" s="47">
        <v>9</v>
      </c>
      <c r="D8220" s="2"/>
      <c r="E8220" s="31"/>
      <c r="G8220" s="43"/>
      <c r="H8220" s="2"/>
    </row>
    <row r="8221" spans="1:8">
      <c r="A8221" s="39">
        <v>2.35722854780378</v>
      </c>
      <c r="B8221" s="47">
        <v>7.2</v>
      </c>
      <c r="D8221" s="2"/>
      <c r="E8221" s="31"/>
      <c r="G8221" s="43"/>
      <c r="H8221" s="2"/>
    </row>
    <row r="8222" spans="1:8">
      <c r="A8222" s="39">
        <v>2.35722854780378</v>
      </c>
      <c r="B8222" s="47">
        <v>10</v>
      </c>
      <c r="D8222" s="2"/>
      <c r="E8222" s="31"/>
      <c r="G8222" s="43"/>
      <c r="H8222" s="2"/>
    </row>
    <row r="8223" spans="1:8">
      <c r="A8223" s="39">
        <v>2.35708633384921</v>
      </c>
      <c r="B8223" s="47">
        <v>14</v>
      </c>
      <c r="D8223" s="2"/>
      <c r="E8223" s="31"/>
      <c r="G8223" s="43"/>
      <c r="H8223" s="2"/>
    </row>
    <row r="8224" spans="1:8">
      <c r="A8224" s="39">
        <v>2.35693278411531</v>
      </c>
      <c r="B8224" s="47">
        <v>9.5</v>
      </c>
      <c r="D8224" s="2"/>
      <c r="E8224" s="31"/>
      <c r="G8224" s="43"/>
      <c r="H8224" s="2"/>
    </row>
    <row r="8225" spans="1:8">
      <c r="A8225" s="39">
        <v>2.35655524630483</v>
      </c>
      <c r="B8225" s="47">
        <v>9</v>
      </c>
      <c r="D8225" s="2"/>
      <c r="E8225" s="31"/>
      <c r="G8225" s="43"/>
      <c r="H8225" s="2"/>
    </row>
    <row r="8226" spans="1:8">
      <c r="A8226" s="39">
        <v>2.355236493714</v>
      </c>
      <c r="B8226" s="47">
        <v>3.3</v>
      </c>
      <c r="D8226" s="2"/>
      <c r="E8226" s="31"/>
      <c r="G8226" s="43"/>
      <c r="H8226" s="2"/>
    </row>
    <row r="8227" spans="1:8">
      <c r="A8227" s="39">
        <v>2.35520864330694</v>
      </c>
      <c r="B8227" s="47">
        <v>10.6</v>
      </c>
      <c r="D8227" s="2"/>
      <c r="E8227" s="31"/>
      <c r="G8227" s="43"/>
      <c r="H8227" s="2"/>
    </row>
    <row r="8228" spans="1:8">
      <c r="A8228" s="39">
        <v>2.35482209803998</v>
      </c>
      <c r="B8228" s="47">
        <v>10</v>
      </c>
      <c r="D8228" s="2"/>
      <c r="E8228" s="31"/>
      <c r="G8228" s="43"/>
      <c r="H8228" s="2"/>
    </row>
    <row r="8229" spans="1:8">
      <c r="A8229" s="39">
        <v>2.35482209803998</v>
      </c>
      <c r="B8229" s="47">
        <v>7</v>
      </c>
      <c r="D8229" s="2"/>
      <c r="E8229" s="31"/>
      <c r="G8229" s="43"/>
      <c r="H8229" s="2"/>
    </row>
    <row r="8230" spans="1:8">
      <c r="A8230" s="39">
        <v>2.35455203091431</v>
      </c>
      <c r="B8230" s="47">
        <v>16</v>
      </c>
      <c r="D8230" s="2"/>
      <c r="E8230" s="31"/>
      <c r="G8230" s="43"/>
      <c r="H8230" s="2"/>
    </row>
    <row r="8231" spans="1:8">
      <c r="A8231" s="39">
        <v>2.35419529546432</v>
      </c>
      <c r="B8231" s="47">
        <v>5.9</v>
      </c>
      <c r="D8231" s="2"/>
      <c r="E8231" s="31"/>
      <c r="G8231" s="43"/>
      <c r="H8231" s="2"/>
    </row>
    <row r="8232" spans="1:8">
      <c r="A8232" s="39">
        <v>2.35193470311501</v>
      </c>
      <c r="B8232" s="47">
        <v>9.5</v>
      </c>
      <c r="D8232" s="2"/>
      <c r="E8232" s="31"/>
      <c r="G8232" s="43"/>
      <c r="H8232" s="2"/>
    </row>
    <row r="8233" spans="1:8">
      <c r="A8233" s="39">
        <v>2.35193470311501</v>
      </c>
      <c r="B8233" s="47">
        <v>13.8</v>
      </c>
      <c r="D8233" s="2"/>
      <c r="E8233" s="31"/>
      <c r="G8233" s="43"/>
      <c r="H8233" s="2"/>
    </row>
    <row r="8234" spans="1:8">
      <c r="A8234" s="39">
        <v>2.35193470311501</v>
      </c>
      <c r="B8234" s="47">
        <v>10</v>
      </c>
      <c r="D8234" s="2"/>
      <c r="E8234" s="31"/>
      <c r="G8234" s="43"/>
      <c r="H8234" s="2"/>
    </row>
    <row r="8235" spans="1:8">
      <c r="A8235" s="39">
        <v>2.35112971691589</v>
      </c>
      <c r="B8235" s="47">
        <v>1.5</v>
      </c>
      <c r="D8235" s="2"/>
      <c r="E8235" s="31"/>
      <c r="G8235" s="43"/>
      <c r="H8235" s="2"/>
    </row>
    <row r="8236" spans="1:8">
      <c r="A8236" s="39">
        <v>2.35052720179657</v>
      </c>
      <c r="B8236" s="47">
        <v>10</v>
      </c>
      <c r="D8236" s="2"/>
      <c r="E8236" s="31"/>
      <c r="G8236" s="43"/>
      <c r="H8236" s="2"/>
    </row>
    <row r="8237" spans="1:8">
      <c r="A8237" s="39">
        <v>2.35047881168983</v>
      </c>
      <c r="B8237" s="47">
        <v>16</v>
      </c>
      <c r="D8237" s="2"/>
      <c r="E8237" s="31"/>
      <c r="G8237" s="43"/>
      <c r="H8237" s="2"/>
    </row>
    <row r="8238" spans="1:8">
      <c r="A8238" s="39">
        <v>2.34992411466401</v>
      </c>
      <c r="B8238" s="47">
        <v>3</v>
      </c>
      <c r="D8238" s="2"/>
      <c r="E8238" s="31"/>
      <c r="G8238" s="43"/>
      <c r="H8238" s="2"/>
    </row>
    <row r="8239" spans="1:8">
      <c r="A8239" s="39">
        <v>2.34992411466401</v>
      </c>
      <c r="B8239" s="47">
        <v>10</v>
      </c>
      <c r="D8239" s="2"/>
      <c r="E8239" s="31"/>
      <c r="G8239" s="43"/>
      <c r="H8239" s="2"/>
    </row>
    <row r="8240" spans="1:8">
      <c r="A8240" s="39">
        <v>2.34992411466401</v>
      </c>
      <c r="B8240" s="47">
        <v>16</v>
      </c>
      <c r="D8240" s="2"/>
      <c r="E8240" s="31"/>
      <c r="G8240" s="43"/>
      <c r="H8240" s="2"/>
    </row>
    <row r="8241" spans="1:8">
      <c r="A8241" s="39">
        <v>2.34992411466401</v>
      </c>
      <c r="B8241" s="47">
        <v>8</v>
      </c>
      <c r="D8241" s="2"/>
      <c r="E8241" s="31"/>
      <c r="G8241" s="43"/>
      <c r="H8241" s="2"/>
    </row>
    <row r="8242" spans="1:8">
      <c r="A8242" s="39">
        <v>2.34989716386422</v>
      </c>
      <c r="B8242" s="47">
        <v>9.6</v>
      </c>
      <c r="D8242" s="2"/>
      <c r="E8242" s="31"/>
      <c r="G8242" s="43"/>
      <c r="H8242" s="2"/>
    </row>
    <row r="8243" spans="1:8">
      <c r="A8243" s="39">
        <v>2.34989716386422</v>
      </c>
      <c r="B8243" s="47">
        <v>9.7</v>
      </c>
      <c r="D8243" s="2"/>
      <c r="E8243" s="31"/>
      <c r="G8243" s="43"/>
      <c r="H8243" s="2"/>
    </row>
    <row r="8244" spans="1:8">
      <c r="A8244" s="39">
        <v>2.34989716386422</v>
      </c>
      <c r="B8244" s="47">
        <v>11</v>
      </c>
      <c r="D8244" s="2"/>
      <c r="E8244" s="31"/>
      <c r="G8244" s="43"/>
      <c r="H8244" s="2"/>
    </row>
    <row r="8245" spans="1:8">
      <c r="A8245" s="39">
        <v>2.34982345113735</v>
      </c>
      <c r="B8245" s="47">
        <v>20</v>
      </c>
      <c r="D8245" s="2"/>
      <c r="E8245" s="31"/>
      <c r="G8245" s="43"/>
      <c r="H8245" s="2"/>
    </row>
    <row r="8246" spans="1:8">
      <c r="A8246" s="39">
        <v>2.34962023520107</v>
      </c>
      <c r="B8246" s="47">
        <v>4.4</v>
      </c>
      <c r="D8246" s="2"/>
      <c r="E8246" s="31"/>
      <c r="G8246" s="43"/>
      <c r="H8246" s="2"/>
    </row>
    <row r="8247" spans="1:8">
      <c r="A8247" s="39">
        <v>2.3484756283175</v>
      </c>
      <c r="B8247" s="47">
        <v>15.6</v>
      </c>
      <c r="D8247" s="2"/>
      <c r="E8247" s="31"/>
      <c r="G8247" s="43"/>
      <c r="H8247" s="2"/>
    </row>
    <row r="8248" spans="1:8">
      <c r="A8248" s="39">
        <v>2.34841594981891</v>
      </c>
      <c r="B8248" s="47">
        <v>16.3</v>
      </c>
      <c r="D8248" s="2"/>
      <c r="E8248" s="31"/>
      <c r="G8248" s="43"/>
      <c r="H8248" s="2"/>
    </row>
    <row r="8249" spans="1:8">
      <c r="A8249" s="39">
        <v>2.34771219915969</v>
      </c>
      <c r="B8249" s="47">
        <v>7</v>
      </c>
      <c r="D8249" s="2"/>
      <c r="E8249" s="31"/>
      <c r="G8249" s="43"/>
      <c r="H8249" s="2"/>
    </row>
    <row r="8250" spans="1:8">
      <c r="A8250" s="39">
        <v>2.34770740291747</v>
      </c>
      <c r="B8250" s="47">
        <v>10.4</v>
      </c>
      <c r="D8250" s="2"/>
      <c r="E8250" s="31"/>
      <c r="G8250" s="43"/>
      <c r="H8250" s="2"/>
    </row>
    <row r="8251" spans="1:8">
      <c r="A8251" s="39">
        <v>2.34770740291747</v>
      </c>
      <c r="B8251" s="47">
        <v>15.2</v>
      </c>
      <c r="D8251" s="2"/>
      <c r="E8251" s="31"/>
      <c r="G8251" s="43"/>
      <c r="H8251" s="2"/>
    </row>
    <row r="8252" spans="1:8">
      <c r="A8252" s="39">
        <v>2.34770740291747</v>
      </c>
      <c r="B8252" s="47">
        <v>17</v>
      </c>
      <c r="D8252" s="2"/>
      <c r="E8252" s="31"/>
      <c r="G8252" s="43"/>
      <c r="H8252" s="2"/>
    </row>
    <row r="8253" spans="1:8">
      <c r="A8253" s="39">
        <v>2.34700591505063</v>
      </c>
      <c r="B8253" s="47">
        <v>13</v>
      </c>
      <c r="D8253" s="2"/>
      <c r="E8253" s="31"/>
      <c r="G8253" s="43"/>
      <c r="H8253" s="2"/>
    </row>
    <row r="8254" spans="1:8">
      <c r="A8254" s="39">
        <v>2.34496955171873</v>
      </c>
      <c r="B8254" s="47">
        <v>6.2</v>
      </c>
      <c r="D8254" s="2"/>
      <c r="E8254" s="31"/>
      <c r="G8254" s="43"/>
      <c r="H8254" s="2"/>
    </row>
    <row r="8255" spans="1:8">
      <c r="A8255" s="39">
        <v>2.34465899414309</v>
      </c>
      <c r="B8255" s="47">
        <v>14</v>
      </c>
      <c r="D8255" s="2"/>
      <c r="E8255" s="31"/>
      <c r="G8255" s="43"/>
      <c r="H8255" s="2"/>
    </row>
    <row r="8256" spans="1:8">
      <c r="A8256" s="39">
        <v>2.34443581932383</v>
      </c>
      <c r="B8256" s="47">
        <v>9</v>
      </c>
      <c r="D8256" s="2"/>
      <c r="E8256" s="31"/>
      <c r="G8256" s="43"/>
      <c r="H8256" s="2"/>
    </row>
    <row r="8257" spans="1:8">
      <c r="A8257" s="39">
        <v>2.34428508891905</v>
      </c>
      <c r="B8257" s="47">
        <v>4.6</v>
      </c>
      <c r="D8257" s="2"/>
      <c r="E8257" s="31"/>
      <c r="G8257" s="43"/>
      <c r="H8257" s="2"/>
    </row>
    <row r="8258" spans="1:8">
      <c r="A8258" s="39">
        <v>2.34428508891905</v>
      </c>
      <c r="B8258" s="47">
        <v>3</v>
      </c>
      <c r="D8258" s="2"/>
      <c r="E8258" s="31"/>
      <c r="G8258" s="43"/>
      <c r="H8258" s="2"/>
    </row>
    <row r="8259" spans="1:8">
      <c r="A8259" s="39">
        <v>2.34376251782489</v>
      </c>
      <c r="B8259" s="47">
        <v>8.5</v>
      </c>
      <c r="D8259" s="2"/>
      <c r="E8259" s="31"/>
      <c r="G8259" s="43"/>
      <c r="H8259" s="2"/>
    </row>
    <row r="8260" spans="1:8">
      <c r="A8260" s="39">
        <v>2.34223170051999</v>
      </c>
      <c r="B8260" s="47">
        <v>0</v>
      </c>
      <c r="D8260" s="2"/>
      <c r="E8260" s="31"/>
      <c r="G8260" s="43"/>
      <c r="H8260" s="2"/>
    </row>
    <row r="8261" spans="1:8">
      <c r="A8261" s="39">
        <v>2.34145441956291</v>
      </c>
      <c r="B8261" s="47">
        <v>17</v>
      </c>
      <c r="D8261" s="2"/>
      <c r="E8261" s="31"/>
      <c r="G8261" s="43"/>
      <c r="H8261" s="2"/>
    </row>
    <row r="8262" spans="1:8">
      <c r="A8262" s="39">
        <v>2.3413784432267</v>
      </c>
      <c r="B8262" s="47">
        <v>14.2</v>
      </c>
      <c r="D8262" s="2"/>
      <c r="E8262" s="31"/>
      <c r="G8262" s="43"/>
      <c r="H8262" s="2"/>
    </row>
    <row r="8263" spans="1:8">
      <c r="A8263" s="39">
        <v>2.3413784432267</v>
      </c>
      <c r="B8263" s="47">
        <v>6</v>
      </c>
      <c r="D8263" s="2"/>
      <c r="E8263" s="31"/>
      <c r="G8263" s="43"/>
      <c r="H8263" s="2"/>
    </row>
    <row r="8264" spans="1:8">
      <c r="A8264" s="39">
        <v>2.34086277492062</v>
      </c>
      <c r="B8264" s="47">
        <v>10.5</v>
      </c>
      <c r="D8264" s="2"/>
      <c r="E8264" s="31"/>
      <c r="G8264" s="43"/>
      <c r="H8264" s="2"/>
    </row>
    <row r="8265" spans="1:8">
      <c r="A8265" s="39">
        <v>2.34086277492062</v>
      </c>
      <c r="B8265" s="47">
        <v>10.5</v>
      </c>
      <c r="D8265" s="2"/>
      <c r="E8265" s="31"/>
      <c r="G8265" s="43"/>
      <c r="H8265" s="2"/>
    </row>
    <row r="8266" spans="1:8">
      <c r="A8266" s="39">
        <v>2.34039601033017</v>
      </c>
      <c r="B8266" s="47">
        <v>15.5</v>
      </c>
      <c r="D8266" s="2"/>
      <c r="E8266" s="31"/>
      <c r="G8266" s="43"/>
      <c r="H8266" s="2"/>
    </row>
    <row r="8267" spans="1:8">
      <c r="A8267" s="39">
        <v>2.33926719124904</v>
      </c>
      <c r="B8267" s="47">
        <v>8.2</v>
      </c>
      <c r="D8267" s="2"/>
      <c r="E8267" s="31"/>
      <c r="G8267" s="43"/>
      <c r="H8267" s="2"/>
    </row>
    <row r="8268" spans="1:8">
      <c r="A8268" s="39">
        <v>2.33828839044992</v>
      </c>
      <c r="B8268" s="47">
        <v>6</v>
      </c>
      <c r="D8268" s="2"/>
      <c r="E8268" s="31"/>
      <c r="G8268" s="43"/>
      <c r="H8268" s="2"/>
    </row>
    <row r="8269" spans="1:8">
      <c r="A8269" s="39">
        <v>2.33768475284813</v>
      </c>
      <c r="B8269" s="47">
        <v>9</v>
      </c>
      <c r="D8269" s="2"/>
      <c r="E8269" s="31"/>
      <c r="G8269" s="43"/>
      <c r="H8269" s="2"/>
    </row>
    <row r="8270" spans="1:8">
      <c r="A8270" s="39">
        <v>2.3374404609222</v>
      </c>
      <c r="B8270" s="47">
        <v>16.2</v>
      </c>
      <c r="D8270" s="2"/>
      <c r="E8270" s="31"/>
      <c r="G8270" s="43"/>
      <c r="H8270" s="2"/>
    </row>
    <row r="8271" spans="1:8">
      <c r="A8271" s="39">
        <v>2.33702950283545</v>
      </c>
      <c r="B8271" s="47">
        <v>11</v>
      </c>
      <c r="D8271" s="2"/>
      <c r="E8271" s="31"/>
      <c r="G8271" s="43"/>
      <c r="H8271" s="2"/>
    </row>
    <row r="8272" spans="1:8">
      <c r="A8272" s="39">
        <v>2.33702950283545</v>
      </c>
      <c r="B8272" s="47">
        <v>10.5</v>
      </c>
      <c r="D8272" s="2"/>
      <c r="E8272" s="31"/>
      <c r="G8272" s="43"/>
      <c r="H8272" s="2"/>
    </row>
    <row r="8273" spans="1:8">
      <c r="A8273" s="39">
        <v>2.33652948538715</v>
      </c>
      <c r="B8273" s="47">
        <v>8.4</v>
      </c>
      <c r="D8273" s="2"/>
      <c r="E8273" s="31"/>
      <c r="G8273" s="43"/>
      <c r="H8273" s="2"/>
    </row>
    <row r="8274" spans="1:8">
      <c r="A8274" s="39">
        <v>2.3358950544113</v>
      </c>
      <c r="B8274" s="47">
        <v>7</v>
      </c>
      <c r="D8274" s="2"/>
      <c r="E8274" s="31"/>
      <c r="G8274" s="43"/>
      <c r="H8274" s="2"/>
    </row>
    <row r="8275" spans="1:8">
      <c r="A8275" s="39">
        <v>2.33559967629361</v>
      </c>
      <c r="B8275" s="47">
        <v>2.5</v>
      </c>
      <c r="D8275" s="2"/>
      <c r="E8275" s="31"/>
      <c r="G8275" s="43"/>
      <c r="H8275" s="2"/>
    </row>
    <row r="8276" spans="1:8">
      <c r="A8276" s="39">
        <v>2.33559967629361</v>
      </c>
      <c r="B8276" s="47">
        <v>5</v>
      </c>
      <c r="D8276" s="2"/>
      <c r="E8276" s="31"/>
      <c r="G8276" s="43"/>
      <c r="H8276" s="2"/>
    </row>
    <row r="8277" spans="1:8">
      <c r="A8277" s="39">
        <v>2.33524147437369</v>
      </c>
      <c r="B8277" s="47">
        <v>25.3</v>
      </c>
      <c r="D8277" s="2"/>
      <c r="E8277" s="31"/>
      <c r="G8277" s="43"/>
      <c r="H8277" s="2"/>
    </row>
    <row r="8278" spans="1:8">
      <c r="A8278" s="39">
        <v>2.33512236133693</v>
      </c>
      <c r="B8278" s="47">
        <v>9.9</v>
      </c>
      <c r="D8278" s="2"/>
      <c r="E8278" s="31"/>
      <c r="G8278" s="43"/>
      <c r="H8278" s="2"/>
    </row>
    <row r="8279" spans="1:8">
      <c r="A8279" s="39">
        <v>2.33512236133693</v>
      </c>
      <c r="B8279" s="47">
        <v>17</v>
      </c>
      <c r="D8279" s="2"/>
      <c r="E8279" s="31"/>
      <c r="G8279" s="43"/>
      <c r="H8279" s="2"/>
    </row>
    <row r="8280" spans="1:8">
      <c r="A8280" s="39">
        <v>2.33500959833862</v>
      </c>
      <c r="B8280" s="47">
        <v>11.9</v>
      </c>
      <c r="D8280" s="2"/>
      <c r="E8280" s="31"/>
      <c r="G8280" s="43"/>
      <c r="H8280" s="2"/>
    </row>
    <row r="8281" spans="1:8">
      <c r="A8281" s="39">
        <v>2.33488345437509</v>
      </c>
      <c r="B8281" s="47">
        <v>8.8</v>
      </c>
      <c r="D8281" s="2"/>
      <c r="E8281" s="31"/>
      <c r="G8281" s="43"/>
      <c r="H8281" s="2"/>
    </row>
    <row r="8282" spans="1:8">
      <c r="A8282" s="39">
        <v>2.33433629683967</v>
      </c>
      <c r="B8282" s="47">
        <v>4.2</v>
      </c>
      <c r="D8282" s="2"/>
      <c r="E8282" s="31"/>
      <c r="G8282" s="43"/>
      <c r="H8282" s="2"/>
    </row>
    <row r="8283" spans="1:8">
      <c r="A8283" s="39">
        <v>2.33433629683967</v>
      </c>
      <c r="B8283" s="47">
        <v>6.1</v>
      </c>
      <c r="D8283" s="2"/>
      <c r="E8283" s="31"/>
      <c r="G8283" s="43"/>
      <c r="H8283" s="2"/>
    </row>
    <row r="8284" spans="1:8">
      <c r="A8284" s="39">
        <v>2.33401814692378</v>
      </c>
      <c r="B8284" s="47">
        <v>8.2</v>
      </c>
      <c r="D8284" s="2"/>
      <c r="E8284" s="31"/>
      <c r="G8284" s="43"/>
      <c r="H8284" s="2"/>
    </row>
    <row r="8285" spans="1:8">
      <c r="A8285" s="39">
        <v>2.33371523728671</v>
      </c>
      <c r="B8285" s="47">
        <v>10.2</v>
      </c>
      <c r="D8285" s="2"/>
      <c r="E8285" s="31"/>
      <c r="G8285" s="43"/>
      <c r="H8285" s="2"/>
    </row>
    <row r="8286" spans="1:8">
      <c r="A8286" s="39">
        <v>2.33230811323649</v>
      </c>
      <c r="B8286" s="47">
        <v>9.4</v>
      </c>
      <c r="D8286" s="2"/>
      <c r="E8286" s="31"/>
      <c r="G8286" s="43"/>
      <c r="H8286" s="2"/>
    </row>
    <row r="8287" spans="1:8">
      <c r="A8287" s="39">
        <v>2.33201856670102</v>
      </c>
      <c r="B8287" s="47">
        <v>10</v>
      </c>
      <c r="D8287" s="2"/>
      <c r="E8287" s="31"/>
      <c r="G8287" s="43"/>
      <c r="H8287" s="2"/>
    </row>
    <row r="8288" spans="1:8">
      <c r="A8288" s="39">
        <v>2.33201856670102</v>
      </c>
      <c r="B8288" s="47">
        <v>10</v>
      </c>
      <c r="D8288" s="2"/>
      <c r="E8288" s="31"/>
      <c r="G8288" s="43"/>
      <c r="H8288" s="2"/>
    </row>
    <row r="8289" spans="1:8">
      <c r="A8289" s="39">
        <v>2.33131999414804</v>
      </c>
      <c r="B8289" s="47">
        <v>11.5</v>
      </c>
      <c r="D8289" s="2"/>
      <c r="E8289" s="31"/>
      <c r="G8289" s="43"/>
      <c r="H8289" s="2"/>
    </row>
    <row r="8290" spans="1:8">
      <c r="A8290" s="39">
        <v>2.33128029572504</v>
      </c>
      <c r="B8290" s="47">
        <v>5.8</v>
      </c>
      <c r="D8290" s="2"/>
      <c r="E8290" s="31"/>
      <c r="G8290" s="43"/>
      <c r="H8290" s="2"/>
    </row>
    <row r="8291" spans="1:8">
      <c r="A8291" s="39">
        <v>2.33113457763779</v>
      </c>
      <c r="B8291" s="47">
        <v>10.5</v>
      </c>
      <c r="D8291" s="2"/>
      <c r="E8291" s="31"/>
      <c r="G8291" s="43"/>
      <c r="H8291" s="2"/>
    </row>
    <row r="8292" spans="1:8">
      <c r="A8292" s="39">
        <v>2.33096978934495</v>
      </c>
      <c r="B8292" s="47">
        <v>3.6</v>
      </c>
      <c r="D8292" s="2"/>
      <c r="E8292" s="31"/>
      <c r="G8292" s="43"/>
      <c r="H8292" s="2"/>
    </row>
    <row r="8293" spans="1:8">
      <c r="A8293" s="39">
        <v>2.3308221833384</v>
      </c>
      <c r="B8293" s="47">
        <v>8.2</v>
      </c>
      <c r="D8293" s="2"/>
      <c r="E8293" s="31"/>
      <c r="G8293" s="43"/>
      <c r="H8293" s="2"/>
    </row>
    <row r="8294" spans="1:8">
      <c r="A8294" s="39">
        <v>2.3308221833384</v>
      </c>
      <c r="B8294" s="47">
        <v>7.5</v>
      </c>
      <c r="D8294" s="2"/>
      <c r="E8294" s="31"/>
      <c r="G8294" s="43"/>
      <c r="H8294" s="2"/>
    </row>
    <row r="8295" spans="1:8">
      <c r="A8295" s="39">
        <v>2.33066641411043</v>
      </c>
      <c r="B8295" s="47">
        <v>20</v>
      </c>
      <c r="D8295" s="2"/>
      <c r="E8295" s="31"/>
      <c r="G8295" s="43"/>
      <c r="H8295" s="2"/>
    </row>
    <row r="8296" spans="1:8">
      <c r="A8296" s="39">
        <v>2.33059583292536</v>
      </c>
      <c r="B8296" s="47">
        <v>7.6</v>
      </c>
      <c r="D8296" s="2"/>
      <c r="E8296" s="31"/>
      <c r="G8296" s="43"/>
      <c r="H8296" s="2"/>
    </row>
    <row r="8297" spans="1:8">
      <c r="A8297" s="39">
        <v>2.33019742716117</v>
      </c>
      <c r="B8297" s="47">
        <v>9</v>
      </c>
      <c r="D8297" s="2"/>
      <c r="E8297" s="31"/>
      <c r="G8297" s="43"/>
      <c r="H8297" s="2"/>
    </row>
    <row r="8298" spans="1:8">
      <c r="A8298" s="39">
        <v>2.328951185901</v>
      </c>
      <c r="B8298" s="47">
        <v>13.5</v>
      </c>
      <c r="D8298" s="2"/>
      <c r="E8298" s="31"/>
      <c r="G8298" s="43"/>
      <c r="H8298" s="2"/>
    </row>
    <row r="8299" spans="1:8">
      <c r="A8299" s="39">
        <v>2.32894988484812</v>
      </c>
      <c r="B8299" s="47">
        <v>4.5</v>
      </c>
      <c r="D8299" s="2"/>
      <c r="E8299" s="31"/>
      <c r="G8299" s="43"/>
      <c r="H8299" s="2"/>
    </row>
    <row r="8300" spans="1:8">
      <c r="A8300" s="39">
        <v>2.32854244452631</v>
      </c>
      <c r="B8300" s="47">
        <v>0</v>
      </c>
      <c r="D8300" s="2"/>
      <c r="E8300" s="31"/>
      <c r="G8300" s="43"/>
      <c r="H8300" s="2"/>
    </row>
    <row r="8301" spans="1:8">
      <c r="A8301" s="39">
        <v>2.32843745710842</v>
      </c>
      <c r="B8301" s="47">
        <v>12.8</v>
      </c>
      <c r="D8301" s="2"/>
      <c r="E8301" s="31"/>
      <c r="G8301" s="43"/>
      <c r="H8301" s="2"/>
    </row>
    <row r="8302" spans="1:8">
      <c r="A8302" s="39">
        <v>2.32843745710842</v>
      </c>
      <c r="B8302" s="47">
        <v>8.1</v>
      </c>
      <c r="D8302" s="2"/>
      <c r="E8302" s="31"/>
      <c r="G8302" s="43"/>
      <c r="H8302" s="2"/>
    </row>
    <row r="8303" spans="1:8">
      <c r="A8303" s="39">
        <v>2.32800718070151</v>
      </c>
      <c r="B8303" s="47">
        <v>12.4</v>
      </c>
      <c r="D8303" s="2"/>
      <c r="E8303" s="31"/>
      <c r="G8303" s="43"/>
      <c r="H8303" s="2"/>
    </row>
    <row r="8304" spans="1:8">
      <c r="A8304" s="39">
        <v>2.32760328185023</v>
      </c>
      <c r="B8304" s="47">
        <v>5.3</v>
      </c>
      <c r="D8304" s="2"/>
      <c r="E8304" s="31"/>
      <c r="G8304" s="43"/>
      <c r="H8304" s="2"/>
    </row>
    <row r="8305" spans="1:8">
      <c r="A8305" s="39">
        <v>2.32491007585445</v>
      </c>
      <c r="B8305" s="47">
        <v>10</v>
      </c>
      <c r="D8305" s="2"/>
      <c r="E8305" s="31"/>
      <c r="G8305" s="43"/>
      <c r="H8305" s="2"/>
    </row>
    <row r="8306" spans="1:8">
      <c r="A8306" s="39">
        <v>2.32478419377196</v>
      </c>
      <c r="B8306" s="47">
        <v>21.2</v>
      </c>
      <c r="D8306" s="2"/>
      <c r="E8306" s="31"/>
      <c r="G8306" s="43"/>
      <c r="H8306" s="2"/>
    </row>
    <row r="8307" spans="1:8">
      <c r="A8307" s="39">
        <v>2.3244356677282</v>
      </c>
      <c r="B8307" s="47">
        <v>3.1</v>
      </c>
      <c r="D8307" s="2"/>
      <c r="E8307" s="31"/>
      <c r="G8307" s="43"/>
      <c r="H8307" s="2"/>
    </row>
    <row r="8308" spans="1:8">
      <c r="A8308" s="39">
        <v>2.32423677435551</v>
      </c>
      <c r="B8308" s="47">
        <v>15.7</v>
      </c>
      <c r="D8308" s="2"/>
      <c r="E8308" s="31"/>
      <c r="G8308" s="43"/>
      <c r="H8308" s="2"/>
    </row>
    <row r="8309" spans="1:8">
      <c r="A8309" s="39">
        <v>2.32421714994774</v>
      </c>
      <c r="B8309" s="47">
        <v>6</v>
      </c>
      <c r="D8309" s="2"/>
      <c r="E8309" s="31"/>
      <c r="G8309" s="43"/>
      <c r="H8309" s="2"/>
    </row>
    <row r="8310" spans="1:8">
      <c r="A8310" s="39">
        <v>2.32378467674619</v>
      </c>
      <c r="B8310" s="47">
        <v>9</v>
      </c>
      <c r="D8310" s="2"/>
      <c r="E8310" s="31"/>
      <c r="G8310" s="43"/>
      <c r="H8310" s="2"/>
    </row>
    <row r="8311" spans="1:8">
      <c r="A8311" s="39">
        <v>2.32356347285656</v>
      </c>
      <c r="B8311" s="47">
        <v>10.6</v>
      </c>
      <c r="D8311" s="2"/>
      <c r="E8311" s="31"/>
      <c r="G8311" s="43"/>
      <c r="H8311" s="2"/>
    </row>
    <row r="8312" spans="1:8">
      <c r="A8312" s="39">
        <v>2.32347703369674</v>
      </c>
      <c r="B8312" s="47">
        <v>9.5</v>
      </c>
      <c r="D8312" s="2"/>
      <c r="E8312" s="31"/>
      <c r="G8312" s="43"/>
      <c r="H8312" s="2"/>
    </row>
    <row r="8313" spans="1:8">
      <c r="A8313" s="39">
        <v>2.32237717542775</v>
      </c>
      <c r="B8313" s="47">
        <v>10.2</v>
      </c>
      <c r="D8313" s="2"/>
      <c r="E8313" s="31"/>
      <c r="G8313" s="43"/>
      <c r="H8313" s="2"/>
    </row>
    <row r="8314" spans="1:8">
      <c r="A8314" s="39">
        <v>2.32167321344506</v>
      </c>
      <c r="B8314" s="47">
        <v>12.5</v>
      </c>
      <c r="D8314" s="2"/>
      <c r="E8314" s="31"/>
      <c r="G8314" s="43"/>
      <c r="H8314" s="2"/>
    </row>
    <row r="8315" spans="1:8">
      <c r="A8315" s="39">
        <v>2.32137972395613</v>
      </c>
      <c r="B8315" s="47">
        <v>10.8</v>
      </c>
      <c r="D8315" s="2"/>
      <c r="E8315" s="31"/>
      <c r="G8315" s="43"/>
      <c r="H8315" s="2"/>
    </row>
    <row r="8316" spans="1:8">
      <c r="A8316" s="39">
        <v>2.32127523792322</v>
      </c>
      <c r="B8316" s="47">
        <v>13</v>
      </c>
      <c r="D8316" s="2"/>
      <c r="E8316" s="31"/>
      <c r="G8316" s="43"/>
      <c r="H8316" s="2"/>
    </row>
    <row r="8317" spans="1:8">
      <c r="A8317" s="39">
        <v>2.32096967410931</v>
      </c>
      <c r="B8317" s="47">
        <v>8.5</v>
      </c>
      <c r="D8317" s="2"/>
      <c r="E8317" s="31"/>
      <c r="G8317" s="43"/>
      <c r="H8317" s="2"/>
    </row>
    <row r="8318" spans="1:8">
      <c r="A8318" s="39">
        <v>2.32087026686079</v>
      </c>
      <c r="B8318" s="47">
        <v>12</v>
      </c>
      <c r="D8318" s="2"/>
      <c r="E8318" s="31"/>
      <c r="G8318" s="43"/>
      <c r="H8318" s="2"/>
    </row>
    <row r="8319" spans="1:8">
      <c r="A8319" s="39">
        <v>2.3205590160047</v>
      </c>
      <c r="B8319" s="47">
        <v>8.5</v>
      </c>
      <c r="D8319" s="2"/>
      <c r="E8319" s="31"/>
      <c r="G8319" s="43"/>
      <c r="H8319" s="2"/>
    </row>
    <row r="8320" spans="1:8">
      <c r="A8320" s="39">
        <v>2.3205590160047</v>
      </c>
      <c r="B8320" s="47">
        <v>8.2</v>
      </c>
      <c r="D8320" s="2"/>
      <c r="E8320" s="31"/>
      <c r="G8320" s="43"/>
      <c r="H8320" s="2"/>
    </row>
    <row r="8321" spans="1:8">
      <c r="A8321" s="39">
        <v>2.32032889093009</v>
      </c>
      <c r="B8321" s="47">
        <v>9.2</v>
      </c>
      <c r="D8321" s="2"/>
      <c r="E8321" s="31"/>
      <c r="G8321" s="43"/>
      <c r="H8321" s="2"/>
    </row>
    <row r="8322" spans="1:8">
      <c r="A8322" s="39">
        <v>2.32026592345009</v>
      </c>
      <c r="B8322" s="47">
        <v>9</v>
      </c>
      <c r="D8322" s="2"/>
      <c r="E8322" s="31"/>
      <c r="G8322" s="43"/>
      <c r="H8322" s="2"/>
    </row>
    <row r="8323" spans="1:8">
      <c r="A8323" s="39">
        <v>2.31841035024914</v>
      </c>
      <c r="B8323" s="47">
        <v>10</v>
      </c>
      <c r="D8323" s="2"/>
      <c r="E8323" s="31"/>
      <c r="G8323" s="43"/>
      <c r="H8323" s="2"/>
    </row>
    <row r="8324" spans="1:8">
      <c r="A8324" s="39">
        <v>2.31827550253104</v>
      </c>
      <c r="B8324" s="47">
        <v>5.8</v>
      </c>
      <c r="D8324" s="2"/>
      <c r="E8324" s="31"/>
      <c r="G8324" s="43"/>
      <c r="H8324" s="2"/>
    </row>
    <row r="8325" spans="1:8">
      <c r="A8325" s="39">
        <v>2.31817706086501</v>
      </c>
      <c r="B8325" s="47">
        <v>10.6</v>
      </c>
      <c r="D8325" s="2"/>
      <c r="E8325" s="31"/>
      <c r="G8325" s="43"/>
      <c r="H8325" s="2"/>
    </row>
    <row r="8326" spans="1:8">
      <c r="A8326" s="39">
        <v>2.31759481335827</v>
      </c>
      <c r="B8326" s="47">
        <v>15</v>
      </c>
      <c r="D8326" s="2"/>
      <c r="E8326" s="31"/>
      <c r="G8326" s="43"/>
      <c r="H8326" s="2"/>
    </row>
    <row r="8327" spans="1:8">
      <c r="A8327" s="39">
        <v>2.31759103973135</v>
      </c>
      <c r="B8327" s="47">
        <v>6.1</v>
      </c>
      <c r="D8327" s="2"/>
      <c r="E8327" s="31"/>
      <c r="G8327" s="43"/>
      <c r="H8327" s="2"/>
    </row>
    <row r="8328" spans="1:8">
      <c r="A8328" s="39">
        <v>2.31750375936606</v>
      </c>
      <c r="B8328" s="47">
        <v>6.2</v>
      </c>
      <c r="D8328" s="2"/>
      <c r="E8328" s="31"/>
      <c r="G8328" s="43"/>
      <c r="H8328" s="2"/>
    </row>
    <row r="8329" spans="1:8">
      <c r="A8329" s="39">
        <v>2.31690657693167</v>
      </c>
      <c r="B8329" s="47">
        <v>4.9</v>
      </c>
      <c r="D8329" s="2"/>
      <c r="E8329" s="31"/>
      <c r="G8329" s="43"/>
      <c r="H8329" s="2"/>
    </row>
    <row r="8330" spans="1:8">
      <c r="A8330" s="39">
        <v>2.31683045786712</v>
      </c>
      <c r="B8330" s="47">
        <v>11.5</v>
      </c>
      <c r="D8330" s="2"/>
      <c r="E8330" s="31"/>
      <c r="G8330" s="43"/>
      <c r="H8330" s="2"/>
    </row>
    <row r="8331" spans="1:8">
      <c r="A8331" s="39">
        <v>2.31674717015399</v>
      </c>
      <c r="B8331" s="47">
        <v>33</v>
      </c>
      <c r="D8331" s="2"/>
      <c r="E8331" s="31"/>
      <c r="G8331" s="43"/>
      <c r="H8331" s="2"/>
    </row>
    <row r="8332" spans="1:8">
      <c r="A8332" s="39">
        <v>2.31674717015399</v>
      </c>
      <c r="B8332" s="47">
        <v>13.2</v>
      </c>
      <c r="D8332" s="2"/>
      <c r="E8332" s="31"/>
      <c r="G8332" s="43"/>
      <c r="H8332" s="2"/>
    </row>
    <row r="8333" spans="1:8">
      <c r="A8333" s="39">
        <v>2.31615715636818</v>
      </c>
      <c r="B8333" s="47">
        <v>8.4</v>
      </c>
      <c r="D8333" s="2"/>
      <c r="E8333" s="31"/>
      <c r="G8333" s="43"/>
      <c r="H8333" s="2"/>
    </row>
    <row r="8334" spans="1:8">
      <c r="A8334" s="39">
        <v>2.31563369324141</v>
      </c>
      <c r="B8334" s="47">
        <v>13.7</v>
      </c>
      <c r="D8334" s="2"/>
      <c r="E8334" s="31"/>
      <c r="G8334" s="43"/>
      <c r="H8334" s="2"/>
    </row>
    <row r="8335" spans="1:8">
      <c r="A8335" s="39">
        <v>2.31533966883554</v>
      </c>
      <c r="B8335" s="47">
        <v>3.6</v>
      </c>
      <c r="D8335" s="2"/>
      <c r="E8335" s="31"/>
      <c r="G8335" s="43"/>
      <c r="H8335" s="2"/>
    </row>
    <row r="8336" spans="1:8">
      <c r="A8336" s="39">
        <v>2.31498049320784</v>
      </c>
      <c r="B8336" s="47">
        <v>7.6</v>
      </c>
      <c r="D8336" s="2"/>
      <c r="E8336" s="31"/>
      <c r="G8336" s="43"/>
      <c r="H8336" s="2"/>
    </row>
    <row r="8337" spans="1:8">
      <c r="A8337" s="39">
        <v>2.31498049320784</v>
      </c>
      <c r="B8337" s="47">
        <v>9.5</v>
      </c>
      <c r="D8337" s="2"/>
      <c r="E8337" s="31"/>
      <c r="G8337" s="43"/>
      <c r="H8337" s="2"/>
    </row>
    <row r="8338" spans="1:8">
      <c r="A8338" s="39">
        <v>2.31498049320784</v>
      </c>
      <c r="B8338" s="47">
        <v>5</v>
      </c>
      <c r="D8338" s="2"/>
      <c r="E8338" s="31"/>
      <c r="G8338" s="43"/>
      <c r="H8338" s="2"/>
    </row>
    <row r="8339" spans="1:8">
      <c r="A8339" s="39">
        <v>2.31481055337029</v>
      </c>
      <c r="B8339" s="47">
        <v>8.3</v>
      </c>
      <c r="D8339" s="2"/>
      <c r="E8339" s="31"/>
      <c r="G8339" s="43"/>
      <c r="H8339" s="2"/>
    </row>
    <row r="8340" spans="1:8">
      <c r="A8340" s="39">
        <v>2.31481055337029</v>
      </c>
      <c r="B8340" s="47">
        <v>14.3</v>
      </c>
      <c r="D8340" s="2"/>
      <c r="E8340" s="31"/>
      <c r="G8340" s="43"/>
      <c r="H8340" s="2"/>
    </row>
    <row r="8341" spans="1:8">
      <c r="A8341" s="39">
        <v>2.31413725187134</v>
      </c>
      <c r="B8341" s="47">
        <v>4</v>
      </c>
      <c r="D8341" s="2"/>
      <c r="E8341" s="31"/>
      <c r="G8341" s="43"/>
      <c r="H8341" s="2"/>
    </row>
    <row r="8342" spans="1:8">
      <c r="A8342" s="39">
        <v>2.31413725187134</v>
      </c>
      <c r="B8342" s="47">
        <v>12</v>
      </c>
      <c r="D8342" s="2"/>
      <c r="E8342" s="31"/>
      <c r="G8342" s="43"/>
      <c r="H8342" s="2"/>
    </row>
    <row r="8343" spans="1:8">
      <c r="A8343" s="39">
        <v>2.31411301873802</v>
      </c>
      <c r="B8343" s="47">
        <v>8.7</v>
      </c>
      <c r="D8343" s="2"/>
      <c r="E8343" s="31"/>
      <c r="G8343" s="43"/>
      <c r="H8343" s="2"/>
    </row>
    <row r="8344" spans="1:8">
      <c r="A8344" s="39">
        <v>2.31411301873802</v>
      </c>
      <c r="B8344" s="47">
        <v>7.9</v>
      </c>
      <c r="D8344" s="2"/>
      <c r="E8344" s="31"/>
      <c r="G8344" s="43"/>
      <c r="H8344" s="2"/>
    </row>
    <row r="8345" spans="1:8">
      <c r="A8345" s="39">
        <v>2.31374121342603</v>
      </c>
      <c r="B8345" s="47">
        <v>6</v>
      </c>
      <c r="D8345" s="2"/>
      <c r="E8345" s="31"/>
      <c r="G8345" s="43"/>
      <c r="H8345" s="2"/>
    </row>
    <row r="8346" spans="1:8">
      <c r="A8346" s="39">
        <v>2.31367333313262</v>
      </c>
      <c r="B8346" s="47">
        <v>8</v>
      </c>
      <c r="D8346" s="2"/>
      <c r="E8346" s="31"/>
      <c r="G8346" s="43"/>
      <c r="H8346" s="2"/>
    </row>
    <row r="8347" spans="1:8">
      <c r="A8347" s="39">
        <v>2.31348426293325</v>
      </c>
      <c r="B8347" s="47">
        <v>16.5</v>
      </c>
      <c r="D8347" s="2"/>
      <c r="E8347" s="31"/>
      <c r="G8347" s="43"/>
      <c r="H8347" s="2"/>
    </row>
    <row r="8348" spans="1:8">
      <c r="A8348" s="39">
        <v>2.31348426293325</v>
      </c>
      <c r="B8348" s="47">
        <v>2.9</v>
      </c>
      <c r="D8348" s="2"/>
      <c r="E8348" s="31"/>
      <c r="G8348" s="43"/>
      <c r="H8348" s="2"/>
    </row>
    <row r="8349" spans="1:8">
      <c r="A8349" s="39">
        <v>2.31348426293325</v>
      </c>
      <c r="B8349" s="47">
        <v>4</v>
      </c>
      <c r="D8349" s="2"/>
      <c r="E8349" s="31"/>
      <c r="G8349" s="43"/>
      <c r="H8349" s="2"/>
    </row>
    <row r="8350" spans="1:8">
      <c r="A8350" s="39">
        <v>2.3123661730574</v>
      </c>
      <c r="B8350" s="47">
        <v>17</v>
      </c>
      <c r="D8350" s="2"/>
      <c r="E8350" s="31"/>
      <c r="G8350" s="43"/>
      <c r="H8350" s="2"/>
    </row>
    <row r="8351" spans="1:8">
      <c r="A8351" s="39">
        <v>2.31211533733388</v>
      </c>
      <c r="B8351" s="47">
        <v>6.5</v>
      </c>
      <c r="D8351" s="2"/>
      <c r="E8351" s="31"/>
      <c r="G8351" s="43"/>
      <c r="H8351" s="2"/>
    </row>
    <row r="8352" spans="1:8">
      <c r="A8352" s="39">
        <v>2.31190481450833</v>
      </c>
      <c r="B8352" s="47">
        <v>8.6</v>
      </c>
      <c r="D8352" s="2"/>
      <c r="E8352" s="31"/>
      <c r="G8352" s="43"/>
      <c r="H8352" s="2"/>
    </row>
    <row r="8353" spans="1:8">
      <c r="A8353" s="39">
        <v>2.3114308745342</v>
      </c>
      <c r="B8353" s="47">
        <v>0</v>
      </c>
      <c r="D8353" s="2"/>
      <c r="E8353" s="31"/>
      <c r="G8353" s="43"/>
      <c r="H8353" s="2"/>
    </row>
    <row r="8354" spans="1:8">
      <c r="A8354" s="39">
        <v>2.31053190914542</v>
      </c>
      <c r="B8354" s="47">
        <v>16</v>
      </c>
      <c r="D8354" s="2"/>
      <c r="E8354" s="31"/>
      <c r="G8354" s="43"/>
      <c r="H8354" s="2"/>
    </row>
    <row r="8355" spans="1:8">
      <c r="A8355" s="39">
        <v>2.31040543294458</v>
      </c>
      <c r="B8355" s="47">
        <v>5</v>
      </c>
      <c r="D8355" s="2"/>
      <c r="E8355" s="31"/>
      <c r="G8355" s="43"/>
      <c r="H8355" s="2"/>
    </row>
    <row r="8356" spans="1:8">
      <c r="A8356" s="39">
        <v>2.31006194893483</v>
      </c>
      <c r="B8356" s="47">
        <v>7.7</v>
      </c>
      <c r="D8356" s="2"/>
      <c r="E8356" s="31"/>
      <c r="G8356" s="43"/>
      <c r="H8356" s="2"/>
    </row>
    <row r="8357" spans="1:8">
      <c r="A8357" s="39">
        <v>2.31006194893483</v>
      </c>
      <c r="B8357" s="47">
        <v>6.2</v>
      </c>
      <c r="D8357" s="2"/>
      <c r="E8357" s="31"/>
      <c r="G8357" s="43"/>
      <c r="H8357" s="2"/>
    </row>
    <row r="8358" spans="1:8">
      <c r="A8358" s="39">
        <v>2.30942414137873</v>
      </c>
      <c r="B8358" s="47">
        <v>10.4</v>
      </c>
      <c r="D8358" s="2"/>
      <c r="E8358" s="31"/>
      <c r="G8358" s="43"/>
      <c r="H8358" s="2"/>
    </row>
    <row r="8359" spans="1:8">
      <c r="A8359" s="39">
        <v>2.30942414137873</v>
      </c>
      <c r="B8359" s="47">
        <v>6.9</v>
      </c>
      <c r="D8359" s="2"/>
      <c r="E8359" s="31"/>
      <c r="G8359" s="43"/>
      <c r="H8359" s="2"/>
    </row>
    <row r="8360" spans="1:8">
      <c r="A8360" s="39">
        <v>2.30942414137873</v>
      </c>
      <c r="B8360" s="47">
        <v>14.2</v>
      </c>
      <c r="D8360" s="2"/>
      <c r="E8360" s="31"/>
      <c r="G8360" s="43"/>
      <c r="H8360" s="2"/>
    </row>
    <row r="8361" spans="1:8">
      <c r="A8361" s="39">
        <v>2.3090905664079</v>
      </c>
      <c r="B8361" s="47">
        <v>9</v>
      </c>
      <c r="D8361" s="2"/>
      <c r="E8361" s="31"/>
      <c r="G8361" s="43"/>
      <c r="H8361" s="2"/>
    </row>
    <row r="8362" spans="1:8">
      <c r="A8362" s="39">
        <v>2.30844469283176</v>
      </c>
      <c r="B8362" s="47">
        <v>12.2</v>
      </c>
      <c r="D8362" s="2"/>
      <c r="E8362" s="31"/>
      <c r="G8362" s="43"/>
      <c r="H8362" s="2"/>
    </row>
    <row r="8363" spans="1:8">
      <c r="A8363" s="39">
        <v>2.30838700438279</v>
      </c>
      <c r="B8363" s="47">
        <v>8.5</v>
      </c>
      <c r="D8363" s="2"/>
      <c r="E8363" s="31"/>
      <c r="G8363" s="43"/>
      <c r="H8363" s="2"/>
    </row>
    <row r="8364" spans="1:8">
      <c r="A8364" s="39">
        <v>2.3074042368819</v>
      </c>
      <c r="B8364" s="47">
        <v>13.5</v>
      </c>
      <c r="D8364" s="2"/>
      <c r="E8364" s="31"/>
      <c r="G8364" s="43"/>
      <c r="H8364" s="2"/>
    </row>
    <row r="8365" spans="1:8">
      <c r="A8365" s="39">
        <v>2.3074042368819</v>
      </c>
      <c r="B8365" s="47">
        <v>18</v>
      </c>
      <c r="D8365" s="2"/>
      <c r="E8365" s="31"/>
      <c r="G8365" s="43"/>
      <c r="H8365" s="2"/>
    </row>
    <row r="8366" spans="1:8">
      <c r="A8366" s="39">
        <v>2.3074042368819</v>
      </c>
      <c r="B8366" s="47">
        <v>18.4</v>
      </c>
      <c r="D8366" s="2"/>
      <c r="E8366" s="31"/>
      <c r="G8366" s="43"/>
      <c r="H8366" s="2"/>
    </row>
    <row r="8367" spans="1:8">
      <c r="A8367" s="39">
        <v>2.30697988033257</v>
      </c>
      <c r="B8367" s="47">
        <v>16.9</v>
      </c>
      <c r="D8367" s="2"/>
      <c r="E8367" s="31"/>
      <c r="G8367" s="43"/>
      <c r="H8367" s="2"/>
    </row>
    <row r="8368" spans="1:8">
      <c r="A8368" s="39">
        <v>2.30695079955282</v>
      </c>
      <c r="B8368" s="47">
        <v>5</v>
      </c>
      <c r="D8368" s="2"/>
      <c r="E8368" s="31"/>
      <c r="G8368" s="43"/>
      <c r="H8368" s="2"/>
    </row>
    <row r="8369" spans="1:8">
      <c r="A8369" s="39">
        <v>2.3066396349364</v>
      </c>
      <c r="B8369" s="47">
        <v>7</v>
      </c>
      <c r="D8369" s="2"/>
      <c r="E8369" s="31"/>
      <c r="G8369" s="43"/>
      <c r="H8369" s="2"/>
    </row>
    <row r="8370" spans="1:8">
      <c r="A8370" s="39">
        <v>2.30557275628235</v>
      </c>
      <c r="B8370" s="47">
        <v>10</v>
      </c>
      <c r="D8370" s="2"/>
      <c r="E8370" s="31"/>
      <c r="G8370" s="43"/>
      <c r="H8370" s="2"/>
    </row>
    <row r="8371" spans="1:8">
      <c r="A8371" s="39">
        <v>2.30486919425724</v>
      </c>
      <c r="B8371" s="47">
        <v>7</v>
      </c>
      <c r="D8371" s="2"/>
      <c r="E8371" s="31"/>
      <c r="G8371" s="43"/>
      <c r="H8371" s="2"/>
    </row>
    <row r="8372" spans="1:8">
      <c r="A8372" s="39">
        <v>2.30486919425724</v>
      </c>
      <c r="B8372" s="47">
        <v>8.4</v>
      </c>
      <c r="D8372" s="2"/>
      <c r="E8372" s="31"/>
      <c r="G8372" s="43"/>
      <c r="H8372" s="2"/>
    </row>
    <row r="8373" spans="1:8">
      <c r="A8373" s="39">
        <v>2.30464774850925</v>
      </c>
      <c r="B8373" s="47">
        <v>3.3</v>
      </c>
      <c r="D8373" s="2"/>
      <c r="E8373" s="31"/>
      <c r="G8373" s="43"/>
      <c r="H8373" s="2"/>
    </row>
    <row r="8374" spans="1:8">
      <c r="A8374" s="39">
        <v>2.30403772938718</v>
      </c>
      <c r="B8374" s="47">
        <v>17.1</v>
      </c>
      <c r="D8374" s="2"/>
      <c r="E8374" s="31"/>
      <c r="G8374" s="43"/>
      <c r="H8374" s="2"/>
    </row>
    <row r="8375" spans="1:8">
      <c r="A8375" s="39">
        <v>2.30392027131591</v>
      </c>
      <c r="B8375" s="47">
        <v>0</v>
      </c>
      <c r="D8375" s="2"/>
      <c r="E8375" s="31"/>
      <c r="G8375" s="43"/>
      <c r="H8375" s="2"/>
    </row>
    <row r="8376" spans="1:8">
      <c r="A8376" s="39">
        <v>2.30336968996022</v>
      </c>
      <c r="B8376" s="47">
        <v>10</v>
      </c>
      <c r="D8376" s="2"/>
      <c r="E8376" s="31"/>
      <c r="G8376" s="43"/>
      <c r="H8376" s="2"/>
    </row>
    <row r="8377" spans="1:8">
      <c r="A8377" s="39">
        <v>2.30336442788824</v>
      </c>
      <c r="B8377" s="47">
        <v>10</v>
      </c>
      <c r="D8377" s="2"/>
      <c r="E8377" s="31"/>
      <c r="G8377" s="43"/>
      <c r="H8377" s="2"/>
    </row>
    <row r="8378" spans="1:8">
      <c r="A8378" s="39">
        <v>2.3013513841317</v>
      </c>
      <c r="B8378" s="47">
        <v>8</v>
      </c>
      <c r="D8378" s="2"/>
      <c r="E8378" s="31"/>
      <c r="G8378" s="43"/>
      <c r="H8378" s="2"/>
    </row>
    <row r="8379" spans="1:8">
      <c r="A8379" s="39">
        <v>2.30067122189246</v>
      </c>
      <c r="B8379" s="47">
        <v>16.5</v>
      </c>
      <c r="D8379" s="2"/>
      <c r="E8379" s="31"/>
      <c r="G8379" s="43"/>
      <c r="H8379" s="2"/>
    </row>
    <row r="8380" spans="1:8">
      <c r="A8380" s="39">
        <v>2.30067122189246</v>
      </c>
      <c r="B8380" s="47">
        <v>12</v>
      </c>
      <c r="D8380" s="2"/>
      <c r="E8380" s="31"/>
      <c r="G8380" s="43"/>
      <c r="H8380" s="2"/>
    </row>
    <row r="8381" spans="1:8">
      <c r="A8381" s="39">
        <v>2.30064782210659</v>
      </c>
      <c r="B8381" s="47">
        <v>10</v>
      </c>
      <c r="D8381" s="2"/>
      <c r="E8381" s="31"/>
      <c r="G8381" s="43"/>
      <c r="H8381" s="2"/>
    </row>
    <row r="8382" spans="1:8">
      <c r="A8382" s="39">
        <v>2.30056090499191</v>
      </c>
      <c r="B8382" s="47">
        <v>21</v>
      </c>
      <c r="D8382" s="2"/>
      <c r="E8382" s="31"/>
      <c r="G8382" s="43"/>
      <c r="H8382" s="2"/>
    </row>
    <row r="8383" spans="1:8">
      <c r="A8383" s="39">
        <v>2.29979500693956</v>
      </c>
      <c r="B8383" s="47">
        <v>6.5</v>
      </c>
      <c r="D8383" s="2"/>
      <c r="E8383" s="31"/>
      <c r="G8383" s="43"/>
      <c r="H8383" s="2"/>
    </row>
    <row r="8384" spans="1:8">
      <c r="A8384" s="39">
        <v>2.29864099226763</v>
      </c>
      <c r="B8384" s="47">
        <v>12.4</v>
      </c>
      <c r="D8384" s="2"/>
      <c r="E8384" s="31"/>
      <c r="G8384" s="43"/>
      <c r="H8384" s="2"/>
    </row>
    <row r="8385" spans="1:8">
      <c r="A8385" s="39">
        <v>2.29798741223003</v>
      </c>
      <c r="B8385" s="47">
        <v>5</v>
      </c>
      <c r="D8385" s="2"/>
      <c r="E8385" s="31"/>
      <c r="G8385" s="43"/>
      <c r="H8385" s="2"/>
    </row>
    <row r="8386" spans="1:8">
      <c r="A8386" s="39">
        <v>2.29798741223003</v>
      </c>
      <c r="B8386" s="47">
        <v>16</v>
      </c>
      <c r="D8386" s="2"/>
      <c r="E8386" s="31"/>
      <c r="G8386" s="43"/>
      <c r="H8386" s="2"/>
    </row>
    <row r="8387" spans="1:8">
      <c r="A8387" s="39">
        <v>2.29733383219242</v>
      </c>
      <c r="B8387" s="47">
        <v>9</v>
      </c>
      <c r="D8387" s="2"/>
      <c r="E8387" s="31"/>
      <c r="G8387" s="43"/>
      <c r="H8387" s="2"/>
    </row>
    <row r="8388" spans="1:8">
      <c r="A8388" s="39">
        <v>2.29663141289879</v>
      </c>
      <c r="B8388" s="47">
        <v>10.3</v>
      </c>
      <c r="D8388" s="2"/>
      <c r="E8388" s="31"/>
      <c r="G8388" s="43"/>
      <c r="H8388" s="2"/>
    </row>
    <row r="8389" spans="1:8">
      <c r="A8389" s="39">
        <v>2.29663141289879</v>
      </c>
      <c r="B8389" s="47">
        <v>10</v>
      </c>
      <c r="D8389" s="2"/>
      <c r="E8389" s="31"/>
      <c r="G8389" s="43"/>
      <c r="H8389" s="2"/>
    </row>
    <row r="8390" spans="1:8">
      <c r="A8390" s="39">
        <v>2.29663141289879</v>
      </c>
      <c r="B8390" s="47">
        <v>19</v>
      </c>
      <c r="D8390" s="2"/>
      <c r="E8390" s="31"/>
      <c r="G8390" s="43"/>
      <c r="H8390" s="2"/>
    </row>
    <row r="8391" spans="1:8">
      <c r="A8391" s="39">
        <v>2.29637269294114</v>
      </c>
      <c r="B8391" s="47">
        <v>12.9</v>
      </c>
      <c r="D8391" s="2"/>
      <c r="E8391" s="31"/>
      <c r="G8391" s="43"/>
      <c r="H8391" s="2"/>
    </row>
    <row r="8392" spans="1:8">
      <c r="A8392" s="39">
        <v>2.29563465037737</v>
      </c>
      <c r="B8392" s="47">
        <v>8.5</v>
      </c>
      <c r="D8392" s="2"/>
      <c r="E8392" s="31"/>
      <c r="G8392" s="43"/>
      <c r="H8392" s="2"/>
    </row>
    <row r="8393" spans="1:8">
      <c r="A8393" s="39">
        <v>2.2954912488565</v>
      </c>
      <c r="B8393" s="47">
        <v>5.4</v>
      </c>
      <c r="D8393" s="2"/>
      <c r="E8393" s="31"/>
      <c r="G8393" s="43"/>
      <c r="H8393" s="2"/>
    </row>
    <row r="8394" spans="1:8">
      <c r="A8394" s="39">
        <v>2.29501932590572</v>
      </c>
      <c r="B8394" s="47">
        <v>9</v>
      </c>
      <c r="D8394" s="2"/>
      <c r="E8394" s="31"/>
      <c r="G8394" s="43"/>
      <c r="H8394" s="2"/>
    </row>
    <row r="8395" spans="1:8">
      <c r="A8395" s="39">
        <v>2.29422714905893</v>
      </c>
      <c r="B8395" s="47">
        <v>10</v>
      </c>
      <c r="D8395" s="2"/>
      <c r="E8395" s="31"/>
      <c r="G8395" s="43"/>
      <c r="H8395" s="2"/>
    </row>
    <row r="8396" spans="1:8">
      <c r="A8396" s="39">
        <v>2.29352339839971</v>
      </c>
      <c r="B8396" s="47">
        <v>3</v>
      </c>
      <c r="D8396" s="2"/>
      <c r="E8396" s="31"/>
      <c r="G8396" s="43"/>
      <c r="H8396" s="2"/>
    </row>
    <row r="8397" spans="1:8">
      <c r="A8397" s="39">
        <v>2.29326490540407</v>
      </c>
      <c r="B8397" s="47">
        <v>6.7</v>
      </c>
      <c r="D8397" s="2"/>
      <c r="E8397" s="31"/>
      <c r="G8397" s="43"/>
      <c r="H8397" s="2"/>
    </row>
    <row r="8398" spans="1:8">
      <c r="A8398" s="39">
        <v>2.29326490540407</v>
      </c>
      <c r="B8398" s="47">
        <v>17</v>
      </c>
      <c r="D8398" s="2"/>
      <c r="E8398" s="31"/>
      <c r="G8398" s="43"/>
      <c r="H8398" s="2"/>
    </row>
    <row r="8399" spans="1:8">
      <c r="A8399" s="39">
        <v>2.29295037894272</v>
      </c>
      <c r="B8399" s="47">
        <v>11</v>
      </c>
      <c r="D8399" s="2"/>
      <c r="E8399" s="31"/>
      <c r="G8399" s="43"/>
      <c r="H8399" s="2"/>
    </row>
    <row r="8400" spans="1:8">
      <c r="A8400" s="39">
        <v>2.29262636118242</v>
      </c>
      <c r="B8400" s="47">
        <v>5</v>
      </c>
      <c r="D8400" s="2"/>
      <c r="E8400" s="31"/>
      <c r="G8400" s="43"/>
      <c r="H8400" s="2"/>
    </row>
    <row r="8401" spans="1:8">
      <c r="A8401" s="39">
        <v>2.2925613236213</v>
      </c>
      <c r="B8401" s="47">
        <v>12.5</v>
      </c>
      <c r="D8401" s="2"/>
      <c r="E8401" s="31"/>
      <c r="G8401" s="43"/>
      <c r="H8401" s="2"/>
    </row>
    <row r="8402" spans="1:8">
      <c r="A8402" s="39">
        <v>2.29210519189155</v>
      </c>
      <c r="B8402" s="47">
        <v>1</v>
      </c>
      <c r="D8402" s="2"/>
      <c r="E8402" s="31"/>
      <c r="G8402" s="43"/>
      <c r="H8402" s="2"/>
    </row>
    <row r="8403" spans="1:8">
      <c r="A8403" s="39">
        <v>2.29210519189155</v>
      </c>
      <c r="B8403" s="47">
        <v>10.9</v>
      </c>
      <c r="D8403" s="2"/>
      <c r="E8403" s="31"/>
      <c r="G8403" s="43"/>
      <c r="H8403" s="2"/>
    </row>
    <row r="8404" spans="1:8">
      <c r="A8404" s="39">
        <v>2.2919101392639</v>
      </c>
      <c r="B8404" s="47">
        <v>8.7</v>
      </c>
      <c r="D8404" s="2"/>
      <c r="E8404" s="31"/>
      <c r="G8404" s="43"/>
      <c r="H8404" s="2"/>
    </row>
    <row r="8405" spans="1:8">
      <c r="A8405" s="39">
        <v>2.29145161185395</v>
      </c>
      <c r="B8405" s="47">
        <v>9</v>
      </c>
      <c r="D8405" s="44"/>
      <c r="E8405" s="31"/>
      <c r="G8405" s="43"/>
      <c r="H8405" s="2"/>
    </row>
    <row r="8406" spans="1:8">
      <c r="A8406" s="39">
        <v>2.29079803181634</v>
      </c>
      <c r="B8406" s="47">
        <v>2</v>
      </c>
      <c r="D8406" s="2"/>
      <c r="E8406" s="31"/>
      <c r="G8406" s="43"/>
      <c r="H8406" s="2"/>
    </row>
    <row r="8407" spans="1:8">
      <c r="A8407" s="39">
        <v>2.29000464510361</v>
      </c>
      <c r="B8407" s="47">
        <v>6.5</v>
      </c>
      <c r="D8407" s="2"/>
      <c r="E8407" s="31"/>
      <c r="G8407" s="43"/>
      <c r="H8407" s="2"/>
    </row>
    <row r="8408" spans="1:8">
      <c r="A8408" s="39">
        <v>2.28989839790935</v>
      </c>
      <c r="B8408" s="47">
        <v>12</v>
      </c>
      <c r="D8408" s="2"/>
      <c r="E8408" s="31"/>
      <c r="G8408" s="43"/>
      <c r="H8408" s="2"/>
    </row>
    <row r="8409" spans="1:8">
      <c r="A8409" s="39">
        <v>2.28798370565463</v>
      </c>
      <c r="B8409" s="47">
        <v>9</v>
      </c>
      <c r="D8409" s="2"/>
      <c r="E8409" s="31"/>
      <c r="G8409" s="43"/>
      <c r="H8409" s="2"/>
    </row>
    <row r="8410" spans="1:8">
      <c r="A8410" s="39">
        <v>2.2875301316283</v>
      </c>
      <c r="B8410" s="47">
        <v>10</v>
      </c>
      <c r="D8410" s="2"/>
      <c r="E8410" s="31"/>
      <c r="G8410" s="43"/>
      <c r="H8410" s="2"/>
    </row>
    <row r="8411" spans="1:8">
      <c r="A8411" s="39">
        <v>2.28689658583426</v>
      </c>
      <c r="B8411" s="47">
        <v>10.7</v>
      </c>
      <c r="D8411" s="2"/>
      <c r="E8411" s="31"/>
      <c r="G8411" s="43"/>
      <c r="H8411" s="2"/>
    </row>
    <row r="8412" spans="1:8">
      <c r="A8412" s="39">
        <v>2.28556939151547</v>
      </c>
      <c r="B8412" s="47">
        <v>12</v>
      </c>
      <c r="D8412" s="2"/>
      <c r="E8412" s="31"/>
      <c r="G8412" s="43"/>
      <c r="H8412" s="2"/>
    </row>
    <row r="8413" spans="1:8">
      <c r="A8413" s="39">
        <v>2.28556939151547</v>
      </c>
      <c r="B8413" s="47">
        <v>8.4</v>
      </c>
      <c r="D8413" s="2"/>
      <c r="E8413" s="31"/>
      <c r="G8413" s="43"/>
      <c r="H8413" s="2"/>
    </row>
    <row r="8414" spans="1:8">
      <c r="A8414" s="39">
        <v>2.28491581147787</v>
      </c>
      <c r="B8414" s="47">
        <v>26</v>
      </c>
      <c r="D8414" s="2"/>
      <c r="E8414" s="31"/>
      <c r="G8414" s="43"/>
      <c r="H8414" s="2"/>
    </row>
    <row r="8415" spans="1:8">
      <c r="A8415" s="39">
        <v>2.28426223144026</v>
      </c>
      <c r="B8415" s="47">
        <v>21.3</v>
      </c>
      <c r="D8415" s="2"/>
      <c r="E8415" s="31"/>
      <c r="G8415" s="43"/>
      <c r="H8415" s="2"/>
    </row>
    <row r="8416" spans="1:8">
      <c r="A8416" s="39">
        <v>2.28426223144026</v>
      </c>
      <c r="B8416" s="47">
        <v>9</v>
      </c>
      <c r="D8416" s="2"/>
      <c r="E8416" s="31"/>
      <c r="G8416" s="43"/>
      <c r="H8416" s="2"/>
    </row>
    <row r="8417" spans="1:8">
      <c r="A8417" s="39">
        <v>2.28316538291991</v>
      </c>
      <c r="B8417" s="47">
        <v>0.2</v>
      </c>
      <c r="D8417" s="2"/>
      <c r="E8417" s="31"/>
      <c r="G8417" s="43"/>
      <c r="H8417" s="2"/>
    </row>
    <row r="8418" spans="1:8">
      <c r="A8418" s="39">
        <v>2.28316538291991</v>
      </c>
      <c r="B8418" s="47">
        <v>13.7</v>
      </c>
      <c r="D8418" s="2"/>
      <c r="E8418" s="31"/>
      <c r="G8418" s="43"/>
      <c r="H8418" s="2"/>
    </row>
    <row r="8419" spans="1:8">
      <c r="A8419" s="39">
        <v>2.28316538291991</v>
      </c>
      <c r="B8419" s="47">
        <v>9.5</v>
      </c>
      <c r="D8419" s="2"/>
      <c r="E8419" s="31"/>
      <c r="G8419" s="43"/>
      <c r="H8419" s="2"/>
    </row>
    <row r="8420" spans="1:8">
      <c r="A8420" s="39">
        <v>2.2829671385114</v>
      </c>
      <c r="B8420" s="47">
        <v>3</v>
      </c>
      <c r="D8420" s="2"/>
      <c r="E8420" s="31"/>
      <c r="G8420" s="43"/>
      <c r="H8420" s="2"/>
    </row>
    <row r="8421" spans="1:8">
      <c r="A8421" s="39">
        <v>2.28268343694745</v>
      </c>
      <c r="B8421" s="47">
        <v>4.4</v>
      </c>
      <c r="D8421" s="2"/>
      <c r="E8421" s="31"/>
      <c r="G8421" s="43"/>
      <c r="H8421" s="2"/>
    </row>
    <row r="8422" spans="1:8">
      <c r="A8422" s="39">
        <v>2.28268343694745</v>
      </c>
      <c r="B8422" s="47">
        <v>3.9</v>
      </c>
      <c r="D8422" s="2"/>
      <c r="E8422" s="31"/>
      <c r="G8422" s="43"/>
      <c r="H8422" s="2"/>
    </row>
    <row r="8423" spans="1:8">
      <c r="A8423" s="39">
        <v>2.28230149132743</v>
      </c>
      <c r="B8423" s="47">
        <v>14.3</v>
      </c>
      <c r="D8423" s="2"/>
      <c r="E8423" s="31"/>
      <c r="G8423" s="43"/>
      <c r="H8423" s="2"/>
    </row>
    <row r="8424" spans="1:8">
      <c r="A8424" s="39">
        <v>2.28226338785218</v>
      </c>
      <c r="B8424" s="47">
        <v>9.2</v>
      </c>
      <c r="D8424" s="2"/>
      <c r="E8424" s="31"/>
      <c r="G8424" s="43"/>
      <c r="H8424" s="2"/>
    </row>
    <row r="8425" spans="1:8">
      <c r="A8425" s="39">
        <v>2.28226338785218</v>
      </c>
      <c r="B8425" s="47">
        <v>10.2</v>
      </c>
      <c r="D8425" s="2"/>
      <c r="E8425" s="31"/>
      <c r="G8425" s="43"/>
      <c r="H8425" s="2"/>
    </row>
    <row r="8426" spans="1:8">
      <c r="A8426" s="39">
        <v>2.2820034284412</v>
      </c>
      <c r="B8426" s="47">
        <v>6</v>
      </c>
      <c r="D8426" s="2"/>
      <c r="E8426" s="31"/>
      <c r="G8426" s="43"/>
      <c r="H8426" s="2"/>
    </row>
    <row r="8427" spans="1:8">
      <c r="A8427" s="39">
        <v>2.28188303240462</v>
      </c>
      <c r="B8427" s="47">
        <v>15</v>
      </c>
      <c r="D8427" s="2"/>
      <c r="E8427" s="31"/>
      <c r="G8427" s="43"/>
      <c r="H8427" s="2"/>
    </row>
    <row r="8428" spans="1:8">
      <c r="A8428" s="39">
        <v>2.28164791128982</v>
      </c>
      <c r="B8428" s="47">
        <v>3.9</v>
      </c>
      <c r="D8428" s="2"/>
      <c r="E8428" s="31"/>
      <c r="G8428" s="43"/>
      <c r="H8428" s="2"/>
    </row>
    <row r="8429" spans="1:8">
      <c r="A8429" s="39">
        <v>2.28155963719296</v>
      </c>
      <c r="B8429" s="47">
        <v>8.4</v>
      </c>
      <c r="D8429" s="2"/>
      <c r="E8429" s="31"/>
      <c r="G8429" s="43"/>
      <c r="H8429" s="2"/>
    </row>
    <row r="8430" spans="1:8">
      <c r="A8430" s="39">
        <v>2.28094808540353</v>
      </c>
      <c r="B8430" s="47">
        <v>9</v>
      </c>
      <c r="D8430" s="2"/>
      <c r="E8430" s="31"/>
      <c r="G8430" s="43"/>
      <c r="H8430" s="2"/>
    </row>
    <row r="8431" spans="1:8">
      <c r="A8431" s="39">
        <v>2.28047217692413</v>
      </c>
      <c r="B8431" s="47">
        <v>10</v>
      </c>
      <c r="D8431" s="2"/>
      <c r="E8431" s="31"/>
      <c r="G8431" s="43"/>
      <c r="H8431" s="2"/>
    </row>
    <row r="8432" spans="1:8">
      <c r="A8432" s="39">
        <v>2.28024452337843</v>
      </c>
      <c r="B8432" s="47">
        <v>7.8</v>
      </c>
      <c r="D8432" s="2"/>
      <c r="E8432" s="31"/>
      <c r="G8432" s="43"/>
      <c r="H8432" s="2"/>
    </row>
    <row r="8433" spans="1:8">
      <c r="A8433" s="39">
        <v>2.27926112294903</v>
      </c>
      <c r="B8433" s="47">
        <v>15.5</v>
      </c>
      <c r="D8433" s="2"/>
      <c r="E8433" s="31"/>
      <c r="G8433" s="43"/>
      <c r="H8433" s="2"/>
    </row>
    <row r="8434" spans="1:8">
      <c r="A8434" s="39">
        <v>2.27903359113939</v>
      </c>
      <c r="B8434" s="47">
        <v>2</v>
      </c>
      <c r="D8434" s="2"/>
      <c r="E8434" s="31"/>
      <c r="G8434" s="43"/>
      <c r="H8434" s="2"/>
    </row>
    <row r="8435" spans="1:8">
      <c r="A8435" s="39">
        <v>2.27903359113939</v>
      </c>
      <c r="B8435" s="47">
        <v>10.8</v>
      </c>
      <c r="D8435" s="2"/>
      <c r="E8435" s="31"/>
      <c r="G8435" s="43"/>
      <c r="H8435" s="2"/>
    </row>
    <row r="8436" spans="1:8">
      <c r="A8436" s="39">
        <v>2.27903359113939</v>
      </c>
      <c r="B8436" s="47">
        <v>5</v>
      </c>
      <c r="D8436" s="2"/>
      <c r="E8436" s="31"/>
      <c r="G8436" s="43"/>
      <c r="H8436" s="2"/>
    </row>
    <row r="8437" spans="1:8">
      <c r="A8437" s="39">
        <v>2.27772643106418</v>
      </c>
      <c r="B8437" s="47">
        <v>10</v>
      </c>
      <c r="D8437" s="2"/>
      <c r="E8437" s="31"/>
      <c r="G8437" s="43"/>
      <c r="H8437" s="2"/>
    </row>
    <row r="8438" spans="1:8">
      <c r="A8438" s="39">
        <v>2.27710566942941</v>
      </c>
      <c r="B8438" s="47">
        <v>4.2</v>
      </c>
      <c r="D8438" s="2"/>
      <c r="E8438" s="31"/>
      <c r="G8438" s="43"/>
      <c r="H8438" s="2"/>
    </row>
    <row r="8439" spans="1:8">
      <c r="A8439" s="39">
        <v>2.27707285102657</v>
      </c>
      <c r="B8439" s="47">
        <v>7</v>
      </c>
      <c r="D8439" s="2"/>
      <c r="E8439" s="31"/>
      <c r="G8439" s="43"/>
      <c r="H8439" s="2"/>
    </row>
    <row r="8440" spans="1:8">
      <c r="A8440" s="39">
        <v>2.27643236793047</v>
      </c>
      <c r="B8440" s="47">
        <v>21</v>
      </c>
      <c r="D8440" s="2"/>
      <c r="E8440" s="31"/>
      <c r="G8440" s="43"/>
      <c r="H8440" s="2"/>
    </row>
    <row r="8441" spans="1:8">
      <c r="A8441" s="39">
        <v>2.27643236793047</v>
      </c>
      <c r="B8441" s="47">
        <v>10</v>
      </c>
      <c r="D8441" s="2"/>
      <c r="E8441" s="31"/>
      <c r="G8441" s="43"/>
      <c r="H8441" s="2"/>
    </row>
    <row r="8442" spans="1:8">
      <c r="A8442" s="39">
        <v>2.27575906643152</v>
      </c>
      <c r="B8442" s="47">
        <v>3</v>
      </c>
      <c r="D8442" s="2"/>
      <c r="E8442" s="31"/>
      <c r="G8442" s="43"/>
      <c r="H8442" s="2"/>
    </row>
    <row r="8443" spans="1:8">
      <c r="A8443" s="39">
        <v>2.27511211091374</v>
      </c>
      <c r="B8443" s="47">
        <v>20.5</v>
      </c>
      <c r="D8443" s="2"/>
      <c r="E8443" s="31"/>
      <c r="G8443" s="43"/>
      <c r="H8443" s="2"/>
    </row>
    <row r="8444" spans="1:8">
      <c r="A8444" s="39">
        <v>2.27391246515244</v>
      </c>
      <c r="B8444" s="47">
        <v>8</v>
      </c>
      <c r="D8444" s="2"/>
      <c r="E8444" s="31"/>
      <c r="G8444" s="43"/>
      <c r="H8444" s="2"/>
    </row>
    <row r="8445" spans="1:8">
      <c r="A8445" s="39">
        <v>2.27373916193469</v>
      </c>
      <c r="B8445" s="47">
        <v>16.7</v>
      </c>
      <c r="D8445" s="2"/>
      <c r="E8445" s="31"/>
      <c r="G8445" s="43"/>
      <c r="H8445" s="2"/>
    </row>
    <row r="8446" spans="1:8">
      <c r="A8446" s="39">
        <v>2.27373916193469</v>
      </c>
      <c r="B8446" s="47">
        <v>10</v>
      </c>
      <c r="D8446" s="2"/>
      <c r="E8446" s="31"/>
      <c r="G8446" s="43"/>
      <c r="H8446" s="2"/>
    </row>
    <row r="8447" spans="1:8">
      <c r="A8447" s="39">
        <v>2.27306586043575</v>
      </c>
      <c r="B8447" s="47">
        <v>8.5</v>
      </c>
      <c r="D8447" s="2"/>
      <c r="E8447" s="31"/>
      <c r="G8447" s="43"/>
      <c r="H8447" s="2"/>
    </row>
    <row r="8448" spans="1:8">
      <c r="A8448" s="39">
        <v>2.27180177907712</v>
      </c>
      <c r="B8448" s="47">
        <v>16</v>
      </c>
      <c r="D8448" s="2"/>
      <c r="E8448" s="31"/>
      <c r="G8448" s="43"/>
      <c r="H8448" s="2"/>
    </row>
    <row r="8449" spans="1:8">
      <c r="A8449" s="39">
        <v>2.2711906306881</v>
      </c>
      <c r="B8449" s="47">
        <v>5.9</v>
      </c>
      <c r="D8449" s="2"/>
      <c r="E8449" s="31"/>
      <c r="G8449" s="43"/>
      <c r="H8449" s="2"/>
    </row>
    <row r="8450" spans="1:8">
      <c r="A8450" s="39">
        <v>2.27037265443997</v>
      </c>
      <c r="B8450" s="47">
        <v>4.8</v>
      </c>
      <c r="D8450" s="2"/>
      <c r="E8450" s="31"/>
      <c r="G8450" s="43"/>
      <c r="H8450" s="2"/>
    </row>
    <row r="8451" spans="1:8">
      <c r="A8451" s="39">
        <v>2.27036310655313</v>
      </c>
      <c r="B8451" s="47">
        <v>5</v>
      </c>
      <c r="D8451" s="2"/>
      <c r="E8451" s="31"/>
      <c r="G8451" s="43"/>
      <c r="H8451" s="2"/>
    </row>
    <row r="8452" spans="1:8">
      <c r="A8452" s="39">
        <v>2.27036310655313</v>
      </c>
      <c r="B8452" s="47">
        <v>4.9</v>
      </c>
      <c r="D8452" s="2"/>
      <c r="E8452" s="31"/>
      <c r="G8452" s="43"/>
      <c r="H8452" s="2"/>
    </row>
    <row r="8453" spans="1:8">
      <c r="A8453" s="39">
        <v>2.26967864375345</v>
      </c>
      <c r="B8453" s="47">
        <v>14.2</v>
      </c>
      <c r="D8453" s="2"/>
      <c r="E8453" s="31"/>
      <c r="G8453" s="43"/>
      <c r="H8453" s="2"/>
    </row>
    <row r="8454" spans="1:8">
      <c r="A8454" s="39">
        <v>2.26902605144208</v>
      </c>
      <c r="B8454" s="47">
        <v>8.4</v>
      </c>
      <c r="D8454" s="2"/>
      <c r="E8454" s="31"/>
      <c r="G8454" s="43"/>
      <c r="H8454" s="2"/>
    </row>
    <row r="8455" spans="1:8">
      <c r="A8455" s="39">
        <v>2.26899418095376</v>
      </c>
      <c r="B8455" s="47">
        <v>5.9</v>
      </c>
      <c r="D8455" s="2"/>
      <c r="E8455" s="31"/>
      <c r="G8455" s="43"/>
      <c r="H8455" s="2"/>
    </row>
    <row r="8456" spans="1:8">
      <c r="A8456" s="39">
        <v>2.26898753097668</v>
      </c>
      <c r="B8456" s="47">
        <v>12</v>
      </c>
      <c r="D8456" s="2"/>
      <c r="E8456" s="31"/>
      <c r="G8456" s="43"/>
      <c r="H8456" s="2"/>
    </row>
    <row r="8457" spans="1:8">
      <c r="A8457" s="39">
        <v>2.26755859403422</v>
      </c>
      <c r="B8457" s="47">
        <v>10</v>
      </c>
      <c r="D8457" s="2"/>
      <c r="E8457" s="31"/>
      <c r="G8457" s="43"/>
      <c r="H8457" s="2"/>
    </row>
    <row r="8458" spans="1:8">
      <c r="A8458" s="39">
        <v>2.26755859403422</v>
      </c>
      <c r="B8458" s="47">
        <v>21</v>
      </c>
      <c r="D8458" s="2"/>
      <c r="E8458" s="31"/>
      <c r="G8458" s="43"/>
      <c r="H8458" s="2"/>
    </row>
    <row r="8459" spans="1:8">
      <c r="A8459" s="39">
        <v>2.26565954394736</v>
      </c>
      <c r="B8459" s="47">
        <v>12.2</v>
      </c>
      <c r="D8459" s="2"/>
      <c r="E8459" s="31"/>
      <c r="G8459" s="43"/>
      <c r="H8459" s="2"/>
    </row>
    <row r="8460" spans="1:8">
      <c r="A8460" s="39">
        <v>2.26565954394736</v>
      </c>
      <c r="B8460" s="47">
        <v>16</v>
      </c>
      <c r="D8460" s="2"/>
      <c r="E8460" s="31"/>
      <c r="G8460" s="43"/>
      <c r="H8460" s="2"/>
    </row>
    <row r="8461" spans="1:8">
      <c r="A8461" s="39">
        <v>2.26476615882603</v>
      </c>
      <c r="B8461" s="47">
        <v>10</v>
      </c>
      <c r="D8461" s="2"/>
      <c r="E8461" s="31"/>
      <c r="G8461" s="43"/>
      <c r="H8461" s="2"/>
    </row>
    <row r="8462" spans="1:8">
      <c r="A8462" s="39">
        <v>2.26465483031201</v>
      </c>
      <c r="B8462" s="47">
        <v>4</v>
      </c>
      <c r="D8462" s="2"/>
      <c r="E8462" s="31"/>
      <c r="G8462" s="43"/>
      <c r="H8462" s="2"/>
    </row>
    <row r="8463" spans="1:8">
      <c r="A8463" s="39">
        <v>2.26318154848872</v>
      </c>
      <c r="B8463" s="47">
        <v>4.9</v>
      </c>
      <c r="D8463" s="2"/>
      <c r="E8463" s="31"/>
      <c r="G8463" s="43"/>
      <c r="H8463" s="2"/>
    </row>
    <row r="8464" spans="1:8">
      <c r="A8464" s="39">
        <v>2.26269409019919</v>
      </c>
      <c r="B8464" s="47">
        <v>3.3</v>
      </c>
      <c r="D8464" s="2"/>
      <c r="E8464" s="31"/>
      <c r="G8464" s="43"/>
      <c r="H8464" s="2"/>
    </row>
    <row r="8465" spans="1:8">
      <c r="A8465" s="39">
        <v>2.26269409019919</v>
      </c>
      <c r="B8465" s="47">
        <v>9.5</v>
      </c>
      <c r="D8465" s="2"/>
      <c r="E8465" s="31"/>
      <c r="G8465" s="43"/>
      <c r="H8465" s="2"/>
    </row>
    <row r="8466" spans="1:8">
      <c r="A8466" s="39">
        <v>2.26195191072559</v>
      </c>
      <c r="B8466" s="47">
        <v>11</v>
      </c>
      <c r="D8466" s="2"/>
      <c r="E8466" s="31"/>
      <c r="G8466" s="43"/>
      <c r="H8466" s="2"/>
    </row>
    <row r="8467" spans="1:8">
      <c r="A8467" s="39">
        <v>2.26185461873478</v>
      </c>
      <c r="B8467" s="47">
        <v>6.5</v>
      </c>
      <c r="D8467" s="2"/>
      <c r="E8467" s="31"/>
      <c r="G8467" s="43"/>
      <c r="H8467" s="2"/>
    </row>
    <row r="8468" spans="1:8">
      <c r="A8468" s="39">
        <v>2.26138693012397</v>
      </c>
      <c r="B8468" s="47">
        <v>7</v>
      </c>
      <c r="D8468" s="2"/>
      <c r="E8468" s="31"/>
      <c r="G8468" s="43"/>
      <c r="H8468" s="2"/>
    </row>
    <row r="8469" spans="1:8">
      <c r="A8469" s="39">
        <v>2.2609991169087</v>
      </c>
      <c r="B8469" s="47">
        <v>12.5</v>
      </c>
      <c r="D8469" s="2"/>
      <c r="E8469" s="31"/>
      <c r="G8469" s="43"/>
      <c r="H8469" s="2"/>
    </row>
    <row r="8470" spans="1:8">
      <c r="A8470" s="39">
        <v>2.26044711741634</v>
      </c>
      <c r="B8470" s="47">
        <v>11</v>
      </c>
      <c r="D8470" s="2"/>
      <c r="E8470" s="31"/>
      <c r="G8470" s="43"/>
      <c r="H8470" s="2"/>
    </row>
    <row r="8471" spans="1:8">
      <c r="A8471" s="39">
        <v>2.26044711741634</v>
      </c>
      <c r="B8471" s="47">
        <v>8.1</v>
      </c>
      <c r="D8471" s="2"/>
      <c r="E8471" s="31"/>
      <c r="G8471" s="43"/>
      <c r="H8471" s="2"/>
    </row>
    <row r="8472" spans="1:8">
      <c r="A8472" s="39">
        <v>2.26027163971535</v>
      </c>
      <c r="B8472" s="47">
        <v>10.7</v>
      </c>
      <c r="D8472" s="2"/>
      <c r="E8472" s="31"/>
      <c r="G8472" s="43"/>
      <c r="H8472" s="2"/>
    </row>
    <row r="8473" spans="1:8">
      <c r="A8473" s="39">
        <v>2.25942619001115</v>
      </c>
      <c r="B8473" s="47">
        <v>4.5</v>
      </c>
      <c r="D8473" s="2"/>
      <c r="E8473" s="31"/>
      <c r="G8473" s="43"/>
      <c r="H8473" s="2"/>
    </row>
    <row r="8474" spans="1:8">
      <c r="A8474" s="39">
        <v>2.25913766262515</v>
      </c>
      <c r="B8474" s="47">
        <v>7</v>
      </c>
      <c r="D8474" s="2"/>
      <c r="E8474" s="31"/>
      <c r="G8474" s="43"/>
      <c r="H8474" s="2"/>
    </row>
    <row r="8475" spans="1:8">
      <c r="A8475" s="39">
        <v>2.2587272389585</v>
      </c>
      <c r="B8475" s="47">
        <v>14</v>
      </c>
      <c r="D8475" s="2"/>
      <c r="E8475" s="31"/>
      <c r="G8475" s="43"/>
      <c r="H8475" s="2"/>
    </row>
    <row r="8476" spans="1:8">
      <c r="A8476" s="39">
        <v>2.25811902993593</v>
      </c>
      <c r="B8476" s="47">
        <v>8</v>
      </c>
      <c r="D8476" s="2"/>
      <c r="E8476" s="31"/>
      <c r="G8476" s="43"/>
      <c r="H8476" s="2"/>
    </row>
    <row r="8477" spans="1:8">
      <c r="A8477" s="39">
        <v>2.25692836412024</v>
      </c>
      <c r="B8477" s="47">
        <v>8.4</v>
      </c>
      <c r="D8477" s="2"/>
      <c r="E8477" s="31"/>
      <c r="G8477" s="43"/>
      <c r="H8477" s="2"/>
    </row>
    <row r="8478" spans="1:8">
      <c r="A8478" s="39">
        <v>2.25667385055944</v>
      </c>
      <c r="B8478" s="47">
        <v>6.5</v>
      </c>
      <c r="D8478" s="2"/>
      <c r="E8478" s="31"/>
      <c r="G8478" s="43"/>
      <c r="H8478" s="2"/>
    </row>
    <row r="8479" spans="1:8">
      <c r="A8479" s="39">
        <v>2.25622461346102</v>
      </c>
      <c r="B8479" s="47">
        <v>9</v>
      </c>
      <c r="D8479" s="2"/>
      <c r="E8479" s="31"/>
      <c r="G8479" s="43"/>
      <c r="H8479" s="2"/>
    </row>
    <row r="8480" spans="1:8">
      <c r="A8480" s="39">
        <v>2.25530492496007</v>
      </c>
      <c r="B8480" s="47">
        <v>4.8</v>
      </c>
      <c r="D8480" s="2"/>
      <c r="E8480" s="31"/>
      <c r="G8480" s="43"/>
      <c r="H8480" s="2"/>
    </row>
    <row r="8481" spans="1:8">
      <c r="A8481" s="39">
        <v>2.25354011696636</v>
      </c>
      <c r="B8481" s="47">
        <v>4.5</v>
      </c>
      <c r="D8481" s="2"/>
      <c r="E8481" s="31"/>
      <c r="G8481" s="43"/>
      <c r="H8481" s="2"/>
    </row>
    <row r="8482" spans="1:8">
      <c r="A8482" s="39">
        <v>2.25354011696636</v>
      </c>
      <c r="B8482" s="47">
        <v>8</v>
      </c>
      <c r="D8482" s="2"/>
      <c r="E8482" s="31"/>
      <c r="G8482" s="43"/>
      <c r="H8482" s="2"/>
    </row>
    <row r="8483" spans="1:8">
      <c r="A8483" s="39">
        <v>2.25354011696636</v>
      </c>
      <c r="B8483" s="47">
        <v>7.2</v>
      </c>
      <c r="D8483" s="2"/>
      <c r="E8483" s="31"/>
      <c r="G8483" s="43"/>
      <c r="H8483" s="2"/>
    </row>
    <row r="8484" spans="1:8">
      <c r="A8484" s="39">
        <v>2.25323415566382</v>
      </c>
      <c r="B8484" s="47">
        <v>17</v>
      </c>
      <c r="D8484" s="2"/>
      <c r="E8484" s="31"/>
      <c r="G8484" s="43"/>
      <c r="H8484" s="2"/>
    </row>
    <row r="8485" spans="1:8">
      <c r="A8485" s="39">
        <v>2.25289038963507</v>
      </c>
      <c r="B8485" s="47">
        <v>21.3</v>
      </c>
      <c r="D8485" s="2"/>
      <c r="E8485" s="31"/>
      <c r="G8485" s="43"/>
      <c r="H8485" s="2"/>
    </row>
    <row r="8486" spans="1:8">
      <c r="A8486" s="39">
        <v>2.25289038963507</v>
      </c>
      <c r="B8486" s="47">
        <v>13</v>
      </c>
      <c r="D8486" s="2"/>
      <c r="E8486" s="31"/>
      <c r="G8486" s="43"/>
      <c r="H8486" s="2"/>
    </row>
    <row r="8487" spans="1:8">
      <c r="A8487" s="39">
        <v>2.25158322955985</v>
      </c>
      <c r="B8487" s="47">
        <v>6.9</v>
      </c>
      <c r="D8487" s="2"/>
      <c r="E8487" s="31"/>
      <c r="G8487" s="43"/>
      <c r="H8487" s="2"/>
    </row>
    <row r="8488" spans="1:8">
      <c r="A8488" s="39">
        <v>2.25108548990826</v>
      </c>
      <c r="B8488" s="47">
        <v>10.9</v>
      </c>
      <c r="D8488" s="2"/>
      <c r="E8488" s="31"/>
      <c r="G8488" s="43"/>
      <c r="H8488" s="2"/>
    </row>
    <row r="8489" spans="1:8">
      <c r="A8489" s="39">
        <v>2.2501019827258</v>
      </c>
      <c r="B8489" s="47">
        <v>8.2</v>
      </c>
      <c r="D8489" s="2"/>
      <c r="E8489" s="31"/>
      <c r="G8489" s="43"/>
      <c r="H8489" s="2"/>
    </row>
    <row r="8490" spans="1:8">
      <c r="A8490" s="39">
        <v>2.2495003079727</v>
      </c>
      <c r="B8490" s="47">
        <v>9</v>
      </c>
      <c r="D8490" s="2"/>
      <c r="E8490" s="31"/>
      <c r="G8490" s="43"/>
      <c r="H8490" s="2"/>
    </row>
    <row r="8491" spans="1:8">
      <c r="A8491" s="39">
        <v>2.24896890940942</v>
      </c>
      <c r="B8491" s="47">
        <v>20</v>
      </c>
      <c r="D8491" s="2"/>
      <c r="E8491" s="31"/>
      <c r="G8491" s="43"/>
      <c r="H8491" s="2"/>
    </row>
    <row r="8492" spans="1:8">
      <c r="A8492" s="39">
        <v>2.24896890940942</v>
      </c>
      <c r="B8492" s="47">
        <v>9.5</v>
      </c>
      <c r="D8492" s="2"/>
      <c r="E8492" s="31"/>
      <c r="G8492" s="43"/>
      <c r="H8492" s="2"/>
    </row>
    <row r="8493" spans="1:8">
      <c r="A8493" s="39">
        <v>2.24896890940942</v>
      </c>
      <c r="B8493" s="47">
        <v>16</v>
      </c>
      <c r="D8493" s="2"/>
      <c r="E8493" s="31"/>
      <c r="G8493" s="43"/>
      <c r="H8493" s="2"/>
    </row>
    <row r="8494" spans="1:8">
      <c r="A8494" s="39">
        <v>2.24896890940942</v>
      </c>
      <c r="B8494" s="47">
        <v>16</v>
      </c>
      <c r="D8494" s="2"/>
      <c r="E8494" s="31"/>
      <c r="G8494" s="43"/>
      <c r="H8494" s="2"/>
    </row>
    <row r="8495" spans="1:8">
      <c r="A8495" s="39">
        <v>2.24882700647375</v>
      </c>
      <c r="B8495" s="47">
        <v>0</v>
      </c>
      <c r="D8495" s="2"/>
      <c r="E8495" s="31"/>
      <c r="G8495" s="43"/>
      <c r="H8495" s="2"/>
    </row>
    <row r="8496" spans="1:8">
      <c r="A8496" s="39">
        <v>2.24863200462187</v>
      </c>
      <c r="B8496" s="47">
        <v>12.9</v>
      </c>
      <c r="D8496" s="2"/>
      <c r="E8496" s="31"/>
      <c r="G8496" s="43"/>
      <c r="H8496" s="2"/>
    </row>
    <row r="8497" spans="1:8">
      <c r="A8497" s="39">
        <v>2.24777960555037</v>
      </c>
      <c r="B8497" s="47">
        <v>8.4</v>
      </c>
      <c r="D8497" s="2"/>
      <c r="E8497" s="31"/>
      <c r="G8497" s="43"/>
      <c r="H8497" s="2"/>
    </row>
    <row r="8498" spans="1:8">
      <c r="A8498" s="39">
        <v>2.24717705023519</v>
      </c>
      <c r="B8498" s="47">
        <v>14</v>
      </c>
      <c r="D8498" s="2"/>
      <c r="E8498" s="31"/>
      <c r="G8498" s="43"/>
      <c r="H8498" s="2"/>
    </row>
    <row r="8499" spans="1:8">
      <c r="A8499" s="39">
        <v>2.24680710197692</v>
      </c>
      <c r="B8499" s="47">
        <v>10</v>
      </c>
      <c r="D8499" s="2"/>
      <c r="E8499" s="31"/>
      <c r="G8499" s="43"/>
      <c r="H8499" s="2"/>
    </row>
    <row r="8500" spans="1:8">
      <c r="A8500" s="39">
        <v>2.24635458925899</v>
      </c>
      <c r="B8500" s="47">
        <v>9</v>
      </c>
      <c r="D8500" s="2"/>
      <c r="E8500" s="31"/>
      <c r="G8500" s="43"/>
      <c r="H8500" s="2"/>
    </row>
    <row r="8501" spans="1:8">
      <c r="A8501" s="39">
        <v>2.24635458925899</v>
      </c>
      <c r="B8501" s="47">
        <v>8.6</v>
      </c>
      <c r="D8501" s="2"/>
      <c r="E8501" s="31"/>
      <c r="G8501" s="43"/>
      <c r="H8501" s="2"/>
    </row>
    <row r="8502" spans="1:8">
      <c r="A8502" s="39">
        <v>2.24504742918377</v>
      </c>
      <c r="B8502" s="47">
        <v>13.2</v>
      </c>
      <c r="D8502" s="2"/>
      <c r="E8502" s="31"/>
      <c r="G8502" s="43"/>
      <c r="H8502" s="2"/>
    </row>
    <row r="8503" spans="1:8">
      <c r="A8503" s="39">
        <v>2.24496460291349</v>
      </c>
      <c r="B8503" s="47">
        <v>10</v>
      </c>
      <c r="D8503" s="2"/>
      <c r="E8503" s="31"/>
      <c r="G8503" s="43"/>
      <c r="H8503" s="2"/>
    </row>
    <row r="8504" spans="1:8">
      <c r="A8504" s="39">
        <v>2.24366905736544</v>
      </c>
      <c r="B8504" s="47">
        <v>6.5</v>
      </c>
      <c r="D8504" s="2"/>
      <c r="E8504" s="31"/>
      <c r="G8504" s="43"/>
      <c r="H8504" s="2"/>
    </row>
    <row r="8505" spans="1:8">
      <c r="A8505" s="39">
        <v>2.24230013176607</v>
      </c>
      <c r="B8505" s="47">
        <v>4.1</v>
      </c>
      <c r="D8505" s="2"/>
      <c r="E8505" s="31"/>
      <c r="G8505" s="43"/>
      <c r="H8505" s="2"/>
    </row>
    <row r="8506" spans="1:8">
      <c r="A8506" s="39">
        <v>2.24209399148431</v>
      </c>
      <c r="B8506" s="47">
        <v>11.5</v>
      </c>
      <c r="D8506" s="2"/>
      <c r="E8506" s="31"/>
      <c r="G8506" s="43"/>
      <c r="H8506" s="2"/>
    </row>
    <row r="8507" spans="1:8">
      <c r="A8507" s="39">
        <v>2.2417746049675</v>
      </c>
      <c r="B8507" s="47">
        <v>5.3</v>
      </c>
      <c r="D8507" s="2"/>
      <c r="E8507" s="31"/>
      <c r="G8507" s="43"/>
      <c r="H8507" s="2"/>
    </row>
    <row r="8508" spans="1:8">
      <c r="A8508" s="39">
        <v>2.23981878888291</v>
      </c>
      <c r="B8508" s="47">
        <v>5</v>
      </c>
      <c r="D8508" s="2"/>
      <c r="E8508" s="31"/>
      <c r="G8508" s="43"/>
      <c r="H8508" s="2"/>
    </row>
    <row r="8509" spans="1:8">
      <c r="A8509" s="39">
        <v>2.23981878888291</v>
      </c>
      <c r="B8509" s="47">
        <v>5</v>
      </c>
      <c r="D8509" s="2"/>
      <c r="E8509" s="31"/>
      <c r="G8509" s="43"/>
      <c r="H8509" s="2"/>
    </row>
    <row r="8510" spans="1:8">
      <c r="A8510" s="39">
        <v>2.2391652088453</v>
      </c>
      <c r="B8510" s="47">
        <v>21.9</v>
      </c>
      <c r="D8510" s="2"/>
      <c r="E8510" s="31"/>
      <c r="G8510" s="43"/>
      <c r="H8510" s="2"/>
    </row>
    <row r="8511" spans="1:8">
      <c r="A8511" s="39">
        <v>2.2391652088453</v>
      </c>
      <c r="B8511" s="47">
        <v>6</v>
      </c>
      <c r="D8511" s="2"/>
      <c r="E8511" s="31"/>
      <c r="G8511" s="43"/>
      <c r="H8511" s="2"/>
    </row>
    <row r="8512" spans="1:8">
      <c r="A8512" s="39">
        <v>2.23873436389699</v>
      </c>
      <c r="B8512" s="47">
        <v>8.5</v>
      </c>
      <c r="D8512" s="2"/>
      <c r="E8512" s="31"/>
      <c r="G8512" s="43"/>
      <c r="H8512" s="2"/>
    </row>
    <row r="8513" spans="1:8">
      <c r="A8513" s="39">
        <v>2.23873436389699</v>
      </c>
      <c r="B8513" s="47">
        <v>8</v>
      </c>
      <c r="D8513" s="2"/>
      <c r="E8513" s="31"/>
      <c r="G8513" s="43"/>
      <c r="H8513" s="2"/>
    </row>
    <row r="8514" spans="1:8">
      <c r="A8514" s="39">
        <v>2.23851162880769</v>
      </c>
      <c r="B8514" s="47">
        <v>18.1</v>
      </c>
      <c r="D8514" s="2"/>
      <c r="E8514" s="31"/>
      <c r="G8514" s="43"/>
      <c r="H8514" s="2"/>
    </row>
    <row r="8515" spans="1:8">
      <c r="A8515" s="39">
        <v>2.23819335496796</v>
      </c>
      <c r="B8515" s="47">
        <v>7.6</v>
      </c>
      <c r="D8515" s="2"/>
      <c r="E8515" s="31"/>
      <c r="G8515" s="43"/>
      <c r="H8515" s="2"/>
    </row>
    <row r="8516" spans="1:8">
      <c r="A8516" s="39">
        <v>2.23722334566207</v>
      </c>
      <c r="B8516" s="47">
        <v>8</v>
      </c>
      <c r="D8516" s="2"/>
      <c r="E8516" s="31"/>
      <c r="G8516" s="43"/>
      <c r="H8516" s="2"/>
    </row>
    <row r="8517" spans="1:8">
      <c r="A8517" s="39">
        <v>2.23720446873247</v>
      </c>
      <c r="B8517" s="47">
        <v>25.3</v>
      </c>
      <c r="D8517" s="2"/>
      <c r="E8517" s="31"/>
      <c r="G8517" s="43"/>
      <c r="H8517" s="2"/>
    </row>
    <row r="8518" spans="1:8">
      <c r="A8518" s="39">
        <v>2.2368244293686</v>
      </c>
      <c r="B8518" s="47">
        <v>6.5</v>
      </c>
      <c r="D8518" s="2"/>
      <c r="E8518" s="31"/>
      <c r="G8518" s="43"/>
      <c r="H8518" s="2"/>
    </row>
    <row r="8519" spans="1:8">
      <c r="A8519" s="39">
        <v>2.23655088869487</v>
      </c>
      <c r="B8519" s="47">
        <v>6.8</v>
      </c>
      <c r="D8519" s="2"/>
      <c r="E8519" s="31"/>
      <c r="G8519" s="43"/>
      <c r="H8519" s="2"/>
    </row>
    <row r="8520" spans="1:8">
      <c r="A8520" s="39">
        <v>2.23603427799381</v>
      </c>
      <c r="B8520" s="47">
        <v>17.5</v>
      </c>
      <c r="D8520" s="2"/>
      <c r="E8520" s="31"/>
      <c r="G8520" s="43"/>
      <c r="H8520" s="2"/>
    </row>
    <row r="8521" spans="1:8">
      <c r="A8521" s="39">
        <v>2.23603427799381</v>
      </c>
      <c r="B8521" s="47">
        <v>22</v>
      </c>
      <c r="D8521" s="2"/>
      <c r="E8521" s="31"/>
      <c r="G8521" s="43"/>
      <c r="H8521" s="2"/>
    </row>
    <row r="8522" spans="1:8">
      <c r="A8522" s="39">
        <v>2.23536097649487</v>
      </c>
      <c r="B8522" s="47">
        <v>10.7</v>
      </c>
      <c r="D8522" s="2"/>
      <c r="E8522" s="31"/>
      <c r="G8522" s="43"/>
      <c r="H8522" s="2"/>
    </row>
    <row r="8523" spans="1:8">
      <c r="A8523" s="39">
        <v>2.23477104096954</v>
      </c>
      <c r="B8523" s="47">
        <v>5.4</v>
      </c>
      <c r="D8523" s="2"/>
      <c r="E8523" s="31"/>
      <c r="G8523" s="43"/>
      <c r="H8523" s="2"/>
    </row>
    <row r="8524" spans="1:8">
      <c r="A8524" s="39">
        <v>2.23370459236596</v>
      </c>
      <c r="B8524" s="47">
        <v>7</v>
      </c>
      <c r="D8524" s="2"/>
      <c r="E8524" s="31"/>
      <c r="G8524" s="43"/>
      <c r="H8524" s="2"/>
    </row>
    <row r="8525" spans="1:8">
      <c r="A8525" s="39">
        <v>2.23334107199804</v>
      </c>
      <c r="B8525" s="47">
        <v>4.5</v>
      </c>
      <c r="D8525" s="2"/>
      <c r="E8525" s="31"/>
      <c r="G8525" s="43"/>
      <c r="H8525" s="2"/>
    </row>
    <row r="8526" spans="1:8">
      <c r="A8526" s="39">
        <v>2.23334107199804</v>
      </c>
      <c r="B8526" s="47">
        <v>4.5</v>
      </c>
      <c r="D8526" s="2"/>
      <c r="E8526" s="31"/>
      <c r="G8526" s="43"/>
      <c r="H8526" s="2"/>
    </row>
    <row r="8527" spans="1:8">
      <c r="A8527" s="39">
        <v>2.23334107199804</v>
      </c>
      <c r="B8527" s="47">
        <v>4.5</v>
      </c>
      <c r="D8527" s="2"/>
      <c r="E8527" s="31"/>
      <c r="G8527" s="43"/>
      <c r="H8527" s="2"/>
    </row>
    <row r="8528" spans="1:8">
      <c r="A8528" s="39">
        <v>2.23328298850683</v>
      </c>
      <c r="B8528" s="47">
        <v>12</v>
      </c>
      <c r="D8528" s="2"/>
      <c r="E8528" s="31"/>
      <c r="G8528" s="43"/>
      <c r="H8528" s="2"/>
    </row>
    <row r="8529" spans="1:8">
      <c r="A8529" s="39">
        <v>2.23275408668356</v>
      </c>
      <c r="B8529" s="47">
        <v>6</v>
      </c>
      <c r="D8529" s="2"/>
      <c r="E8529" s="31"/>
      <c r="G8529" s="43"/>
      <c r="H8529" s="2"/>
    </row>
    <row r="8530" spans="1:8">
      <c r="A8530" s="39">
        <v>2.23197582843161</v>
      </c>
      <c r="B8530" s="47">
        <v>7.2</v>
      </c>
      <c r="D8530" s="2"/>
      <c r="E8530" s="31"/>
      <c r="G8530" s="43"/>
      <c r="H8530" s="2"/>
    </row>
    <row r="8531" spans="1:8">
      <c r="A8531" s="39">
        <v>2.23134872697112</v>
      </c>
      <c r="B8531" s="47">
        <v>13.4</v>
      </c>
      <c r="D8531" s="2"/>
      <c r="E8531" s="31"/>
      <c r="G8531" s="43"/>
      <c r="H8531" s="2"/>
    </row>
    <row r="8532" spans="1:8">
      <c r="A8532" s="39">
        <v>2.23029161959568</v>
      </c>
      <c r="B8532" s="47">
        <v>11</v>
      </c>
      <c r="D8532" s="2"/>
      <c r="E8532" s="31"/>
      <c r="G8532" s="43"/>
      <c r="H8532" s="2"/>
    </row>
    <row r="8533" spans="1:8">
      <c r="A8533" s="39">
        <v>2.22936150828118</v>
      </c>
      <c r="B8533" s="47">
        <v>4</v>
      </c>
      <c r="D8533" s="2"/>
      <c r="E8533" s="31"/>
      <c r="G8533" s="43"/>
      <c r="H8533" s="2"/>
    </row>
    <row r="8534" spans="1:8">
      <c r="A8534" s="39">
        <v>2.22930126300437</v>
      </c>
      <c r="B8534" s="47">
        <v>9</v>
      </c>
      <c r="D8534" s="2"/>
      <c r="E8534" s="31"/>
      <c r="G8534" s="43"/>
      <c r="H8534" s="2"/>
    </row>
    <row r="8535" spans="1:8">
      <c r="A8535" s="39">
        <v>2.2279264129727</v>
      </c>
      <c r="B8535" s="47">
        <v>4.2</v>
      </c>
      <c r="D8535" s="2"/>
      <c r="E8535" s="31"/>
      <c r="G8535" s="43"/>
      <c r="H8535" s="2"/>
    </row>
    <row r="8536" spans="1:8">
      <c r="A8536" s="39">
        <v>2.22677380947014</v>
      </c>
      <c r="B8536" s="47">
        <v>12</v>
      </c>
      <c r="D8536" s="2"/>
      <c r="E8536" s="31"/>
      <c r="G8536" s="43"/>
      <c r="H8536" s="2"/>
    </row>
    <row r="8537" spans="1:8">
      <c r="A8537" s="39">
        <v>2.22674718813075</v>
      </c>
      <c r="B8537" s="47">
        <v>1</v>
      </c>
      <c r="D8537" s="2"/>
      <c r="E8537" s="31"/>
      <c r="G8537" s="43"/>
      <c r="H8537" s="2"/>
    </row>
    <row r="8538" spans="1:8">
      <c r="A8538" s="39">
        <v>2.22660805700859</v>
      </c>
      <c r="B8538" s="47">
        <v>4</v>
      </c>
      <c r="D8538" s="2"/>
      <c r="E8538" s="31"/>
      <c r="G8538" s="43"/>
      <c r="H8538" s="2"/>
    </row>
    <row r="8539" spans="1:8">
      <c r="A8539" s="39">
        <v>2.22660805700859</v>
      </c>
      <c r="B8539" s="47">
        <v>5</v>
      </c>
      <c r="D8539" s="2"/>
      <c r="E8539" s="31"/>
      <c r="G8539" s="43"/>
      <c r="H8539" s="2"/>
    </row>
    <row r="8540" spans="1:8">
      <c r="A8540" s="39">
        <v>2.22660805700859</v>
      </c>
      <c r="B8540" s="47">
        <v>9.2</v>
      </c>
      <c r="D8540" s="2"/>
      <c r="E8540" s="31"/>
      <c r="G8540" s="43"/>
      <c r="H8540" s="2"/>
    </row>
    <row r="8541" spans="1:8">
      <c r="A8541" s="39">
        <v>2.22609360809314</v>
      </c>
      <c r="B8541" s="47">
        <v>23</v>
      </c>
      <c r="D8541" s="2"/>
      <c r="E8541" s="31"/>
      <c r="G8541" s="43"/>
      <c r="H8541" s="2"/>
    </row>
    <row r="8542" spans="1:8">
      <c r="A8542" s="39">
        <v>2.22596333511454</v>
      </c>
      <c r="B8542" s="47">
        <v>26</v>
      </c>
      <c r="D8542" s="2"/>
      <c r="E8542" s="31"/>
      <c r="G8542" s="43"/>
      <c r="H8542" s="2"/>
    </row>
    <row r="8543" spans="1:8">
      <c r="A8543" s="39">
        <v>2.2234792879427</v>
      </c>
      <c r="B8543" s="47">
        <v>12.3</v>
      </c>
      <c r="D8543" s="2"/>
      <c r="E8543" s="31"/>
      <c r="G8543" s="43"/>
      <c r="H8543" s="2"/>
    </row>
    <row r="8544" spans="1:8">
      <c r="A8544" s="39">
        <v>2.2228257079051</v>
      </c>
      <c r="B8544" s="47">
        <v>3</v>
      </c>
      <c r="D8544" s="2"/>
      <c r="E8544" s="31"/>
      <c r="G8544" s="43"/>
      <c r="H8544" s="2"/>
    </row>
    <row r="8545" spans="1:8">
      <c r="A8545" s="39">
        <v>2.22256824801493</v>
      </c>
      <c r="B8545" s="47">
        <v>6.7</v>
      </c>
      <c r="D8545" s="2"/>
      <c r="E8545" s="31"/>
      <c r="G8545" s="43"/>
      <c r="H8545" s="2"/>
    </row>
    <row r="8546" spans="1:8">
      <c r="A8546" s="39">
        <v>2.22243661316746</v>
      </c>
      <c r="B8546" s="47">
        <v>10</v>
      </c>
      <c r="D8546" s="2"/>
      <c r="E8546" s="31"/>
      <c r="G8546" s="43"/>
      <c r="H8546" s="2"/>
    </row>
    <row r="8547" spans="1:8">
      <c r="A8547" s="39">
        <v>2.22189494651598</v>
      </c>
      <c r="B8547" s="47">
        <v>0</v>
      </c>
      <c r="D8547" s="2"/>
      <c r="E8547" s="31"/>
      <c r="G8547" s="43"/>
      <c r="H8547" s="2"/>
    </row>
    <row r="8548" spans="1:8">
      <c r="A8548" s="39">
        <v>2.22108178497586</v>
      </c>
      <c r="B8548" s="47">
        <v>11.1</v>
      </c>
      <c r="D8548" s="2"/>
      <c r="E8548" s="31"/>
      <c r="G8548" s="43"/>
      <c r="H8548" s="2"/>
    </row>
    <row r="8549" spans="1:8">
      <c r="A8549" s="39">
        <v>2.22086496779227</v>
      </c>
      <c r="B8549" s="47">
        <v>26.5</v>
      </c>
      <c r="D8549" s="2"/>
      <c r="E8549" s="31"/>
      <c r="G8549" s="43"/>
      <c r="H8549" s="2"/>
    </row>
    <row r="8550" spans="1:8">
      <c r="A8550" s="39">
        <v>2.2202879474119</v>
      </c>
      <c r="B8550" s="47">
        <v>10</v>
      </c>
      <c r="D8550" s="2"/>
      <c r="E8550" s="31"/>
      <c r="G8550" s="43"/>
      <c r="H8550" s="2"/>
    </row>
    <row r="8551" spans="1:8">
      <c r="A8551" s="39">
        <v>2.21987504201915</v>
      </c>
      <c r="B8551" s="47">
        <v>14.3</v>
      </c>
      <c r="D8551" s="2"/>
      <c r="E8551" s="31"/>
      <c r="G8551" s="43"/>
      <c r="H8551" s="2"/>
    </row>
    <row r="8552" spans="1:8">
      <c r="A8552" s="39">
        <v>2.21920174052021</v>
      </c>
      <c r="B8552" s="47">
        <v>7</v>
      </c>
      <c r="D8552" s="2"/>
      <c r="E8552" s="31"/>
      <c r="G8552" s="43"/>
      <c r="H8552" s="2"/>
    </row>
    <row r="8553" spans="1:8">
      <c r="A8553" s="39">
        <v>2.21765947097743</v>
      </c>
      <c r="B8553" s="47">
        <v>15</v>
      </c>
      <c r="D8553" s="2"/>
      <c r="E8553" s="31"/>
      <c r="G8553" s="43"/>
      <c r="H8553" s="2"/>
    </row>
    <row r="8554" spans="1:8">
      <c r="A8554" s="39">
        <v>2.21765947097743</v>
      </c>
      <c r="B8554" s="47">
        <v>9</v>
      </c>
      <c r="D8554" s="2"/>
      <c r="E8554" s="31"/>
      <c r="G8554" s="43"/>
      <c r="H8554" s="2"/>
    </row>
    <row r="8555" spans="1:8">
      <c r="A8555" s="39">
        <v>2.2166230081148</v>
      </c>
      <c r="B8555" s="47">
        <v>1</v>
      </c>
      <c r="D8555" s="2"/>
      <c r="E8555" s="31"/>
      <c r="G8555" s="43"/>
      <c r="H8555" s="2"/>
    </row>
    <row r="8556" spans="1:8">
      <c r="A8556" s="39">
        <v>2.2166230081148</v>
      </c>
      <c r="B8556" s="47">
        <v>10.7</v>
      </c>
      <c r="D8556" s="2"/>
      <c r="E8556" s="31"/>
      <c r="G8556" s="43"/>
      <c r="H8556" s="2"/>
    </row>
    <row r="8557" spans="1:8">
      <c r="A8557" s="39">
        <v>2.21650853452443</v>
      </c>
      <c r="B8557" s="47">
        <v>17.6</v>
      </c>
      <c r="D8557" s="2"/>
      <c r="E8557" s="31"/>
      <c r="G8557" s="43"/>
      <c r="H8557" s="2"/>
    </row>
    <row r="8558" spans="1:8">
      <c r="A8558" s="39">
        <v>2.21650853452443</v>
      </c>
      <c r="B8558" s="47">
        <v>19</v>
      </c>
      <c r="D8558" s="2"/>
      <c r="E8558" s="31"/>
      <c r="G8558" s="43"/>
      <c r="H8558" s="2"/>
    </row>
    <row r="8559" spans="1:8">
      <c r="A8559" s="39">
        <v>2.21628990752902</v>
      </c>
      <c r="B8559" s="47">
        <v>17</v>
      </c>
      <c r="D8559" s="2"/>
      <c r="E8559" s="31"/>
      <c r="G8559" s="43"/>
      <c r="H8559" s="2"/>
    </row>
    <row r="8560" spans="1:8">
      <c r="A8560" s="39">
        <v>2.21583523302549</v>
      </c>
      <c r="B8560" s="47">
        <v>9</v>
      </c>
      <c r="D8560" s="2"/>
      <c r="E8560" s="31"/>
      <c r="G8560" s="43"/>
      <c r="H8560" s="2"/>
    </row>
    <row r="8561" spans="1:8">
      <c r="A8561" s="39">
        <v>2.21516193152654</v>
      </c>
      <c r="B8561" s="47">
        <v>6</v>
      </c>
      <c r="D8561" s="2"/>
      <c r="E8561" s="31"/>
      <c r="G8561" s="43"/>
      <c r="H8561" s="2"/>
    </row>
    <row r="8562" spans="1:8">
      <c r="A8562" s="39">
        <v>2.21367558737858</v>
      </c>
      <c r="B8562" s="47">
        <v>1</v>
      </c>
      <c r="D8562" s="2"/>
      <c r="E8562" s="31"/>
      <c r="G8562" s="43"/>
      <c r="H8562" s="2"/>
    </row>
    <row r="8563" spans="1:8">
      <c r="A8563" s="39">
        <v>2.21367558737858</v>
      </c>
      <c r="B8563" s="47">
        <v>12</v>
      </c>
      <c r="D8563" s="2"/>
      <c r="E8563" s="31"/>
      <c r="G8563" s="43"/>
      <c r="H8563" s="2"/>
    </row>
    <row r="8564" spans="1:8">
      <c r="A8564" s="39">
        <v>2.21367558737858</v>
      </c>
      <c r="B8564" s="47">
        <v>12</v>
      </c>
      <c r="D8564" s="2"/>
      <c r="E8564" s="31"/>
      <c r="G8564" s="43"/>
      <c r="H8564" s="2"/>
    </row>
    <row r="8565" spans="1:8">
      <c r="A8565" s="39">
        <v>2.21314202702971</v>
      </c>
      <c r="B8565" s="47">
        <v>4.5</v>
      </c>
      <c r="D8565" s="2"/>
      <c r="E8565" s="31"/>
      <c r="G8565" s="43"/>
      <c r="H8565" s="2"/>
    </row>
    <row r="8566" spans="1:8">
      <c r="A8566" s="39">
        <v>2.21302200734098</v>
      </c>
      <c r="B8566" s="47">
        <v>11</v>
      </c>
      <c r="D8566" s="2"/>
      <c r="E8566" s="31"/>
      <c r="G8566" s="43"/>
      <c r="H8566" s="2"/>
    </row>
    <row r="8567" spans="1:8">
      <c r="A8567" s="39">
        <v>2.21246872553076</v>
      </c>
      <c r="B8567" s="47">
        <v>5.5</v>
      </c>
      <c r="D8567" s="2"/>
      <c r="E8567" s="31"/>
      <c r="G8567" s="43"/>
      <c r="H8567" s="2"/>
    </row>
    <row r="8568" spans="1:8">
      <c r="A8568" s="39">
        <v>2.21246872553076</v>
      </c>
      <c r="B8568" s="47">
        <v>18</v>
      </c>
      <c r="D8568" s="2"/>
      <c r="E8568" s="31"/>
      <c r="G8568" s="43"/>
      <c r="H8568" s="2"/>
    </row>
    <row r="8569" spans="1:8">
      <c r="A8569" s="39">
        <v>2.21246872553076</v>
      </c>
      <c r="B8569" s="47">
        <v>20</v>
      </c>
      <c r="D8569" s="2"/>
      <c r="E8569" s="31"/>
      <c r="G8569" s="43"/>
      <c r="H8569" s="2"/>
    </row>
    <row r="8570" spans="1:8">
      <c r="A8570" s="39">
        <v>2.21225814495474</v>
      </c>
      <c r="B8570" s="47">
        <v>10.8</v>
      </c>
      <c r="D8570" s="2"/>
      <c r="E8570" s="31"/>
      <c r="G8570" s="43"/>
      <c r="H8570" s="2"/>
    </row>
    <row r="8571" spans="1:8">
      <c r="A8571" s="39">
        <v>2.21171484726576</v>
      </c>
      <c r="B8571" s="47">
        <v>7</v>
      </c>
      <c r="D8571" s="2"/>
      <c r="E8571" s="31"/>
      <c r="G8571" s="43"/>
      <c r="H8571" s="2"/>
    </row>
    <row r="8572" spans="1:8">
      <c r="A8572" s="39">
        <v>2.21081484298059</v>
      </c>
      <c r="B8572" s="47">
        <v>15</v>
      </c>
      <c r="D8572" s="2"/>
      <c r="E8572" s="31"/>
      <c r="G8572" s="43"/>
      <c r="H8572" s="2"/>
    </row>
    <row r="8573" spans="1:8">
      <c r="A8573" s="39">
        <v>2.21040768719054</v>
      </c>
      <c r="B8573" s="47">
        <v>3.9</v>
      </c>
      <c r="D8573" s="2"/>
      <c r="E8573" s="31"/>
      <c r="G8573" s="43"/>
      <c r="H8573" s="2"/>
    </row>
    <row r="8574" spans="1:8">
      <c r="A8574" s="39">
        <v>2.21040768719054</v>
      </c>
      <c r="B8574" s="47">
        <v>14.1</v>
      </c>
      <c r="D8574" s="2"/>
      <c r="E8574" s="31"/>
      <c r="G8574" s="43"/>
      <c r="H8574" s="2"/>
    </row>
    <row r="8575" spans="1:8">
      <c r="A8575" s="39">
        <v>2.20975410715294</v>
      </c>
      <c r="B8575" s="47">
        <v>20</v>
      </c>
      <c r="D8575" s="2"/>
      <c r="E8575" s="31"/>
      <c r="G8575" s="43"/>
      <c r="H8575" s="2"/>
    </row>
    <row r="8576" spans="1:8">
      <c r="A8576" s="39">
        <v>2.20944591738122</v>
      </c>
      <c r="B8576" s="47">
        <v>7</v>
      </c>
      <c r="D8576" s="2"/>
      <c r="E8576" s="31"/>
      <c r="G8576" s="43"/>
      <c r="H8576" s="2"/>
    </row>
    <row r="8577" spans="1:8">
      <c r="A8577" s="39">
        <v>2.20934823618137</v>
      </c>
      <c r="B8577" s="47">
        <v>10.7</v>
      </c>
      <c r="D8577" s="2"/>
      <c r="E8577" s="31"/>
      <c r="G8577" s="43"/>
      <c r="H8577" s="2"/>
    </row>
    <row r="8578" spans="1:8">
      <c r="A8578" s="39">
        <v>2.20910221803604</v>
      </c>
      <c r="B8578" s="47">
        <v>9</v>
      </c>
      <c r="D8578" s="2"/>
      <c r="E8578" s="31"/>
      <c r="G8578" s="43"/>
      <c r="H8578" s="2"/>
    </row>
    <row r="8579" spans="1:8">
      <c r="A8579" s="39">
        <v>2.20910052711533</v>
      </c>
      <c r="B8579" s="47">
        <v>9</v>
      </c>
      <c r="D8579" s="2"/>
      <c r="E8579" s="31"/>
      <c r="G8579" s="43"/>
      <c r="H8579" s="2"/>
    </row>
    <row r="8580" spans="1:8">
      <c r="A8580" s="39">
        <v>2.2084289165371</v>
      </c>
      <c r="B8580" s="47">
        <v>5.7</v>
      </c>
      <c r="D8580" s="2"/>
      <c r="E8580" s="31"/>
      <c r="G8580" s="43"/>
      <c r="H8580" s="2"/>
    </row>
    <row r="8581" spans="1:8">
      <c r="A8581" s="39">
        <v>2.2084289165371</v>
      </c>
      <c r="B8581" s="47">
        <v>16</v>
      </c>
      <c r="D8581" s="2"/>
      <c r="E8581" s="31"/>
      <c r="G8581" s="43"/>
      <c r="H8581" s="2"/>
    </row>
    <row r="8582" spans="1:8">
      <c r="A8582" s="39">
        <v>2.20667973096002</v>
      </c>
      <c r="B8582" s="47">
        <v>10</v>
      </c>
      <c r="D8582" s="2"/>
      <c r="E8582" s="31"/>
      <c r="G8582" s="43"/>
      <c r="H8582" s="2"/>
    </row>
    <row r="8583" spans="1:8">
      <c r="A8583" s="39">
        <v>2.20640901204027</v>
      </c>
      <c r="B8583" s="47">
        <v>10</v>
      </c>
      <c r="D8583" s="2"/>
      <c r="E8583" s="31"/>
      <c r="G8583" s="43"/>
      <c r="H8583" s="2"/>
    </row>
    <row r="8584" spans="1:8">
      <c r="A8584" s="39">
        <v>2.20640901204027</v>
      </c>
      <c r="B8584" s="47">
        <v>10</v>
      </c>
      <c r="D8584" s="2"/>
      <c r="E8584" s="31"/>
      <c r="G8584" s="43"/>
      <c r="H8584" s="2"/>
    </row>
    <row r="8585" spans="1:8">
      <c r="A8585" s="39">
        <v>2.20573571054132</v>
      </c>
      <c r="B8585" s="47">
        <v>7.4</v>
      </c>
      <c r="D8585" s="2"/>
      <c r="E8585" s="31"/>
      <c r="G8585" s="43"/>
      <c r="H8585" s="2"/>
    </row>
    <row r="8586" spans="1:8">
      <c r="A8586" s="39">
        <v>2.20517904688968</v>
      </c>
      <c r="B8586" s="47">
        <v>7</v>
      </c>
      <c r="D8586" s="2"/>
      <c r="E8586" s="31"/>
      <c r="G8586" s="43"/>
      <c r="H8586" s="2"/>
    </row>
    <row r="8587" spans="1:8">
      <c r="A8587" s="39">
        <v>2.20321830677685</v>
      </c>
      <c r="B8587" s="47">
        <v>19</v>
      </c>
      <c r="D8587" s="2"/>
      <c r="E8587" s="31"/>
      <c r="G8587" s="43"/>
      <c r="H8587" s="2"/>
    </row>
    <row r="8588" spans="1:8">
      <c r="A8588" s="39">
        <v>2.20256472673925</v>
      </c>
      <c r="B8588" s="47">
        <v>9.5</v>
      </c>
      <c r="D8588" s="2"/>
      <c r="E8588" s="31"/>
      <c r="G8588" s="43"/>
      <c r="H8588" s="2"/>
    </row>
    <row r="8589" spans="1:8">
      <c r="A8589" s="39">
        <v>2.20169590154766</v>
      </c>
      <c r="B8589" s="47">
        <v>16</v>
      </c>
      <c r="D8589" s="2"/>
      <c r="E8589" s="31"/>
      <c r="G8589" s="43"/>
      <c r="H8589" s="2"/>
    </row>
    <row r="8590" spans="1:8">
      <c r="A8590" s="39">
        <v>2.20060398662642</v>
      </c>
      <c r="B8590" s="47">
        <v>12.4</v>
      </c>
      <c r="D8590" s="2"/>
      <c r="E8590" s="31"/>
      <c r="G8590" s="43"/>
      <c r="H8590" s="2"/>
    </row>
    <row r="8591" spans="1:8">
      <c r="A8591" s="39">
        <v>2.20054790098532</v>
      </c>
      <c r="B8591" s="47">
        <v>5.2</v>
      </c>
      <c r="D8591" s="2"/>
      <c r="E8591" s="31"/>
      <c r="G8591" s="43"/>
      <c r="H8591" s="2"/>
    </row>
    <row r="8592" spans="1:8">
      <c r="A8592" s="39">
        <v>2.19995040658881</v>
      </c>
      <c r="B8592" s="47">
        <v>6</v>
      </c>
      <c r="D8592" s="2"/>
      <c r="E8592" s="31"/>
      <c r="G8592" s="43"/>
      <c r="H8592" s="2"/>
    </row>
    <row r="8593" spans="1:8">
      <c r="A8593" s="39">
        <v>2.19995040658881</v>
      </c>
      <c r="B8593" s="47">
        <v>16</v>
      </c>
      <c r="D8593" s="2"/>
      <c r="E8593" s="31"/>
      <c r="G8593" s="43"/>
      <c r="H8593" s="2"/>
    </row>
    <row r="8594" spans="1:8">
      <c r="A8594" s="39">
        <v>2.19929682655121</v>
      </c>
      <c r="B8594" s="47">
        <v>4</v>
      </c>
      <c r="D8594" s="2"/>
      <c r="E8594" s="31"/>
      <c r="G8594" s="43"/>
      <c r="H8594" s="2"/>
    </row>
    <row r="8595" spans="1:8">
      <c r="A8595" s="39">
        <v>2.19900269555188</v>
      </c>
      <c r="B8595" s="47">
        <v>6.5</v>
      </c>
      <c r="D8595" s="2"/>
      <c r="E8595" s="31"/>
      <c r="G8595" s="43"/>
      <c r="H8595" s="2"/>
    </row>
    <row r="8596" spans="1:8">
      <c r="A8596" s="39">
        <v>2.19863132846578</v>
      </c>
      <c r="B8596" s="47">
        <v>11.5</v>
      </c>
      <c r="D8596" s="2"/>
      <c r="E8596" s="31"/>
      <c r="G8596" s="43"/>
      <c r="H8596" s="2"/>
    </row>
    <row r="8597" spans="1:8">
      <c r="A8597" s="39">
        <v>2.19808506793778</v>
      </c>
      <c r="B8597" s="47">
        <v>21</v>
      </c>
      <c r="D8597" s="2"/>
      <c r="E8597" s="31"/>
      <c r="G8597" s="43"/>
      <c r="H8597" s="2"/>
    </row>
    <row r="8598" spans="1:8">
      <c r="A8598" s="39">
        <v>2.19733608643838</v>
      </c>
      <c r="B8598" s="47">
        <v>9.5</v>
      </c>
      <c r="D8598" s="2"/>
      <c r="E8598" s="31"/>
      <c r="G8598" s="43"/>
      <c r="H8598" s="2"/>
    </row>
    <row r="8599" spans="1:8">
      <c r="A8599" s="39">
        <v>2.1971095580865</v>
      </c>
      <c r="B8599" s="47">
        <v>13</v>
      </c>
      <c r="D8599" s="2"/>
      <c r="E8599" s="31"/>
      <c r="G8599" s="43"/>
      <c r="H8599" s="2"/>
    </row>
    <row r="8600" spans="1:8">
      <c r="A8600" s="39">
        <v>2.19602892636317</v>
      </c>
      <c r="B8600" s="47">
        <v>7</v>
      </c>
      <c r="D8600" s="2"/>
      <c r="E8600" s="31"/>
      <c r="G8600" s="43"/>
      <c r="H8600" s="2"/>
    </row>
    <row r="8601" spans="1:8">
      <c r="A8601" s="39">
        <v>2.19496288655821</v>
      </c>
      <c r="B8601" s="47">
        <v>16</v>
      </c>
      <c r="D8601" s="2"/>
      <c r="E8601" s="31"/>
      <c r="G8601" s="43"/>
      <c r="H8601" s="2"/>
    </row>
    <row r="8602" spans="1:8">
      <c r="A8602" s="39">
        <v>2.19496288655821</v>
      </c>
      <c r="B8602" s="47">
        <v>0</v>
      </c>
      <c r="D8602" s="2"/>
      <c r="E8602" s="31"/>
      <c r="G8602" s="43"/>
      <c r="H8602" s="2"/>
    </row>
    <row r="8603" spans="1:8">
      <c r="A8603" s="39">
        <v>2.19334373792784</v>
      </c>
      <c r="B8603" s="47">
        <v>8.7</v>
      </c>
      <c r="D8603" s="2"/>
      <c r="E8603" s="31"/>
      <c r="G8603" s="43"/>
      <c r="H8603" s="2"/>
    </row>
    <row r="8604" spans="1:8">
      <c r="A8604" s="39">
        <v>2.19294298206138</v>
      </c>
      <c r="B8604" s="47">
        <v>5.8</v>
      </c>
      <c r="D8604" s="2"/>
      <c r="E8604" s="31"/>
      <c r="G8604" s="43"/>
      <c r="H8604" s="2"/>
    </row>
    <row r="8605" spans="1:8">
      <c r="A8605" s="39">
        <v>2.19145386609991</v>
      </c>
      <c r="B8605" s="47">
        <v>24.5</v>
      </c>
      <c r="D8605" s="2"/>
      <c r="E8605" s="31"/>
      <c r="G8605" s="43"/>
      <c r="H8605" s="2"/>
    </row>
    <row r="8606" spans="1:8">
      <c r="A8606" s="39">
        <v>2.19116130634781</v>
      </c>
      <c r="B8606" s="47">
        <v>0</v>
      </c>
      <c r="D8606" s="2"/>
      <c r="E8606" s="31"/>
      <c r="G8606" s="43"/>
      <c r="H8606" s="2"/>
    </row>
    <row r="8607" spans="1:8">
      <c r="A8607" s="39">
        <v>2.19043382915447</v>
      </c>
      <c r="B8607" s="47">
        <v>10.8</v>
      </c>
      <c r="D8607" s="2"/>
      <c r="E8607" s="31"/>
      <c r="G8607" s="43"/>
      <c r="H8607" s="2"/>
    </row>
    <row r="8608" spans="1:8">
      <c r="A8608" s="39">
        <v>2.19028095899006</v>
      </c>
      <c r="B8608" s="47">
        <v>15.5</v>
      </c>
      <c r="D8608" s="2"/>
      <c r="E8608" s="31"/>
      <c r="G8608" s="43"/>
      <c r="H8608" s="2"/>
    </row>
    <row r="8609" spans="1:8">
      <c r="A8609" s="39">
        <v>2.18753238587426</v>
      </c>
      <c r="B8609" s="47">
        <v>12.4</v>
      </c>
      <c r="D8609" s="2"/>
      <c r="E8609" s="31"/>
      <c r="G8609" s="43"/>
      <c r="H8609" s="2"/>
    </row>
    <row r="8610" spans="1:8">
      <c r="A8610" s="39">
        <v>2.18622522579904</v>
      </c>
      <c r="B8610" s="47">
        <v>5.8</v>
      </c>
      <c r="D8610" s="2"/>
      <c r="E8610" s="31"/>
      <c r="G8610" s="43"/>
      <c r="H8610" s="2"/>
    </row>
    <row r="8611" spans="1:8">
      <c r="A8611" s="39">
        <v>2.18620996707194</v>
      </c>
      <c r="B8611" s="47">
        <v>4</v>
      </c>
      <c r="D8611" s="2"/>
      <c r="E8611" s="31"/>
      <c r="G8611" s="43"/>
      <c r="H8611" s="2"/>
    </row>
    <row r="8612" spans="1:8">
      <c r="A8612" s="39">
        <v>2.18620996707194</v>
      </c>
      <c r="B8612" s="47">
        <v>7</v>
      </c>
      <c r="D8612" s="2"/>
      <c r="E8612" s="31"/>
      <c r="G8612" s="43"/>
      <c r="H8612" s="2"/>
    </row>
    <row r="8613" spans="1:8">
      <c r="A8613" s="39">
        <v>2.18606896599441</v>
      </c>
      <c r="B8613" s="47">
        <v>14</v>
      </c>
      <c r="D8613" s="2"/>
      <c r="E8613" s="31"/>
      <c r="G8613" s="43"/>
      <c r="H8613" s="2"/>
    </row>
    <row r="8614" spans="1:8">
      <c r="A8614" s="39">
        <v>2.18426448568622</v>
      </c>
      <c r="B8614" s="47">
        <v>8.4</v>
      </c>
      <c r="D8614" s="2"/>
      <c r="E8614" s="31"/>
      <c r="G8614" s="43"/>
      <c r="H8614" s="2"/>
    </row>
    <row r="8615" spans="1:8">
      <c r="A8615" s="39">
        <v>2.18361090564861</v>
      </c>
      <c r="B8615" s="47">
        <v>15</v>
      </c>
      <c r="D8615" s="2"/>
      <c r="E8615" s="31"/>
      <c r="G8615" s="43"/>
      <c r="H8615" s="2"/>
    </row>
    <row r="8616" spans="1:8">
      <c r="A8616" s="39">
        <v>2.18303454490208</v>
      </c>
      <c r="B8616" s="47">
        <v>8</v>
      </c>
      <c r="D8616" s="2"/>
      <c r="E8616" s="31"/>
      <c r="G8616" s="43"/>
      <c r="H8616" s="2"/>
    </row>
    <row r="8617" spans="1:8">
      <c r="A8617" s="39">
        <v>2.182957325611</v>
      </c>
      <c r="B8617" s="47">
        <v>10</v>
      </c>
      <c r="D8617" s="2"/>
      <c r="E8617" s="31"/>
      <c r="G8617" s="43"/>
      <c r="H8617" s="2"/>
    </row>
    <row r="8618" spans="1:8">
      <c r="A8618" s="39">
        <v>2.18099658549818</v>
      </c>
      <c r="B8618" s="47">
        <v>9</v>
      </c>
      <c r="D8618" s="2"/>
      <c r="E8618" s="31"/>
      <c r="G8618" s="43"/>
      <c r="H8618" s="2"/>
    </row>
    <row r="8619" spans="1:8">
      <c r="A8619" s="39">
        <v>2.18099658549818</v>
      </c>
      <c r="B8619" s="47">
        <v>13</v>
      </c>
      <c r="D8619" s="2"/>
      <c r="E8619" s="31"/>
      <c r="G8619" s="43"/>
      <c r="H8619" s="2"/>
    </row>
    <row r="8620" spans="1:8">
      <c r="A8620" s="39">
        <v>2.18099658549818</v>
      </c>
      <c r="B8620" s="47">
        <v>5</v>
      </c>
      <c r="D8620" s="2"/>
      <c r="E8620" s="31"/>
      <c r="G8620" s="43"/>
      <c r="H8620" s="2"/>
    </row>
    <row r="8621" spans="1:8">
      <c r="A8621" s="39">
        <v>2.18034300546057</v>
      </c>
      <c r="B8621" s="47">
        <v>7</v>
      </c>
      <c r="D8621" s="2"/>
      <c r="E8621" s="31"/>
      <c r="G8621" s="43"/>
      <c r="H8621" s="2"/>
    </row>
    <row r="8622" spans="1:8">
      <c r="A8622" s="39">
        <v>2.18001401699479</v>
      </c>
      <c r="B8622" s="47">
        <v>6.8</v>
      </c>
      <c r="D8622" s="2"/>
      <c r="E8622" s="31"/>
      <c r="G8622" s="43"/>
      <c r="H8622" s="2"/>
    </row>
    <row r="8623" spans="1:8">
      <c r="A8623" s="39">
        <v>2.17968942542296</v>
      </c>
      <c r="B8623" s="47">
        <v>9</v>
      </c>
      <c r="D8623" s="2"/>
      <c r="E8623" s="31"/>
      <c r="G8623" s="43"/>
      <c r="H8623" s="2"/>
    </row>
    <row r="8624" spans="1:8">
      <c r="A8624" s="39">
        <v>2.17968942542296</v>
      </c>
      <c r="B8624" s="47">
        <v>8</v>
      </c>
      <c r="D8624" s="2"/>
      <c r="E8624" s="31"/>
      <c r="G8624" s="43"/>
      <c r="H8624" s="2"/>
    </row>
    <row r="8625" spans="1:8">
      <c r="A8625" s="39">
        <v>2.17968942542296</v>
      </c>
      <c r="B8625" s="47">
        <v>9.4</v>
      </c>
      <c r="D8625" s="2"/>
      <c r="E8625" s="31"/>
      <c r="G8625" s="43"/>
      <c r="H8625" s="2"/>
    </row>
    <row r="8626" spans="1:8">
      <c r="A8626" s="39">
        <v>2.17588428528762</v>
      </c>
      <c r="B8626" s="47">
        <v>10.8</v>
      </c>
      <c r="D8626" s="2"/>
      <c r="E8626" s="31"/>
      <c r="G8626" s="43"/>
      <c r="H8626" s="2"/>
    </row>
    <row r="8627" spans="1:8">
      <c r="A8627" s="39">
        <v>2.17543714308883</v>
      </c>
      <c r="B8627" s="47">
        <v>9</v>
      </c>
      <c r="D8627" s="2"/>
      <c r="E8627" s="31"/>
      <c r="G8627" s="43"/>
      <c r="H8627" s="2"/>
    </row>
    <row r="8628" spans="1:8">
      <c r="A8628" s="39">
        <v>2.17380720508449</v>
      </c>
      <c r="B8628" s="47">
        <v>7</v>
      </c>
      <c r="D8628" s="2"/>
      <c r="E8628" s="31"/>
      <c r="G8628" s="43"/>
      <c r="H8628" s="2"/>
    </row>
    <row r="8629" spans="1:8">
      <c r="A8629" s="39">
        <v>2.17316938899795</v>
      </c>
      <c r="B8629" s="47">
        <v>7.8</v>
      </c>
      <c r="D8629" s="2"/>
      <c r="E8629" s="31"/>
      <c r="G8629" s="43"/>
      <c r="H8629" s="2"/>
    </row>
    <row r="8630" spans="1:8">
      <c r="A8630" s="39">
        <v>2.17315362504688</v>
      </c>
      <c r="B8630" s="47">
        <v>19</v>
      </c>
      <c r="D8630" s="2"/>
      <c r="E8630" s="31"/>
      <c r="G8630" s="43"/>
      <c r="H8630" s="2"/>
    </row>
    <row r="8631" spans="1:8">
      <c r="A8631" s="39">
        <v>2.17315362504688</v>
      </c>
      <c r="B8631" s="47">
        <v>6.2</v>
      </c>
      <c r="D8631" s="2"/>
      <c r="E8631" s="31"/>
      <c r="G8631" s="43"/>
      <c r="H8631" s="2"/>
    </row>
    <row r="8632" spans="1:8">
      <c r="A8632" s="39">
        <v>2.17086863503402</v>
      </c>
      <c r="B8632" s="47">
        <v>10</v>
      </c>
      <c r="D8632" s="2"/>
      <c r="E8632" s="31"/>
      <c r="G8632" s="43"/>
      <c r="H8632" s="2"/>
    </row>
    <row r="8633" spans="1:8">
      <c r="A8633" s="39">
        <v>2.17006446774088</v>
      </c>
      <c r="B8633" s="47">
        <v>12</v>
      </c>
      <c r="D8633" s="2"/>
      <c r="E8633" s="31"/>
      <c r="G8633" s="43"/>
      <c r="H8633" s="2"/>
    </row>
    <row r="8634" spans="1:8">
      <c r="A8634" s="39">
        <v>2.16943350442375</v>
      </c>
      <c r="B8634" s="47">
        <v>6</v>
      </c>
      <c r="D8634" s="2"/>
      <c r="E8634" s="31"/>
      <c r="G8634" s="43"/>
      <c r="H8634" s="2"/>
    </row>
    <row r="8635" spans="1:8">
      <c r="A8635" s="39">
        <v>2.16860951335419</v>
      </c>
      <c r="B8635" s="47">
        <v>13</v>
      </c>
      <c r="D8635" s="2"/>
      <c r="E8635" s="31"/>
      <c r="G8635" s="43"/>
      <c r="H8635" s="2"/>
    </row>
    <row r="8636" spans="1:8">
      <c r="A8636" s="39">
        <v>2.16792498474602</v>
      </c>
      <c r="B8636" s="47">
        <v>9</v>
      </c>
      <c r="D8636" s="2"/>
      <c r="E8636" s="31"/>
      <c r="G8636" s="43"/>
      <c r="H8636" s="2"/>
    </row>
    <row r="8637" spans="1:8">
      <c r="A8637" s="39">
        <v>2.16727140470841</v>
      </c>
      <c r="B8637" s="47">
        <v>10.5</v>
      </c>
      <c r="D8637" s="2"/>
      <c r="E8637" s="31"/>
      <c r="G8637" s="43"/>
      <c r="H8637" s="2"/>
    </row>
    <row r="8638" spans="1:8">
      <c r="A8638" s="39">
        <v>2.16596424463319</v>
      </c>
      <c r="B8638" s="47">
        <v>7</v>
      </c>
      <c r="D8638" s="2"/>
      <c r="E8638" s="31"/>
      <c r="G8638" s="43"/>
      <c r="H8638" s="2"/>
    </row>
    <row r="8639" spans="1:8">
      <c r="A8639" s="39">
        <v>2.16424465019413</v>
      </c>
      <c r="B8639" s="47">
        <v>7</v>
      </c>
      <c r="D8639" s="2"/>
      <c r="E8639" s="31"/>
      <c r="G8639" s="43"/>
      <c r="H8639" s="2"/>
    </row>
    <row r="8640" spans="1:8">
      <c r="A8640" s="39">
        <v>2.16334992448276</v>
      </c>
      <c r="B8640" s="47">
        <v>4</v>
      </c>
      <c r="D8640" s="2"/>
      <c r="E8640" s="31"/>
      <c r="G8640" s="43"/>
      <c r="H8640" s="2"/>
    </row>
    <row r="8641" spans="1:8">
      <c r="A8641" s="39">
        <v>2.16278969580745</v>
      </c>
      <c r="B8641" s="47">
        <v>13</v>
      </c>
      <c r="D8641" s="2"/>
      <c r="E8641" s="31"/>
      <c r="G8641" s="43"/>
      <c r="H8641" s="2"/>
    </row>
    <row r="8642" spans="1:8">
      <c r="A8642" s="39">
        <v>2.16206221861411</v>
      </c>
      <c r="B8642" s="47">
        <v>0</v>
      </c>
      <c r="D8642" s="2"/>
      <c r="E8642" s="31"/>
      <c r="G8642" s="43"/>
      <c r="H8642" s="2"/>
    </row>
    <row r="8643" spans="1:8">
      <c r="A8643" s="39">
        <v>2.16138918436994</v>
      </c>
      <c r="B8643" s="47">
        <v>8</v>
      </c>
      <c r="D8643" s="2"/>
      <c r="E8643" s="31"/>
      <c r="G8643" s="43"/>
      <c r="H8643" s="2"/>
    </row>
    <row r="8644" spans="1:8">
      <c r="A8644" s="39">
        <v>2.16073560433233</v>
      </c>
      <c r="B8644" s="47">
        <v>10.5</v>
      </c>
      <c r="D8644" s="2"/>
      <c r="E8644" s="31"/>
      <c r="G8644" s="43"/>
      <c r="H8644" s="2"/>
    </row>
    <row r="8645" spans="1:8">
      <c r="A8645" s="39">
        <v>2.16012530625622</v>
      </c>
      <c r="B8645" s="47">
        <v>22</v>
      </c>
      <c r="D8645" s="2"/>
      <c r="E8645" s="31"/>
      <c r="G8645" s="43"/>
      <c r="H8645" s="2"/>
    </row>
    <row r="8646" spans="1:8">
      <c r="A8646" s="39">
        <v>2.1594090843377</v>
      </c>
      <c r="B8646" s="47">
        <v>10</v>
      </c>
      <c r="D8646" s="2"/>
      <c r="E8646" s="31"/>
      <c r="G8646" s="43"/>
      <c r="H8646" s="2"/>
    </row>
    <row r="8647" spans="1:8">
      <c r="A8647" s="39">
        <v>2.15927790711417</v>
      </c>
      <c r="B8647" s="47">
        <v>4.6</v>
      </c>
      <c r="D8647" s="2"/>
      <c r="E8647" s="31"/>
      <c r="G8647" s="43"/>
      <c r="H8647" s="2"/>
    </row>
    <row r="8648" spans="1:8">
      <c r="A8648" s="39">
        <v>2.1581212841819</v>
      </c>
      <c r="B8648" s="47">
        <v>8.4</v>
      </c>
      <c r="D8648" s="2"/>
      <c r="E8648" s="31"/>
      <c r="G8648" s="43"/>
      <c r="H8648" s="2"/>
    </row>
    <row r="8649" spans="1:8">
      <c r="A8649" s="39">
        <v>2.15605781900584</v>
      </c>
      <c r="B8649" s="47">
        <v>4</v>
      </c>
      <c r="D8649" s="2"/>
      <c r="E8649" s="31"/>
      <c r="G8649" s="43"/>
      <c r="H8649" s="2"/>
    </row>
    <row r="8650" spans="1:8">
      <c r="A8650" s="39">
        <v>2.1552380981205</v>
      </c>
      <c r="B8650" s="47">
        <v>12.3</v>
      </c>
      <c r="D8650" s="2"/>
      <c r="E8650" s="31"/>
      <c r="G8650" s="43"/>
      <c r="H8650" s="2"/>
    </row>
    <row r="8651" spans="1:8">
      <c r="A8651" s="39">
        <v>2.15485338399386</v>
      </c>
      <c r="B8651" s="47">
        <v>12</v>
      </c>
      <c r="D8651" s="2"/>
      <c r="E8651" s="31"/>
      <c r="G8651" s="43"/>
      <c r="H8651" s="2"/>
    </row>
    <row r="8652" spans="1:8">
      <c r="A8652" s="39">
        <v>2.15485338399386</v>
      </c>
      <c r="B8652" s="47">
        <v>5</v>
      </c>
      <c r="D8652" s="2"/>
      <c r="E8652" s="31"/>
      <c r="G8652" s="43"/>
      <c r="H8652" s="2"/>
    </row>
    <row r="8653" spans="1:8">
      <c r="A8653" s="39">
        <v>2.15485338399386</v>
      </c>
      <c r="B8653" s="47">
        <v>5</v>
      </c>
      <c r="D8653" s="2"/>
      <c r="E8653" s="31"/>
      <c r="G8653" s="43"/>
      <c r="H8653" s="2"/>
    </row>
    <row r="8654" spans="1:8">
      <c r="A8654" s="39">
        <v>2.15419980395625</v>
      </c>
      <c r="B8654" s="47">
        <v>9.5</v>
      </c>
      <c r="D8654" s="2"/>
      <c r="E8654" s="31"/>
      <c r="G8654" s="43"/>
      <c r="H8654" s="2"/>
    </row>
    <row r="8655" spans="1:8">
      <c r="A8655" s="39">
        <v>2.15419980395625</v>
      </c>
      <c r="B8655" s="47">
        <v>8</v>
      </c>
      <c r="D8655" s="2"/>
      <c r="E8655" s="31"/>
      <c r="G8655" s="43"/>
      <c r="H8655" s="2"/>
    </row>
    <row r="8656" spans="1:8">
      <c r="A8656" s="39">
        <v>2.15254489212473</v>
      </c>
      <c r="B8656" s="47">
        <v>4</v>
      </c>
      <c r="D8656" s="2"/>
      <c r="E8656" s="31"/>
      <c r="G8656" s="43"/>
      <c r="H8656" s="2"/>
    </row>
    <row r="8657" spans="1:8">
      <c r="A8657" s="39">
        <v>2.15093190376821</v>
      </c>
      <c r="B8657" s="47">
        <v>4</v>
      </c>
      <c r="D8657" s="2"/>
      <c r="E8657" s="31"/>
      <c r="G8657" s="43"/>
      <c r="H8657" s="2"/>
    </row>
    <row r="8658" spans="1:8">
      <c r="A8658" s="39">
        <v>2.15093190376821</v>
      </c>
      <c r="B8658" s="47">
        <v>4</v>
      </c>
      <c r="D8658" s="2"/>
      <c r="E8658" s="31"/>
      <c r="G8658" s="43"/>
      <c r="H8658" s="2"/>
    </row>
    <row r="8659" spans="1:8">
      <c r="A8659" s="39">
        <v>2.1502783237306</v>
      </c>
      <c r="B8659" s="47">
        <v>9.5</v>
      </c>
      <c r="D8659" s="2"/>
      <c r="E8659" s="31"/>
      <c r="G8659" s="43"/>
      <c r="H8659" s="2"/>
    </row>
    <row r="8660" spans="1:8">
      <c r="A8660" s="39">
        <v>2.14989765380868</v>
      </c>
      <c r="B8660" s="47">
        <v>4.5</v>
      </c>
      <c r="D8660" s="2"/>
      <c r="E8660" s="31"/>
      <c r="G8660" s="43"/>
      <c r="H8660" s="2"/>
    </row>
    <row r="8661" spans="1:8">
      <c r="A8661" s="39">
        <v>2.14921319100899</v>
      </c>
      <c r="B8661" s="47">
        <v>7.5</v>
      </c>
      <c r="D8661" s="2"/>
      <c r="E8661" s="31"/>
      <c r="G8661" s="43"/>
      <c r="H8661" s="2"/>
    </row>
    <row r="8662" spans="1:8">
      <c r="A8662" s="39">
        <v>2.1486657555599</v>
      </c>
      <c r="B8662" s="47">
        <v>7.5</v>
      </c>
      <c r="D8662" s="2"/>
      <c r="E8662" s="31"/>
      <c r="G8662" s="43"/>
      <c r="H8662" s="2"/>
    </row>
    <row r="8663" spans="1:8">
      <c r="A8663" s="39">
        <v>2.14850508313106</v>
      </c>
      <c r="B8663" s="47">
        <v>10.5</v>
      </c>
      <c r="D8663" s="2"/>
      <c r="E8663" s="31"/>
      <c r="G8663" s="43"/>
      <c r="H8663" s="2"/>
    </row>
    <row r="8664" spans="1:8">
      <c r="A8664" s="39">
        <v>2.14766400358017</v>
      </c>
      <c r="B8664" s="47">
        <v>13</v>
      </c>
      <c r="D8664" s="2"/>
      <c r="E8664" s="31"/>
      <c r="G8664" s="43"/>
      <c r="H8664" s="2"/>
    </row>
    <row r="8665" spans="1:8">
      <c r="A8665" s="39">
        <v>2.14701042354256</v>
      </c>
      <c r="B8665" s="47">
        <v>10</v>
      </c>
      <c r="D8665" s="2"/>
      <c r="E8665" s="31"/>
      <c r="G8665" s="43"/>
      <c r="H8665" s="2"/>
    </row>
    <row r="8666" spans="1:8">
      <c r="A8666" s="39">
        <v>2.14701042354256</v>
      </c>
      <c r="B8666" s="47">
        <v>4</v>
      </c>
      <c r="D8666" s="2"/>
      <c r="E8666" s="31"/>
      <c r="G8666" s="43"/>
      <c r="H8666" s="2"/>
    </row>
    <row r="8667" spans="1:8">
      <c r="A8667" s="39">
        <v>2.14647533981026</v>
      </c>
      <c r="B8667" s="47">
        <v>7</v>
      </c>
      <c r="D8667" s="2"/>
      <c r="E8667" s="31"/>
      <c r="G8667" s="43"/>
      <c r="H8667" s="2"/>
    </row>
    <row r="8668" spans="1:8">
      <c r="A8668" s="39">
        <v>2.14387528878054</v>
      </c>
      <c r="B8668" s="47">
        <v>0</v>
      </c>
      <c r="D8668" s="2"/>
      <c r="E8668" s="31"/>
      <c r="G8668" s="43"/>
      <c r="H8668" s="2"/>
    </row>
    <row r="8669" spans="1:8">
      <c r="A8669" s="39">
        <v>2.14244536964056</v>
      </c>
      <c r="B8669" s="47">
        <v>19.3</v>
      </c>
      <c r="D8669" s="2"/>
      <c r="E8669" s="31"/>
      <c r="G8669" s="43"/>
      <c r="H8669" s="2"/>
    </row>
    <row r="8670" spans="1:8">
      <c r="A8670" s="39">
        <v>2.14047462316648</v>
      </c>
      <c r="B8670" s="47">
        <v>4</v>
      </c>
      <c r="D8670" s="2"/>
      <c r="E8670" s="31"/>
      <c r="G8670" s="43"/>
      <c r="H8670" s="2"/>
    </row>
    <row r="8671" spans="1:8">
      <c r="A8671" s="39">
        <v>2.1403151746131</v>
      </c>
      <c r="B8671" s="47">
        <v>4.5</v>
      </c>
      <c r="D8671" s="2"/>
      <c r="E8671" s="31"/>
      <c r="G8671" s="43"/>
      <c r="H8671" s="2"/>
    </row>
    <row r="8672" spans="1:8">
      <c r="A8672" s="39">
        <v>2.13907886214584</v>
      </c>
      <c r="B8672" s="47">
        <v>15.7</v>
      </c>
      <c r="D8672" s="2"/>
      <c r="E8672" s="31"/>
      <c r="G8672" s="43"/>
      <c r="H8672" s="2"/>
    </row>
    <row r="8673" spans="1:8">
      <c r="A8673" s="39">
        <v>2.13907886214584</v>
      </c>
      <c r="B8673" s="47">
        <v>11.1</v>
      </c>
      <c r="D8673" s="2"/>
      <c r="E8673" s="31"/>
      <c r="G8673" s="43"/>
      <c r="H8673" s="2"/>
    </row>
    <row r="8674" spans="1:8">
      <c r="A8674" s="39">
        <v>2.13907886214584</v>
      </c>
      <c r="B8674" s="47">
        <v>5</v>
      </c>
      <c r="D8674" s="2"/>
      <c r="E8674" s="31"/>
      <c r="G8674" s="43"/>
      <c r="H8674" s="2"/>
    </row>
    <row r="8675" spans="1:8">
      <c r="A8675" s="39">
        <v>2.13863864870062</v>
      </c>
      <c r="B8675" s="47">
        <v>22</v>
      </c>
      <c r="D8675" s="2"/>
      <c r="E8675" s="31"/>
      <c r="G8675" s="43"/>
      <c r="H8675" s="2"/>
    </row>
    <row r="8676" spans="1:8">
      <c r="A8676" s="39">
        <v>2.13851388305365</v>
      </c>
      <c r="B8676" s="47">
        <v>12.5</v>
      </c>
      <c r="D8676" s="2"/>
      <c r="E8676" s="31"/>
      <c r="G8676" s="43"/>
      <c r="H8676" s="2"/>
    </row>
    <row r="8677" spans="1:8">
      <c r="A8677" s="39">
        <v>2.13786030301605</v>
      </c>
      <c r="B8677" s="47">
        <v>13</v>
      </c>
      <c r="D8677" s="2"/>
      <c r="E8677" s="31"/>
      <c r="G8677" s="43"/>
      <c r="H8677" s="2"/>
    </row>
    <row r="8678" spans="1:8">
      <c r="A8678" s="39">
        <v>2.13552393501531</v>
      </c>
      <c r="B8678" s="47">
        <v>8.7</v>
      </c>
      <c r="D8678" s="2"/>
      <c r="E8678" s="31"/>
      <c r="G8678" s="43"/>
      <c r="H8678" s="2"/>
    </row>
    <row r="8679" spans="1:8">
      <c r="A8679" s="39">
        <v>2.13524598286561</v>
      </c>
      <c r="B8679" s="47">
        <v>12.4</v>
      </c>
      <c r="D8679" s="2"/>
      <c r="E8679" s="31"/>
      <c r="G8679" s="43"/>
      <c r="H8679" s="2"/>
    </row>
    <row r="8680" spans="1:8">
      <c r="A8680" s="39">
        <v>2.13524598286561</v>
      </c>
      <c r="B8680" s="47">
        <v>8.4</v>
      </c>
      <c r="D8680" s="2"/>
      <c r="E8680" s="31"/>
      <c r="G8680" s="43"/>
      <c r="H8680" s="2"/>
    </row>
    <row r="8681" spans="1:8">
      <c r="A8681" s="39">
        <v>2.1339388227904</v>
      </c>
      <c r="B8681" s="47">
        <v>9.8</v>
      </c>
      <c r="D8681" s="2"/>
      <c r="E8681" s="31"/>
      <c r="G8681" s="43"/>
      <c r="H8681" s="2"/>
    </row>
    <row r="8682" spans="1:8">
      <c r="A8682" s="39">
        <v>2.12932574491369</v>
      </c>
      <c r="B8682" s="47">
        <v>10.7</v>
      </c>
      <c r="D8682" s="2"/>
      <c r="E8682" s="31"/>
      <c r="G8682" s="43"/>
      <c r="H8682" s="2"/>
    </row>
    <row r="8683" spans="1:8">
      <c r="A8683" s="39">
        <v>2.12867930701846</v>
      </c>
      <c r="B8683" s="47">
        <v>7.5</v>
      </c>
      <c r="D8683" s="2"/>
      <c r="E8683" s="31"/>
      <c r="G8683" s="43"/>
      <c r="H8683" s="2"/>
    </row>
    <row r="8684" spans="1:8">
      <c r="A8684" s="39">
        <v>2.12805660245192</v>
      </c>
      <c r="B8684" s="47">
        <v>6</v>
      </c>
      <c r="D8684" s="2"/>
      <c r="E8684" s="31"/>
      <c r="G8684" s="43"/>
      <c r="H8684" s="2"/>
    </row>
    <row r="8685" spans="1:8">
      <c r="A8685" s="39">
        <v>2.12740302241432</v>
      </c>
      <c r="B8685" s="47">
        <v>9.5</v>
      </c>
      <c r="D8685" s="2"/>
      <c r="E8685" s="31"/>
      <c r="G8685" s="43"/>
      <c r="H8685" s="2"/>
    </row>
    <row r="8686" spans="1:8">
      <c r="A8686" s="39">
        <v>2.12740302241432</v>
      </c>
      <c r="B8686" s="47">
        <v>18.1</v>
      </c>
      <c r="D8686" s="2"/>
      <c r="E8686" s="31"/>
      <c r="G8686" s="43"/>
      <c r="H8686" s="2"/>
    </row>
    <row r="8687" spans="1:8">
      <c r="A8687" s="39">
        <v>2.12217438211345</v>
      </c>
      <c r="B8687" s="47">
        <v>12.4</v>
      </c>
      <c r="D8687" s="2"/>
      <c r="E8687" s="31"/>
      <c r="G8687" s="43"/>
      <c r="H8687" s="2"/>
    </row>
    <row r="8688" spans="1:8">
      <c r="A8688" s="39">
        <v>2.12152080207584</v>
      </c>
      <c r="B8688" s="47">
        <v>10</v>
      </c>
      <c r="D8688" s="2"/>
      <c r="E8688" s="31"/>
      <c r="G8688" s="43"/>
      <c r="H8688" s="2"/>
    </row>
    <row r="8689" spans="1:8">
      <c r="A8689" s="39">
        <v>2.12089972167435</v>
      </c>
      <c r="B8689" s="47">
        <v>16</v>
      </c>
      <c r="D8689" s="2"/>
      <c r="E8689" s="31"/>
      <c r="G8689" s="43"/>
      <c r="H8689" s="2"/>
    </row>
    <row r="8690" spans="1:8">
      <c r="A8690" s="39">
        <v>2.12086722203824</v>
      </c>
      <c r="B8690" s="47">
        <v>21</v>
      </c>
      <c r="D8690" s="2"/>
      <c r="E8690" s="31"/>
      <c r="G8690" s="43"/>
      <c r="H8690" s="2"/>
    </row>
    <row r="8691" spans="1:8">
      <c r="A8691" s="39">
        <v>2.12059601859358</v>
      </c>
      <c r="B8691" s="47">
        <v>7</v>
      </c>
      <c r="D8691" s="2"/>
      <c r="E8691" s="31"/>
      <c r="G8691" s="43"/>
      <c r="H8691" s="2"/>
    </row>
    <row r="8692" spans="1:8">
      <c r="A8692" s="39">
        <v>2.1182529018878</v>
      </c>
      <c r="B8692" s="47">
        <v>3.8</v>
      </c>
      <c r="D8692" s="2"/>
      <c r="E8692" s="31"/>
      <c r="G8692" s="43"/>
      <c r="H8692" s="2"/>
    </row>
    <row r="8693" spans="1:8">
      <c r="A8693" s="39">
        <v>2.1182529018878</v>
      </c>
      <c r="B8693" s="47">
        <v>3.5</v>
      </c>
      <c r="D8693" s="2"/>
      <c r="E8693" s="31"/>
      <c r="G8693" s="43"/>
      <c r="H8693" s="2"/>
    </row>
    <row r="8694" spans="1:8">
      <c r="A8694" s="39">
        <v>2.11484000818385</v>
      </c>
      <c r="B8694" s="47">
        <v>11.5</v>
      </c>
      <c r="D8694" s="2"/>
      <c r="E8694" s="31"/>
      <c r="G8694" s="43"/>
      <c r="H8694" s="2"/>
    </row>
    <row r="8695" spans="1:8">
      <c r="A8695" s="39">
        <v>2.11214680218807</v>
      </c>
      <c r="B8695" s="47">
        <v>4.7</v>
      </c>
      <c r="D8695" s="2"/>
      <c r="E8695" s="31"/>
      <c r="G8695" s="43"/>
      <c r="H8695" s="2"/>
    </row>
    <row r="8696" spans="1:8">
      <c r="A8696" s="39">
        <v>2.11186629227347</v>
      </c>
      <c r="B8696" s="47">
        <v>13.2</v>
      </c>
      <c r="D8696" s="2"/>
      <c r="E8696" s="31"/>
      <c r="G8696" s="43"/>
      <c r="H8696" s="2"/>
    </row>
    <row r="8697" spans="1:8">
      <c r="A8697" s="39">
        <v>2.11106352147411</v>
      </c>
      <c r="B8697" s="47">
        <v>4</v>
      </c>
      <c r="D8697" s="2"/>
      <c r="E8697" s="31"/>
      <c r="G8697" s="43"/>
      <c r="H8697" s="2"/>
    </row>
    <row r="8698" spans="1:8">
      <c r="A8698" s="39">
        <v>2.10844920132368</v>
      </c>
      <c r="B8698" s="47">
        <v>4</v>
      </c>
      <c r="D8698" s="2"/>
      <c r="E8698" s="31"/>
      <c r="G8698" s="43"/>
      <c r="H8698" s="2"/>
    </row>
    <row r="8699" spans="1:8">
      <c r="A8699" s="39">
        <v>2.10743369169546</v>
      </c>
      <c r="B8699" s="47">
        <v>16</v>
      </c>
      <c r="D8699" s="2"/>
      <c r="E8699" s="31"/>
      <c r="G8699" s="43"/>
      <c r="H8699" s="2"/>
    </row>
    <row r="8700" spans="1:8">
      <c r="A8700" s="39">
        <v>2.10541378719863</v>
      </c>
      <c r="B8700" s="47">
        <v>5</v>
      </c>
      <c r="D8700" s="2"/>
      <c r="E8700" s="31"/>
      <c r="G8700" s="43"/>
      <c r="H8700" s="2"/>
    </row>
    <row r="8701" spans="1:8">
      <c r="A8701" s="39">
        <v>2.10452772109803</v>
      </c>
      <c r="B8701" s="47">
        <v>9.6</v>
      </c>
      <c r="D8701" s="2"/>
      <c r="E8701" s="31"/>
      <c r="G8701" s="43"/>
      <c r="H8701" s="2"/>
    </row>
    <row r="8702" spans="1:8">
      <c r="A8702" s="39">
        <v>2.10125982090999</v>
      </c>
      <c r="B8702" s="47">
        <v>18.3</v>
      </c>
      <c r="D8702" s="2"/>
      <c r="E8702" s="31"/>
      <c r="G8702" s="43"/>
      <c r="H8702" s="2"/>
    </row>
    <row r="8703" spans="1:8">
      <c r="A8703" s="39">
        <v>2.09586179401993</v>
      </c>
      <c r="B8703" s="47">
        <v>10.8</v>
      </c>
      <c r="D8703" s="2"/>
      <c r="E8703" s="31"/>
      <c r="G8703" s="43"/>
      <c r="H8703" s="2"/>
    </row>
    <row r="8704" spans="1:8">
      <c r="A8704" s="39">
        <v>2.09531426471447</v>
      </c>
      <c r="B8704" s="47">
        <v>4.1</v>
      </c>
      <c r="D8704" s="2"/>
      <c r="E8704" s="31"/>
      <c r="G8704" s="43"/>
      <c r="H8704" s="2"/>
    </row>
    <row r="8705" spans="1:8">
      <c r="A8705" s="39">
        <v>2.09145612034587</v>
      </c>
      <c r="B8705" s="47">
        <v>8.5</v>
      </c>
      <c r="D8705" s="2"/>
      <c r="E8705" s="31"/>
      <c r="G8705" s="43"/>
      <c r="H8705" s="2"/>
    </row>
    <row r="8706" spans="1:8">
      <c r="A8706" s="39">
        <v>2.09136800207831</v>
      </c>
      <c r="B8706" s="47">
        <v>6.4</v>
      </c>
      <c r="D8706" s="2"/>
      <c r="E8706" s="31"/>
      <c r="G8706" s="43"/>
      <c r="H8706" s="2"/>
    </row>
    <row r="8707" spans="1:8">
      <c r="A8707" s="39">
        <v>2.09004197647319</v>
      </c>
      <c r="B8707" s="47">
        <v>11.8</v>
      </c>
      <c r="D8707" s="2"/>
      <c r="E8707" s="31"/>
      <c r="G8707" s="43"/>
      <c r="H8707" s="2"/>
    </row>
    <row r="8708" spans="1:8">
      <c r="A8708" s="39">
        <v>2.08818822015783</v>
      </c>
      <c r="B8708" s="47">
        <v>9</v>
      </c>
      <c r="D8708" s="2"/>
      <c r="E8708" s="31"/>
      <c r="G8708" s="43"/>
      <c r="H8708" s="2"/>
    </row>
    <row r="8709" spans="1:8">
      <c r="A8709" s="39">
        <v>2.0852147422303</v>
      </c>
      <c r="B8709" s="47">
        <v>4.5</v>
      </c>
      <c r="D8709" s="2"/>
      <c r="E8709" s="31"/>
      <c r="G8709" s="43"/>
      <c r="H8709" s="2"/>
    </row>
    <row r="8710" spans="1:8">
      <c r="A8710" s="39">
        <v>2.0849496361198</v>
      </c>
      <c r="B8710" s="47">
        <v>8</v>
      </c>
      <c r="D8710" s="2"/>
      <c r="E8710" s="31"/>
      <c r="G8710" s="43"/>
      <c r="H8710" s="2"/>
    </row>
    <row r="8711" spans="1:8">
      <c r="A8711" s="39">
        <v>2.08492031996979</v>
      </c>
      <c r="B8711" s="47">
        <v>20</v>
      </c>
      <c r="D8711" s="2"/>
      <c r="E8711" s="31"/>
      <c r="G8711" s="43"/>
      <c r="H8711" s="2"/>
    </row>
    <row r="8712" spans="1:8">
      <c r="A8712" s="39">
        <v>2.08050163173769</v>
      </c>
      <c r="B8712" s="47">
        <v>0</v>
      </c>
      <c r="D8712" s="2"/>
      <c r="E8712" s="31"/>
      <c r="G8712" s="43"/>
      <c r="H8712" s="2"/>
    </row>
    <row r="8713" spans="1:8">
      <c r="A8713" s="39">
        <v>2.07848172724086</v>
      </c>
      <c r="B8713" s="47">
        <v>5</v>
      </c>
      <c r="D8713" s="2"/>
      <c r="E8713" s="31"/>
      <c r="G8713" s="43"/>
      <c r="H8713" s="2"/>
    </row>
    <row r="8714" spans="1:8">
      <c r="A8714" s="39">
        <v>2.07704356370791</v>
      </c>
      <c r="B8714" s="47">
        <v>8.2</v>
      </c>
      <c r="D8714" s="2"/>
      <c r="E8714" s="31"/>
      <c r="G8714" s="43"/>
      <c r="H8714" s="2"/>
    </row>
    <row r="8715" spans="1:8">
      <c r="A8715" s="39">
        <v>2.07694738699303</v>
      </c>
      <c r="B8715" s="47">
        <v>13.9</v>
      </c>
      <c r="D8715" s="2"/>
      <c r="E8715" s="31"/>
      <c r="G8715" s="43"/>
      <c r="H8715" s="2"/>
    </row>
    <row r="8716" spans="1:8">
      <c r="A8716" s="39">
        <v>2.07577019944328</v>
      </c>
      <c r="B8716" s="47">
        <v>9</v>
      </c>
      <c r="D8716" s="2"/>
      <c r="E8716" s="31"/>
      <c r="G8716" s="43"/>
      <c r="H8716" s="2"/>
    </row>
    <row r="8717" spans="1:8">
      <c r="A8717" s="39">
        <v>2.07417867603383</v>
      </c>
      <c r="B8717" s="47">
        <v>23</v>
      </c>
      <c r="D8717" s="2"/>
      <c r="E8717" s="31"/>
      <c r="G8717" s="43"/>
      <c r="H8717" s="2"/>
    </row>
    <row r="8718" spans="1:8">
      <c r="A8718" s="39">
        <v>2.07417867603383</v>
      </c>
      <c r="B8718" s="47">
        <v>22</v>
      </c>
      <c r="D8718" s="2"/>
      <c r="E8718" s="31"/>
      <c r="G8718" s="43"/>
      <c r="H8718" s="2"/>
    </row>
    <row r="8719" spans="1:8">
      <c r="A8719" s="39">
        <v>2.07392228304371</v>
      </c>
      <c r="B8719" s="47">
        <v>7</v>
      </c>
      <c r="D8719" s="2"/>
      <c r="E8719" s="31"/>
      <c r="G8719" s="43"/>
      <c r="H8719" s="2"/>
    </row>
    <row r="8720" spans="1:8">
      <c r="A8720" s="39">
        <v>2.0698155062456</v>
      </c>
      <c r="B8720" s="47">
        <v>8</v>
      </c>
      <c r="D8720" s="2"/>
      <c r="E8720" s="31"/>
      <c r="G8720" s="43"/>
      <c r="H8720" s="2"/>
    </row>
    <row r="8721" spans="1:8">
      <c r="A8721" s="39">
        <v>2.06385279751286</v>
      </c>
      <c r="B8721" s="47">
        <v>10.7</v>
      </c>
      <c r="D8721" s="2"/>
      <c r="E8721" s="31"/>
      <c r="G8721" s="43"/>
      <c r="H8721" s="2"/>
    </row>
    <row r="8722" spans="1:8">
      <c r="A8722" s="39">
        <v>2.06204501865351</v>
      </c>
      <c r="B8722" s="47">
        <v>9</v>
      </c>
      <c r="D8722" s="2"/>
      <c r="E8722" s="31"/>
      <c r="G8722" s="43"/>
      <c r="H8722" s="2"/>
    </row>
    <row r="8723" spans="1:8">
      <c r="A8723" s="39">
        <v>2.06204501865351</v>
      </c>
      <c r="B8723" s="47">
        <v>20</v>
      </c>
      <c r="D8723" s="2"/>
      <c r="E8723" s="31"/>
      <c r="G8723" s="43"/>
      <c r="H8723" s="2"/>
    </row>
    <row r="8724" spans="1:8">
      <c r="A8724" s="39">
        <v>2.06164918976726</v>
      </c>
      <c r="B8724" s="47">
        <v>18</v>
      </c>
      <c r="D8724" s="2"/>
      <c r="E8724" s="31"/>
      <c r="G8724" s="43"/>
      <c r="H8724" s="2"/>
    </row>
    <row r="8725" spans="1:8">
      <c r="A8725" s="39">
        <v>2.05877711846547</v>
      </c>
      <c r="B8725" s="47">
        <v>9.4</v>
      </c>
      <c r="D8725" s="2"/>
      <c r="E8725" s="31"/>
      <c r="G8725" s="43"/>
      <c r="H8725" s="2"/>
    </row>
    <row r="8726" spans="1:8">
      <c r="A8726" s="39">
        <v>2.0568107130516</v>
      </c>
      <c r="B8726" s="47">
        <v>19.1</v>
      </c>
      <c r="D8726" s="2"/>
      <c r="E8726" s="31"/>
      <c r="G8726" s="43"/>
      <c r="H8726" s="2"/>
    </row>
    <row r="8727" spans="1:8">
      <c r="A8727" s="39">
        <v>2.05616279831503</v>
      </c>
      <c r="B8727" s="47">
        <v>10.3</v>
      </c>
      <c r="D8727" s="2"/>
      <c r="E8727" s="31"/>
      <c r="G8727" s="43"/>
      <c r="H8727" s="2"/>
    </row>
    <row r="8728" spans="1:8">
      <c r="A8728" s="39">
        <v>2.05491617477781</v>
      </c>
      <c r="B8728" s="47">
        <v>18.3</v>
      </c>
      <c r="D8728" s="2"/>
      <c r="E8728" s="31"/>
      <c r="G8728" s="43"/>
      <c r="H8728" s="2"/>
    </row>
    <row r="8729" spans="1:8">
      <c r="A8729" s="39">
        <v>2.05289489812699</v>
      </c>
      <c r="B8729" s="47">
        <v>10</v>
      </c>
      <c r="D8729" s="2"/>
      <c r="E8729" s="31"/>
      <c r="G8729" s="43"/>
      <c r="H8729" s="2"/>
    </row>
    <row r="8730" spans="1:8">
      <c r="A8730" s="39">
        <v>2.05224131808939</v>
      </c>
      <c r="B8730" s="47">
        <v>9.8</v>
      </c>
      <c r="D8730" s="2"/>
      <c r="E8730" s="31"/>
      <c r="G8730" s="43"/>
      <c r="H8730" s="2"/>
    </row>
    <row r="8731" spans="1:8">
      <c r="A8731" s="39">
        <v>2.04897341790135</v>
      </c>
      <c r="B8731" s="47">
        <v>9</v>
      </c>
      <c r="D8731" s="2"/>
      <c r="E8731" s="31"/>
      <c r="G8731" s="43"/>
      <c r="H8731" s="2"/>
    </row>
    <row r="8732" spans="1:8">
      <c r="A8732" s="39">
        <v>2.04784829925932</v>
      </c>
      <c r="B8732" s="47">
        <v>7.5</v>
      </c>
      <c r="D8732" s="2"/>
      <c r="E8732" s="31"/>
      <c r="G8732" s="43"/>
      <c r="H8732" s="2"/>
    </row>
    <row r="8733" spans="1:8">
      <c r="A8733" s="39">
        <v>2.04635909775091</v>
      </c>
      <c r="B8733" s="47">
        <v>4</v>
      </c>
      <c r="D8733" s="2"/>
      <c r="E8733" s="31"/>
      <c r="G8733" s="43"/>
      <c r="H8733" s="2"/>
    </row>
    <row r="8734" spans="1:8">
      <c r="A8734" s="39">
        <v>2.04309119756287</v>
      </c>
      <c r="B8734" s="47">
        <v>14.2</v>
      </c>
      <c r="D8734" s="2"/>
      <c r="E8734" s="31"/>
      <c r="G8734" s="43"/>
      <c r="H8734" s="2"/>
    </row>
    <row r="8735" spans="1:8">
      <c r="A8735" s="39">
        <v>2.04010354180104</v>
      </c>
      <c r="B8735" s="47">
        <v>15.6</v>
      </c>
      <c r="D8735" s="2"/>
      <c r="E8735" s="31"/>
      <c r="G8735" s="43"/>
      <c r="H8735" s="2"/>
    </row>
    <row r="8736" spans="1:8">
      <c r="A8736" s="39">
        <v>2.03969914305949</v>
      </c>
      <c r="B8736" s="47">
        <v>18</v>
      </c>
      <c r="D8736" s="2"/>
      <c r="E8736" s="31"/>
      <c r="G8736" s="43"/>
      <c r="H8736" s="2"/>
    </row>
    <row r="8737" spans="1:8">
      <c r="A8737" s="39">
        <v>2.03590181714918</v>
      </c>
      <c r="B8737" s="47">
        <v>7</v>
      </c>
      <c r="D8737" s="2"/>
      <c r="E8737" s="31"/>
      <c r="G8737" s="43"/>
      <c r="H8737" s="2"/>
    </row>
    <row r="8738" spans="1:8">
      <c r="A8738" s="39">
        <v>2.0293660167731</v>
      </c>
      <c r="B8738" s="47">
        <v>18.2</v>
      </c>
      <c r="D8738" s="2"/>
      <c r="E8738" s="31"/>
      <c r="G8738" s="43"/>
      <c r="H8738" s="2"/>
    </row>
    <row r="8739" spans="1:8">
      <c r="A8739" s="39">
        <v>2.01956231620898</v>
      </c>
      <c r="B8739" s="47">
        <v>7</v>
      </c>
      <c r="D8739" s="2"/>
      <c r="E8739" s="31"/>
      <c r="G8739" s="43"/>
      <c r="H8739" s="2"/>
    </row>
    <row r="8740" spans="1:8">
      <c r="A8740" s="39">
        <v>2.01956231620898</v>
      </c>
      <c r="B8740" s="47">
        <v>9.8</v>
      </c>
      <c r="D8740" s="2"/>
      <c r="E8740" s="31"/>
      <c r="G8740" s="43"/>
      <c r="H8740" s="2"/>
    </row>
    <row r="8741" spans="1:8">
      <c r="A8741" s="39">
        <v>2.01916525906896</v>
      </c>
      <c r="B8741" s="47">
        <v>19.8</v>
      </c>
      <c r="D8741" s="2"/>
      <c r="E8741" s="31"/>
      <c r="G8741" s="43"/>
      <c r="H8741" s="2"/>
    </row>
    <row r="8742" spans="1:8">
      <c r="A8742" s="39">
        <v>2.01629441602094</v>
      </c>
      <c r="B8742" s="47">
        <v>11.2</v>
      </c>
      <c r="D8742" s="2"/>
      <c r="E8742" s="31"/>
      <c r="G8742" s="43"/>
      <c r="H8742" s="2"/>
    </row>
    <row r="8743" spans="1:8">
      <c r="A8743" s="39">
        <v>2.01574294507054</v>
      </c>
      <c r="B8743" s="47">
        <v>20.3</v>
      </c>
      <c r="D8743" s="2"/>
      <c r="E8743" s="31"/>
      <c r="G8743" s="43"/>
      <c r="H8743" s="2"/>
    </row>
    <row r="8744" spans="1:8">
      <c r="A8744" s="39">
        <v>2.01292939397888</v>
      </c>
      <c r="B8744" s="47">
        <v>0</v>
      </c>
      <c r="D8744" s="2"/>
      <c r="E8744" s="31"/>
      <c r="G8744" s="43"/>
      <c r="H8744" s="2"/>
    </row>
    <row r="8745" spans="1:8">
      <c r="A8745" s="39">
        <v>2.01041219568247</v>
      </c>
      <c r="B8745" s="47">
        <v>9</v>
      </c>
      <c r="D8745" s="2"/>
      <c r="E8745" s="31"/>
      <c r="G8745" s="43"/>
      <c r="H8745" s="2"/>
    </row>
    <row r="8746" spans="1:8">
      <c r="A8746" s="39">
        <v>2.01041219568247</v>
      </c>
      <c r="B8746" s="47">
        <v>4</v>
      </c>
      <c r="D8746" s="2"/>
      <c r="E8746" s="31"/>
      <c r="G8746" s="43"/>
      <c r="H8746" s="2"/>
    </row>
    <row r="8747" spans="1:8">
      <c r="A8747" s="39">
        <v>2.01041219568247</v>
      </c>
      <c r="B8747" s="47">
        <v>4</v>
      </c>
      <c r="D8747" s="2"/>
      <c r="E8747" s="31"/>
      <c r="G8747" s="43"/>
      <c r="H8747" s="2"/>
    </row>
    <row r="8748" spans="1:8">
      <c r="A8748" s="39">
        <v>2.004418562357</v>
      </c>
      <c r="B8748" s="47">
        <v>5</v>
      </c>
      <c r="D8748" s="2"/>
      <c r="E8748" s="31"/>
      <c r="G8748" s="43"/>
      <c r="H8748" s="2"/>
    </row>
    <row r="8749" spans="1:8">
      <c r="A8749" s="39">
        <v>2.00419966765877</v>
      </c>
      <c r="B8749" s="47">
        <v>7.5</v>
      </c>
      <c r="D8749" s="2"/>
      <c r="E8749" s="31"/>
      <c r="G8749" s="43"/>
      <c r="H8749" s="2"/>
    </row>
    <row r="8750" spans="1:8">
      <c r="A8750" s="39">
        <v>2.00322281526878</v>
      </c>
      <c r="B8750" s="47">
        <v>7</v>
      </c>
      <c r="D8750" s="2"/>
      <c r="E8750" s="31"/>
      <c r="G8750" s="43"/>
      <c r="H8750" s="2"/>
    </row>
    <row r="8751" spans="1:8">
      <c r="A8751" s="39">
        <v>1.99863137507843</v>
      </c>
      <c r="B8751" s="47">
        <v>18.9</v>
      </c>
      <c r="D8751" s="2"/>
      <c r="E8751" s="31"/>
      <c r="G8751" s="43"/>
      <c r="H8751" s="2"/>
    </row>
    <row r="8752" spans="1:8">
      <c r="A8752" s="39">
        <v>1.99734059493031</v>
      </c>
      <c r="B8752" s="47">
        <v>9.6</v>
      </c>
      <c r="D8752" s="2"/>
      <c r="E8752" s="31"/>
      <c r="G8752" s="43"/>
      <c r="H8752" s="2"/>
    </row>
    <row r="8753" spans="1:8">
      <c r="A8753" s="39">
        <v>1.99692489572534</v>
      </c>
      <c r="B8753" s="47">
        <v>6.8</v>
      </c>
      <c r="D8753" s="2"/>
      <c r="E8753" s="31"/>
      <c r="G8753" s="43"/>
      <c r="H8753" s="2"/>
    </row>
    <row r="8754" spans="1:8">
      <c r="A8754" s="39">
        <v>1.99520906108001</v>
      </c>
      <c r="B8754" s="47">
        <v>16.6</v>
      </c>
      <c r="D8754" s="2"/>
      <c r="E8754" s="31"/>
      <c r="G8754" s="43"/>
      <c r="H8754" s="2"/>
    </row>
    <row r="8755" spans="1:8">
      <c r="A8755" s="39">
        <v>1.98688331432858</v>
      </c>
      <c r="B8755" s="47">
        <v>7</v>
      </c>
      <c r="D8755" s="2"/>
      <c r="E8755" s="31"/>
      <c r="G8755" s="43"/>
      <c r="H8755" s="2"/>
    </row>
    <row r="8756" spans="1:8">
      <c r="A8756" s="39">
        <v>1.98426899417815</v>
      </c>
      <c r="B8756" s="47">
        <v>11.4</v>
      </c>
      <c r="D8756" s="2"/>
      <c r="E8756" s="31"/>
      <c r="G8756" s="43"/>
      <c r="H8756" s="2"/>
    </row>
    <row r="8757" spans="1:8">
      <c r="A8757" s="39">
        <v>1.9646615930499</v>
      </c>
      <c r="B8757" s="47">
        <v>11.7</v>
      </c>
      <c r="D8757" s="2"/>
      <c r="E8757" s="31"/>
      <c r="G8757" s="43"/>
      <c r="H8757" s="2"/>
    </row>
    <row r="8758" spans="1:8">
      <c r="A8758" s="39">
        <v>1.96127851325156</v>
      </c>
      <c r="B8758" s="47">
        <v>14</v>
      </c>
      <c r="D8758" s="2"/>
      <c r="E8758" s="31"/>
      <c r="G8758" s="43"/>
      <c r="H8758" s="2"/>
    </row>
    <row r="8759" spans="1:8">
      <c r="A8759" s="39">
        <v>1.95764112728485</v>
      </c>
      <c r="B8759" s="47">
        <v>13.8</v>
      </c>
      <c r="D8759" s="2"/>
      <c r="E8759" s="31"/>
      <c r="G8759" s="43"/>
      <c r="H8759" s="2"/>
    </row>
    <row r="8760" spans="1:8">
      <c r="A8760" s="39">
        <v>1.94672896938471</v>
      </c>
      <c r="B8760" s="47">
        <v>14.4</v>
      </c>
      <c r="D8760" s="2"/>
      <c r="E8760" s="31"/>
      <c r="G8760" s="43"/>
      <c r="H8760" s="2"/>
    </row>
    <row r="8761" spans="1:8">
      <c r="A8761" s="39">
        <v>1.51447141864258</v>
      </c>
      <c r="B8761" s="47">
        <v>13.2</v>
      </c>
      <c r="D8761" s="2"/>
      <c r="E8761" s="31"/>
      <c r="G8761" s="43"/>
      <c r="H8761" s="2"/>
    </row>
  </sheetData>
  <sortState ref="A1:B8761">
    <sortCondition ref="A1" descending="1"/>
  </sortState>
  <mergeCells count="2">
    <mergeCell ref="L2:N2"/>
    <mergeCell ref="K2:K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7" sqref="A17:J19"/>
    </sheetView>
  </sheetViews>
  <sheetFormatPr defaultColWidth="11" defaultRowHeight="13.5"/>
  <sheetData>
    <row r="1" ht="27" spans="1:14">
      <c r="A1" s="32" t="s">
        <v>200</v>
      </c>
      <c r="B1" s="33" t="s">
        <v>174</v>
      </c>
      <c r="C1" s="33" t="s">
        <v>201</v>
      </c>
      <c r="D1" s="33" t="s">
        <v>202</v>
      </c>
      <c r="E1" s="33" t="s">
        <v>203</v>
      </c>
      <c r="H1" s="33" t="s">
        <v>204</v>
      </c>
      <c r="K1" s="33" t="s">
        <v>205</v>
      </c>
      <c r="M1" s="34" t="s">
        <v>182</v>
      </c>
      <c r="N1" s="35">
        <v>13800</v>
      </c>
    </row>
    <row r="2" spans="1:14">
      <c r="A2" s="36" t="s">
        <v>173</v>
      </c>
      <c r="B2">
        <v>12</v>
      </c>
      <c r="C2">
        <v>0.16</v>
      </c>
      <c r="D2">
        <v>2000</v>
      </c>
      <c r="E2" s="2" t="s">
        <v>179</v>
      </c>
      <c r="G2" s="34" t="s">
        <v>192</v>
      </c>
      <c r="H2">
        <v>57.7</v>
      </c>
      <c r="J2" s="34" t="s">
        <v>206</v>
      </c>
      <c r="K2">
        <v>100000</v>
      </c>
      <c r="M2" s="34" t="s">
        <v>183</v>
      </c>
      <c r="N2" s="35">
        <v>1000000</v>
      </c>
    </row>
    <row r="3" spans="1:14">
      <c r="A3" s="34">
        <v>1</v>
      </c>
      <c r="B3">
        <v>7.5</v>
      </c>
      <c r="C3">
        <v>0.25</v>
      </c>
      <c r="D3">
        <v>1000</v>
      </c>
      <c r="E3">
        <v>500000</v>
      </c>
      <c r="G3" s="34" t="s">
        <v>193</v>
      </c>
      <c r="H3">
        <v>70</v>
      </c>
      <c r="J3" s="34" t="s">
        <v>207</v>
      </c>
      <c r="K3">
        <v>100000</v>
      </c>
      <c r="M3" s="34" t="s">
        <v>184</v>
      </c>
      <c r="N3">
        <v>0.9</v>
      </c>
    </row>
    <row r="4" spans="1:14">
      <c r="A4" s="34">
        <v>2</v>
      </c>
      <c r="B4">
        <v>15</v>
      </c>
      <c r="C4">
        <v>0.13</v>
      </c>
      <c r="D4">
        <v>3000</v>
      </c>
      <c r="E4">
        <v>950000</v>
      </c>
      <c r="G4" s="34" t="s">
        <v>196</v>
      </c>
      <c r="H4">
        <v>85.3</v>
      </c>
      <c r="J4" s="34" t="s">
        <v>208</v>
      </c>
      <c r="K4">
        <v>150000</v>
      </c>
    </row>
    <row r="8" spans="1:14">
      <c r="A8" s="34" t="s">
        <v>209</v>
      </c>
      <c r="B8" s="34"/>
      <c r="C8" s="34"/>
      <c r="D8" s="34"/>
      <c r="E8" s="34"/>
      <c r="F8" s="34"/>
      <c r="G8" s="34"/>
      <c r="H8" s="34"/>
      <c r="I8" s="34"/>
      <c r="J8" s="34"/>
    </row>
    <row r="9" spans="1:14">
      <c r="A9" s="34"/>
      <c r="B9" s="34" t="s">
        <v>210</v>
      </c>
      <c r="C9" s="34" t="s">
        <v>211</v>
      </c>
      <c r="D9" s="34" t="s">
        <v>212</v>
      </c>
      <c r="E9" s="34">
        <v>1.1</v>
      </c>
      <c r="F9" s="34">
        <v>1.2</v>
      </c>
      <c r="G9" s="34">
        <v>1.3</v>
      </c>
      <c r="H9" s="34">
        <v>2.1</v>
      </c>
      <c r="I9" s="34">
        <v>2.2</v>
      </c>
      <c r="J9" s="34">
        <v>2.3</v>
      </c>
    </row>
    <row r="10" spans="1:14">
      <c r="A10" t="s">
        <v>213</v>
      </c>
      <c r="B10">
        <f>D10*0.25</f>
        <v>3</v>
      </c>
      <c r="C10">
        <f>D10*0.55</f>
        <v>6.6</v>
      </c>
      <c r="D10">
        <f>$B$2</f>
        <v>12</v>
      </c>
      <c r="E10">
        <f>G10*0.25</f>
        <v>1.875</v>
      </c>
      <c r="F10">
        <f>G10*0.55</f>
        <v>4.125</v>
      </c>
      <c r="G10">
        <f>$B$3</f>
        <v>7.5</v>
      </c>
      <c r="H10">
        <f>J10*0.25</f>
        <v>3.75</v>
      </c>
      <c r="I10">
        <f>J10*0.55</f>
        <v>8.25</v>
      </c>
      <c r="J10">
        <f>$B$4</f>
        <v>15</v>
      </c>
    </row>
    <row r="11" spans="1:14">
      <c r="A11" t="s">
        <v>214</v>
      </c>
      <c r="B11">
        <f>D11*0.25</f>
        <v>3</v>
      </c>
      <c r="C11">
        <f>D11*0.55</f>
        <v>6.6</v>
      </c>
      <c r="D11">
        <f>$B$2</f>
        <v>12</v>
      </c>
      <c r="E11">
        <f>G11*0.25</f>
        <v>1.875</v>
      </c>
      <c r="F11">
        <f>G11*0.55</f>
        <v>4.125</v>
      </c>
      <c r="G11">
        <f t="shared" ref="G11:G12" si="0">$B$3</f>
        <v>7.5</v>
      </c>
      <c r="H11">
        <f>J11*0.25</f>
        <v>3.75</v>
      </c>
      <c r="I11">
        <f>J11*0.55</f>
        <v>8.25</v>
      </c>
      <c r="J11">
        <f t="shared" ref="J11:J12" si="1">$B$4</f>
        <v>15</v>
      </c>
    </row>
    <row r="12" spans="1:14">
      <c r="A12" t="s">
        <v>215</v>
      </c>
      <c r="B12">
        <f>D12*0.25</f>
        <v>0</v>
      </c>
      <c r="C12">
        <f>D12*0.55</f>
        <v>0</v>
      </c>
      <c r="D12">
        <v>0</v>
      </c>
      <c r="E12">
        <f>G12*0.25</f>
        <v>1.875</v>
      </c>
      <c r="F12">
        <f>G12*0.55</f>
        <v>4.125</v>
      </c>
      <c r="G12">
        <f t="shared" si="0"/>
        <v>7.5</v>
      </c>
      <c r="H12">
        <f>J12*0.25</f>
        <v>3.75</v>
      </c>
      <c r="I12">
        <f>J12*0.55</f>
        <v>8.25</v>
      </c>
      <c r="J12">
        <f t="shared" si="1"/>
        <v>15</v>
      </c>
    </row>
    <row r="15" spans="1:14">
      <c r="A15" s="34" t="s">
        <v>216</v>
      </c>
      <c r="B15" s="34"/>
      <c r="C15" s="34"/>
      <c r="D15" s="34"/>
      <c r="E15" s="34"/>
      <c r="F15" s="34"/>
      <c r="G15" s="34"/>
      <c r="H15" s="34"/>
      <c r="I15" s="34"/>
      <c r="J15" s="34"/>
    </row>
    <row r="16" spans="1:14">
      <c r="A16" s="34"/>
      <c r="B16" s="34" t="s">
        <v>210</v>
      </c>
      <c r="C16" s="34" t="s">
        <v>211</v>
      </c>
      <c r="D16" s="34" t="s">
        <v>212</v>
      </c>
      <c r="E16" s="34">
        <v>1.1</v>
      </c>
      <c r="F16" s="34">
        <v>1.2</v>
      </c>
      <c r="G16" s="34">
        <v>1.3</v>
      </c>
      <c r="H16" s="34">
        <v>2.1</v>
      </c>
      <c r="I16" s="34">
        <v>2.2</v>
      </c>
      <c r="J16" s="34">
        <v>2.3</v>
      </c>
    </row>
    <row r="17" spans="1:10">
      <c r="A17" t="s">
        <v>213</v>
      </c>
      <c r="B17" s="35">
        <f>B10^2*$B$24</f>
        <v>0.00680529300567108</v>
      </c>
      <c r="C17" s="35">
        <f>C10^2*$B$24</f>
        <v>0.032937618147448</v>
      </c>
      <c r="D17" s="35">
        <f>D10^2*$B$24</f>
        <v>0.108884688090737</v>
      </c>
      <c r="E17" s="35">
        <f t="shared" ref="E17:G17" si="2">E10^2*$C$24</f>
        <v>0.00415362121928166</v>
      </c>
      <c r="F17" s="35">
        <f t="shared" si="2"/>
        <v>0.0201035267013233</v>
      </c>
      <c r="G17" s="35">
        <f t="shared" si="2"/>
        <v>0.0664579395085066</v>
      </c>
      <c r="H17" s="35">
        <f t="shared" ref="H17:J17" si="3">H10^2*$D$24</f>
        <v>0.00863953213610586</v>
      </c>
      <c r="I17" s="35">
        <f t="shared" si="3"/>
        <v>0.0418153355387524</v>
      </c>
      <c r="J17" s="35">
        <f t="shared" si="3"/>
        <v>0.138232514177694</v>
      </c>
    </row>
    <row r="18" spans="1:10">
      <c r="A18" t="s">
        <v>214</v>
      </c>
      <c r="B18" s="35">
        <f t="shared" ref="B18:D18" si="4">B11^2*$B$24</f>
        <v>0.00680529300567108</v>
      </c>
      <c r="C18" s="35">
        <f t="shared" si="4"/>
        <v>0.032937618147448</v>
      </c>
      <c r="D18" s="35">
        <f t="shared" si="4"/>
        <v>0.108884688090737</v>
      </c>
      <c r="E18" s="35">
        <f t="shared" ref="E18:G19" si="5">E11^2*$C$24</f>
        <v>0.00415362121928166</v>
      </c>
      <c r="F18" s="35">
        <f t="shared" si="5"/>
        <v>0.0201035267013233</v>
      </c>
      <c r="G18" s="35">
        <f t="shared" si="5"/>
        <v>0.0664579395085066</v>
      </c>
      <c r="H18" s="35">
        <f t="shared" ref="H18:J19" si="6">H11^2*$D$24</f>
        <v>0.00863953213610586</v>
      </c>
      <c r="I18" s="35">
        <f t="shared" si="6"/>
        <v>0.0418153355387524</v>
      </c>
      <c r="J18" s="35">
        <f t="shared" si="6"/>
        <v>0.138232514177694</v>
      </c>
    </row>
    <row r="19" spans="1:10">
      <c r="A19" t="s">
        <v>215</v>
      </c>
      <c r="B19">
        <f>B12^2*B27</f>
        <v>0</v>
      </c>
      <c r="C19">
        <f>D19*0.55</f>
        <v>0</v>
      </c>
      <c r="D19">
        <v>0</v>
      </c>
      <c r="E19" s="35">
        <f t="shared" si="5"/>
        <v>0.00415362121928166</v>
      </c>
      <c r="F19" s="35">
        <f t="shared" si="5"/>
        <v>0.0201035267013233</v>
      </c>
      <c r="G19" s="35">
        <f t="shared" si="5"/>
        <v>0.0664579395085066</v>
      </c>
      <c r="H19" s="35">
        <f t="shared" si="6"/>
        <v>0.00863953213610586</v>
      </c>
      <c r="I19" s="35">
        <f t="shared" si="6"/>
        <v>0.0418153355387524</v>
      </c>
      <c r="J19" s="35">
        <f t="shared" si="6"/>
        <v>0.138232514177694</v>
      </c>
    </row>
    <row r="22" spans="1:10">
      <c r="A22" s="34" t="s">
        <v>217</v>
      </c>
      <c r="B22" s="34"/>
      <c r="C22" s="34"/>
      <c r="D22" s="34"/>
    </row>
    <row r="23" spans="1:10">
      <c r="A23" s="34"/>
      <c r="B23" s="34" t="s">
        <v>218</v>
      </c>
      <c r="C23" s="34">
        <v>1</v>
      </c>
      <c r="D23" s="34">
        <v>2</v>
      </c>
    </row>
    <row r="24" spans="1:10">
      <c r="A24" t="s">
        <v>213</v>
      </c>
      <c r="B24" s="35">
        <f>$C$2/($N$1^2/$N$2)*$N$3</f>
        <v>0.000756143667296786</v>
      </c>
      <c r="C24" s="35">
        <f>$C$3/($N$1^2/$N$2)*$N$3</f>
        <v>0.00118147448015123</v>
      </c>
      <c r="D24" s="35">
        <f>$C$4/($N$1^2/$N$2)*$N$3</f>
        <v>0.000614366729678639</v>
      </c>
    </row>
    <row r="25" spans="1:10">
      <c r="A25" t="s">
        <v>214</v>
      </c>
      <c r="B25" s="35">
        <f>$C$2/($N$1^2/$N$2)*$N$3</f>
        <v>0.000756143667296786</v>
      </c>
      <c r="C25" s="35">
        <f t="shared" ref="C25:C26" si="7">$C$3/($N$1^2/$N$2)*$N$3</f>
        <v>0.00118147448015123</v>
      </c>
      <c r="D25" s="35">
        <f t="shared" ref="D25:D26" si="8">$C$4/($N$1^2/$N$2)*$N$3</f>
        <v>0.000614366729678639</v>
      </c>
    </row>
    <row r="26" spans="1:10">
      <c r="A26" t="s">
        <v>215</v>
      </c>
      <c r="B26">
        <v>0</v>
      </c>
      <c r="C26" s="35">
        <f t="shared" si="7"/>
        <v>0.00118147448015123</v>
      </c>
      <c r="D26" s="35">
        <f t="shared" si="8"/>
        <v>0.000614366729678639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8" sqref="D8"/>
    </sheetView>
  </sheetViews>
  <sheetFormatPr defaultColWidth="11" defaultRowHeight="13.5" outlineLevelRow="3" outlineLevelCol="6"/>
  <cols>
    <col min="1" max="1" width="14.1416666666667" customWidth="1"/>
  </cols>
  <sheetData>
    <row r="1" spans="1:7">
      <c r="A1" s="25" t="s">
        <v>219</v>
      </c>
      <c r="B1" s="26" t="s">
        <v>220</v>
      </c>
      <c r="C1" s="26"/>
      <c r="D1" s="26"/>
      <c r="E1" s="27" t="s">
        <v>221</v>
      </c>
      <c r="F1" s="27"/>
      <c r="G1" s="27"/>
    </row>
    <row r="2" ht="45.75" customHeight="1" spans="1:7">
      <c r="A2" s="22"/>
      <c r="B2" s="28" t="s">
        <v>174</v>
      </c>
      <c r="C2" s="28" t="s">
        <v>222</v>
      </c>
      <c r="D2" s="28" t="s">
        <v>223</v>
      </c>
      <c r="E2" s="29" t="s">
        <v>174</v>
      </c>
      <c r="F2" s="29" t="s">
        <v>222</v>
      </c>
      <c r="G2" s="29" t="s">
        <v>223</v>
      </c>
    </row>
    <row r="3" spans="1:7">
      <c r="A3" s="22">
        <v>1</v>
      </c>
      <c r="B3" s="30">
        <v>1</v>
      </c>
      <c r="C3" s="31">
        <v>500000</v>
      </c>
      <c r="D3" s="31">
        <v>52</v>
      </c>
      <c r="E3" s="31">
        <v>0.91</v>
      </c>
      <c r="F3" s="31">
        <v>1750000</v>
      </c>
      <c r="G3" s="31">
        <v>0</v>
      </c>
    </row>
    <row r="4" spans="1:7">
      <c r="A4" s="22">
        <v>2</v>
      </c>
      <c r="B4" s="30">
        <v>2</v>
      </c>
      <c r="C4" s="31">
        <v>490000</v>
      </c>
      <c r="D4" s="31">
        <v>50</v>
      </c>
      <c r="E4" s="31">
        <v>2.05</v>
      </c>
      <c r="F4" s="31">
        <v>1740000</v>
      </c>
      <c r="G4" s="31">
        <v>0</v>
      </c>
    </row>
  </sheetData>
  <mergeCells count="3">
    <mergeCell ref="B1:D1"/>
    <mergeCell ref="E1:G1"/>
    <mergeCell ref="A1:A2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9" sqref="C9"/>
    </sheetView>
  </sheetViews>
  <sheetFormatPr defaultColWidth="11" defaultRowHeight="13.5" outlineLevelCol="3"/>
  <sheetData>
    <row r="1" spans="1:4">
      <c r="A1" s="22" t="s">
        <v>224</v>
      </c>
      <c r="B1" s="23" t="s">
        <v>225</v>
      </c>
      <c r="C1" s="23"/>
      <c r="D1" s="23"/>
    </row>
    <row r="2" spans="1:4">
      <c r="A2" s="22"/>
      <c r="B2" s="24" t="s">
        <v>197</v>
      </c>
      <c r="C2" s="24" t="s">
        <v>198</v>
      </c>
      <c r="D2" s="24" t="s">
        <v>199</v>
      </c>
    </row>
    <row r="3" spans="1:4">
      <c r="A3">
        <v>10</v>
      </c>
      <c r="B3">
        <v>31</v>
      </c>
      <c r="C3">
        <v>94</v>
      </c>
      <c r="D3">
        <v>78</v>
      </c>
    </row>
    <row r="4" spans="1:4">
      <c r="A4">
        <v>28</v>
      </c>
      <c r="B4">
        <v>52</v>
      </c>
      <c r="C4">
        <v>103</v>
      </c>
      <c r="D4">
        <v>116</v>
      </c>
    </row>
    <row r="5" spans="1:4">
      <c r="A5">
        <v>38</v>
      </c>
      <c r="B5">
        <v>113</v>
      </c>
      <c r="C5">
        <v>120</v>
      </c>
    </row>
    <row r="6" spans="1:4">
      <c r="A6">
        <v>53</v>
      </c>
      <c r="B6">
        <v>114</v>
      </c>
    </row>
    <row r="7" spans="1:4">
      <c r="A7">
        <v>64</v>
      </c>
      <c r="B7">
        <v>122</v>
      </c>
    </row>
    <row r="8" spans="1:4">
      <c r="A8">
        <v>94</v>
      </c>
    </row>
    <row r="9" spans="1:4">
      <c r="A9">
        <v>108</v>
      </c>
    </row>
    <row r="10" spans="1:4">
      <c r="A10">
        <v>117</v>
      </c>
    </row>
    <row r="11" spans="1:4">
      <c r="A11">
        <v>126</v>
      </c>
    </row>
    <row r="12" spans="1:4">
      <c r="A12">
        <v>133</v>
      </c>
    </row>
  </sheetData>
  <sortState ref="D3:D6">
    <sortCondition ref="D3"/>
  </sortState>
  <mergeCells count="2">
    <mergeCell ref="B1:D1"/>
    <mergeCell ref="A1:A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topLeftCell="J1" workbookViewId="0">
      <selection activeCell="M3" sqref="M3:V52"/>
    </sheetView>
  </sheetViews>
  <sheetFormatPr defaultColWidth="11" defaultRowHeight="13.5"/>
  <sheetData>
    <row r="1" spans="1:27">
      <c r="A1" s="8" t="s">
        <v>4</v>
      </c>
      <c r="B1" s="17" t="s">
        <v>226</v>
      </c>
      <c r="C1" s="17"/>
      <c r="D1" s="17"/>
      <c r="E1" s="17"/>
      <c r="F1" s="17"/>
      <c r="G1" s="17"/>
      <c r="H1" s="17"/>
      <c r="I1" s="17"/>
      <c r="J1" s="17"/>
      <c r="K1" s="17"/>
    </row>
    <row r="2" spans="1:27">
      <c r="A2" s="8"/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18">
        <v>9</v>
      </c>
      <c r="K2" s="18">
        <v>10</v>
      </c>
    </row>
    <row r="3" spans="1:27">
      <c r="A3" s="19">
        <v>1</v>
      </c>
      <c r="B3" s="20">
        <v>122</v>
      </c>
      <c r="C3" s="20">
        <v>126</v>
      </c>
      <c r="D3" s="20">
        <v>129</v>
      </c>
      <c r="E3" s="20">
        <v>133</v>
      </c>
      <c r="F3" s="20">
        <v>137</v>
      </c>
      <c r="G3" s="20">
        <v>140</v>
      </c>
      <c r="H3" s="20">
        <v>144</v>
      </c>
      <c r="I3" s="20">
        <v>148</v>
      </c>
      <c r="J3" s="20">
        <v>151</v>
      </c>
      <c r="K3" s="20">
        <v>155</v>
      </c>
      <c r="M3" s="21">
        <f>B3+120</f>
        <v>242</v>
      </c>
      <c r="N3" s="21">
        <f t="shared" ref="N3:V3" si="0">C3+120</f>
        <v>246</v>
      </c>
      <c r="O3" s="21">
        <f t="shared" si="0"/>
        <v>249</v>
      </c>
      <c r="P3" s="21">
        <f t="shared" si="0"/>
        <v>253</v>
      </c>
      <c r="Q3" s="21">
        <f t="shared" si="0"/>
        <v>257</v>
      </c>
      <c r="R3" s="21">
        <f t="shared" si="0"/>
        <v>260</v>
      </c>
      <c r="S3" s="21">
        <f t="shared" si="0"/>
        <v>264</v>
      </c>
      <c r="T3" s="21">
        <f t="shared" si="0"/>
        <v>268</v>
      </c>
      <c r="U3" s="21">
        <f t="shared" si="0"/>
        <v>271</v>
      </c>
      <c r="V3" s="21">
        <f t="shared" si="0"/>
        <v>275</v>
      </c>
      <c r="W3" s="21"/>
      <c r="X3" s="21"/>
      <c r="Y3" s="21"/>
      <c r="Z3" s="21"/>
      <c r="AA3" s="21"/>
    </row>
    <row r="4" spans="1:27">
      <c r="A4" s="19">
        <v>2</v>
      </c>
      <c r="B4" s="20">
        <v>45</v>
      </c>
      <c r="C4" s="20">
        <v>46</v>
      </c>
      <c r="D4" s="20">
        <v>48</v>
      </c>
      <c r="E4" s="20">
        <v>49</v>
      </c>
      <c r="F4" s="20">
        <v>50</v>
      </c>
      <c r="G4" s="20">
        <v>52</v>
      </c>
      <c r="H4" s="20">
        <v>53</v>
      </c>
      <c r="I4" s="20">
        <v>54</v>
      </c>
      <c r="J4" s="20">
        <v>56</v>
      </c>
      <c r="K4" s="20">
        <v>57</v>
      </c>
      <c r="M4" s="21">
        <f t="shared" ref="M4:M21" si="1">B4+120</f>
        <v>165</v>
      </c>
      <c r="N4" s="21">
        <f t="shared" ref="N4:N24" si="2">C4+120</f>
        <v>166</v>
      </c>
      <c r="O4" s="21">
        <f t="shared" ref="O4:O27" si="3">D4+120</f>
        <v>168</v>
      </c>
      <c r="P4" s="21">
        <f t="shared" ref="P4:P30" si="4">E4+120</f>
        <v>169</v>
      </c>
      <c r="Q4" s="21">
        <f t="shared" ref="Q4:Q34" si="5">F4+120</f>
        <v>170</v>
      </c>
      <c r="R4" s="21">
        <f t="shared" ref="R4:R38" si="6">G4+120</f>
        <v>172</v>
      </c>
      <c r="S4" s="21">
        <f t="shared" ref="S4:S41" si="7">H4+120</f>
        <v>173</v>
      </c>
      <c r="T4" s="21">
        <f t="shared" ref="T4:T45" si="8">I4+120</f>
        <v>174</v>
      </c>
      <c r="U4" s="21">
        <f t="shared" ref="U4:U49" si="9">J4+120</f>
        <v>176</v>
      </c>
      <c r="V4" s="21">
        <f t="shared" ref="V4:V52" si="10">K4+120</f>
        <v>177</v>
      </c>
    </row>
    <row r="5" spans="1:27">
      <c r="A5" s="19">
        <v>3</v>
      </c>
      <c r="B5" s="20">
        <v>74</v>
      </c>
      <c r="C5" s="20">
        <v>76</v>
      </c>
      <c r="D5" s="20">
        <v>78</v>
      </c>
      <c r="E5" s="20">
        <v>81</v>
      </c>
      <c r="F5" s="20">
        <v>83</v>
      </c>
      <c r="G5" s="20">
        <v>85</v>
      </c>
      <c r="H5" s="20">
        <v>87</v>
      </c>
      <c r="I5" s="20">
        <v>90</v>
      </c>
      <c r="J5" s="20">
        <v>92</v>
      </c>
      <c r="K5" s="20">
        <v>94</v>
      </c>
      <c r="M5" s="21">
        <f t="shared" si="1"/>
        <v>194</v>
      </c>
      <c r="N5" s="21">
        <f t="shared" si="2"/>
        <v>196</v>
      </c>
      <c r="O5" s="21">
        <f t="shared" si="3"/>
        <v>198</v>
      </c>
      <c r="P5" s="21">
        <f t="shared" si="4"/>
        <v>201</v>
      </c>
      <c r="Q5" s="21">
        <f t="shared" si="5"/>
        <v>203</v>
      </c>
      <c r="R5" s="21">
        <f t="shared" si="6"/>
        <v>205</v>
      </c>
      <c r="S5" s="21">
        <f t="shared" si="7"/>
        <v>207</v>
      </c>
      <c r="T5" s="21">
        <f t="shared" si="8"/>
        <v>210</v>
      </c>
      <c r="U5" s="21">
        <f t="shared" si="9"/>
        <v>212</v>
      </c>
      <c r="V5" s="21">
        <f t="shared" si="10"/>
        <v>214</v>
      </c>
    </row>
    <row r="6" spans="1:27">
      <c r="A6" s="19">
        <v>4</v>
      </c>
      <c r="B6" s="20">
        <v>80</v>
      </c>
      <c r="C6" s="20">
        <v>82</v>
      </c>
      <c r="D6" s="20">
        <v>85</v>
      </c>
      <c r="E6" s="20">
        <v>87</v>
      </c>
      <c r="F6" s="20">
        <v>90</v>
      </c>
      <c r="G6" s="20">
        <v>92</v>
      </c>
      <c r="H6" s="20">
        <v>94</v>
      </c>
      <c r="I6" s="20">
        <v>97</v>
      </c>
      <c r="J6" s="20">
        <v>99</v>
      </c>
      <c r="K6" s="20">
        <v>102</v>
      </c>
      <c r="M6" s="21">
        <f t="shared" si="1"/>
        <v>200</v>
      </c>
      <c r="N6" s="21">
        <f t="shared" si="2"/>
        <v>202</v>
      </c>
      <c r="O6" s="21">
        <f t="shared" si="3"/>
        <v>205</v>
      </c>
      <c r="P6" s="21">
        <f t="shared" si="4"/>
        <v>207</v>
      </c>
      <c r="Q6" s="21">
        <f t="shared" si="5"/>
        <v>210</v>
      </c>
      <c r="R6" s="21">
        <f t="shared" si="6"/>
        <v>212</v>
      </c>
      <c r="S6" s="21">
        <f t="shared" si="7"/>
        <v>214</v>
      </c>
      <c r="T6" s="21">
        <f t="shared" si="8"/>
        <v>217</v>
      </c>
      <c r="U6" s="21">
        <f t="shared" si="9"/>
        <v>219</v>
      </c>
      <c r="V6" s="21">
        <f t="shared" si="10"/>
        <v>222</v>
      </c>
    </row>
    <row r="7" spans="1:27">
      <c r="A7" s="19">
        <v>5</v>
      </c>
      <c r="B7" s="20">
        <v>36</v>
      </c>
      <c r="C7" s="20">
        <v>37</v>
      </c>
      <c r="D7" s="20">
        <v>38</v>
      </c>
      <c r="E7" s="20">
        <v>39</v>
      </c>
      <c r="F7" s="20">
        <v>40</v>
      </c>
      <c r="G7" s="20">
        <v>41</v>
      </c>
      <c r="H7" s="20">
        <v>42</v>
      </c>
      <c r="I7" s="20">
        <v>44</v>
      </c>
      <c r="J7" s="20">
        <v>45</v>
      </c>
      <c r="K7" s="20">
        <v>46</v>
      </c>
      <c r="M7" s="21">
        <f t="shared" si="1"/>
        <v>156</v>
      </c>
      <c r="N7" s="21">
        <f t="shared" si="2"/>
        <v>157</v>
      </c>
      <c r="O7" s="21">
        <f t="shared" si="3"/>
        <v>158</v>
      </c>
      <c r="P7" s="21">
        <f t="shared" si="4"/>
        <v>159</v>
      </c>
      <c r="Q7" s="21">
        <f t="shared" si="5"/>
        <v>160</v>
      </c>
      <c r="R7" s="21">
        <f t="shared" si="6"/>
        <v>161</v>
      </c>
      <c r="S7" s="21">
        <f t="shared" si="7"/>
        <v>162</v>
      </c>
      <c r="T7" s="21">
        <f t="shared" si="8"/>
        <v>164</v>
      </c>
      <c r="U7" s="21">
        <f t="shared" si="9"/>
        <v>165</v>
      </c>
      <c r="V7" s="21">
        <f t="shared" si="10"/>
        <v>166</v>
      </c>
    </row>
    <row r="8" spans="1:27">
      <c r="A8" s="19">
        <v>6</v>
      </c>
      <c r="B8" s="20">
        <v>74</v>
      </c>
      <c r="C8" s="20">
        <v>76</v>
      </c>
      <c r="D8" s="20">
        <v>78</v>
      </c>
      <c r="E8" s="20">
        <v>81</v>
      </c>
      <c r="F8" s="20">
        <v>83</v>
      </c>
      <c r="G8" s="20">
        <v>85</v>
      </c>
      <c r="H8" s="20">
        <v>87</v>
      </c>
      <c r="I8" s="20">
        <v>90</v>
      </c>
      <c r="J8" s="20">
        <v>92</v>
      </c>
      <c r="K8" s="20">
        <v>94</v>
      </c>
      <c r="M8" s="21">
        <f t="shared" si="1"/>
        <v>194</v>
      </c>
      <c r="N8" s="21">
        <f t="shared" si="2"/>
        <v>196</v>
      </c>
      <c r="O8" s="21">
        <f t="shared" si="3"/>
        <v>198</v>
      </c>
      <c r="P8" s="21">
        <f t="shared" si="4"/>
        <v>201</v>
      </c>
      <c r="Q8" s="21">
        <f t="shared" si="5"/>
        <v>203</v>
      </c>
      <c r="R8" s="21">
        <f t="shared" si="6"/>
        <v>205</v>
      </c>
      <c r="S8" s="21">
        <f t="shared" si="7"/>
        <v>207</v>
      </c>
      <c r="T8" s="21">
        <f t="shared" si="8"/>
        <v>210</v>
      </c>
      <c r="U8" s="21">
        <f t="shared" si="9"/>
        <v>212</v>
      </c>
      <c r="V8" s="21">
        <f t="shared" si="10"/>
        <v>214</v>
      </c>
    </row>
    <row r="9" spans="1:27">
      <c r="A9" s="19">
        <v>7</v>
      </c>
      <c r="B9" s="20">
        <v>137</v>
      </c>
      <c r="C9" s="20">
        <v>141</v>
      </c>
      <c r="D9" s="20">
        <v>145</v>
      </c>
      <c r="E9" s="20">
        <v>149</v>
      </c>
      <c r="F9" s="20">
        <v>153</v>
      </c>
      <c r="G9" s="20">
        <v>158</v>
      </c>
      <c r="H9" s="20">
        <v>162</v>
      </c>
      <c r="I9" s="20">
        <v>166</v>
      </c>
      <c r="J9" s="20">
        <v>170</v>
      </c>
      <c r="K9" s="20">
        <v>174</v>
      </c>
      <c r="M9" s="21">
        <f t="shared" si="1"/>
        <v>257</v>
      </c>
      <c r="N9" s="21">
        <f t="shared" si="2"/>
        <v>261</v>
      </c>
      <c r="O9" s="21">
        <f t="shared" si="3"/>
        <v>265</v>
      </c>
      <c r="P9" s="21">
        <f t="shared" si="4"/>
        <v>269</v>
      </c>
      <c r="Q9" s="21">
        <f t="shared" si="5"/>
        <v>273</v>
      </c>
      <c r="R9" s="21">
        <f t="shared" si="6"/>
        <v>278</v>
      </c>
      <c r="S9" s="21">
        <f t="shared" si="7"/>
        <v>282</v>
      </c>
      <c r="T9" s="21">
        <f t="shared" si="8"/>
        <v>286</v>
      </c>
      <c r="U9" s="21">
        <f t="shared" si="9"/>
        <v>290</v>
      </c>
      <c r="V9" s="21">
        <f t="shared" si="10"/>
        <v>294</v>
      </c>
    </row>
    <row r="10" spans="1:27">
      <c r="A10" s="19">
        <v>8</v>
      </c>
      <c r="B10" s="20">
        <v>143</v>
      </c>
      <c r="C10" s="20">
        <v>147</v>
      </c>
      <c r="D10" s="20">
        <v>152</v>
      </c>
      <c r="E10" s="20">
        <v>156</v>
      </c>
      <c r="F10" s="20">
        <v>160</v>
      </c>
      <c r="G10" s="20">
        <v>164</v>
      </c>
      <c r="H10" s="20">
        <v>169</v>
      </c>
      <c r="I10" s="20">
        <v>173</v>
      </c>
      <c r="J10" s="20">
        <v>177</v>
      </c>
      <c r="K10" s="20">
        <v>182</v>
      </c>
      <c r="M10" s="21">
        <f t="shared" si="1"/>
        <v>263</v>
      </c>
      <c r="N10" s="21">
        <f t="shared" si="2"/>
        <v>267</v>
      </c>
      <c r="O10" s="21">
        <f t="shared" si="3"/>
        <v>272</v>
      </c>
      <c r="P10" s="21">
        <f t="shared" si="4"/>
        <v>276</v>
      </c>
      <c r="Q10" s="21">
        <f t="shared" si="5"/>
        <v>280</v>
      </c>
      <c r="R10" s="21">
        <f t="shared" si="6"/>
        <v>284</v>
      </c>
      <c r="S10" s="21">
        <f t="shared" si="7"/>
        <v>289</v>
      </c>
      <c r="T10" s="21">
        <f t="shared" si="8"/>
        <v>293</v>
      </c>
      <c r="U10" s="21">
        <f t="shared" si="9"/>
        <v>297</v>
      </c>
      <c r="V10" s="21">
        <f t="shared" si="10"/>
        <v>302</v>
      </c>
    </row>
    <row r="11" spans="1:27">
      <c r="A11" s="19">
        <v>9</v>
      </c>
      <c r="B11" s="20">
        <v>40</v>
      </c>
      <c r="C11" s="20">
        <v>41</v>
      </c>
      <c r="D11" s="20">
        <v>42</v>
      </c>
      <c r="E11" s="20">
        <v>44</v>
      </c>
      <c r="F11" s="20">
        <v>45</v>
      </c>
      <c r="G11" s="20">
        <v>46</v>
      </c>
      <c r="H11" s="20">
        <v>47</v>
      </c>
      <c r="I11" s="20">
        <v>48</v>
      </c>
      <c r="J11" s="20">
        <v>50</v>
      </c>
      <c r="K11" s="20">
        <v>51</v>
      </c>
      <c r="M11" s="21">
        <f t="shared" si="1"/>
        <v>160</v>
      </c>
      <c r="N11" s="21">
        <f t="shared" si="2"/>
        <v>161</v>
      </c>
      <c r="O11" s="21">
        <f t="shared" si="3"/>
        <v>162</v>
      </c>
      <c r="P11" s="21">
        <f t="shared" si="4"/>
        <v>164</v>
      </c>
      <c r="Q11" s="21">
        <f t="shared" si="5"/>
        <v>165</v>
      </c>
      <c r="R11" s="21">
        <f t="shared" si="6"/>
        <v>166</v>
      </c>
      <c r="S11" s="21">
        <f t="shared" si="7"/>
        <v>167</v>
      </c>
      <c r="T11" s="21">
        <f t="shared" si="8"/>
        <v>168</v>
      </c>
      <c r="U11" s="21">
        <f t="shared" si="9"/>
        <v>170</v>
      </c>
      <c r="V11" s="21">
        <f t="shared" si="10"/>
        <v>171</v>
      </c>
    </row>
    <row r="12" spans="1:27">
      <c r="A12" s="19">
        <v>10</v>
      </c>
      <c r="B12" s="20">
        <v>125</v>
      </c>
      <c r="C12" s="20">
        <v>129</v>
      </c>
      <c r="D12" s="20">
        <v>133</v>
      </c>
      <c r="E12" s="20">
        <v>136</v>
      </c>
      <c r="F12" s="20">
        <v>140</v>
      </c>
      <c r="G12" s="20">
        <v>144</v>
      </c>
      <c r="H12" s="20">
        <v>148</v>
      </c>
      <c r="I12" s="20">
        <v>151</v>
      </c>
      <c r="J12" s="20">
        <v>155</v>
      </c>
      <c r="K12" s="20">
        <v>159</v>
      </c>
      <c r="M12" s="21">
        <f t="shared" si="1"/>
        <v>245</v>
      </c>
      <c r="N12" s="21">
        <f t="shared" si="2"/>
        <v>249</v>
      </c>
      <c r="O12" s="21">
        <f t="shared" si="3"/>
        <v>253</v>
      </c>
      <c r="P12" s="21">
        <f t="shared" si="4"/>
        <v>256</v>
      </c>
      <c r="Q12" s="21">
        <f t="shared" si="5"/>
        <v>260</v>
      </c>
      <c r="R12" s="21">
        <f t="shared" si="6"/>
        <v>264</v>
      </c>
      <c r="S12" s="21">
        <f t="shared" si="7"/>
        <v>268</v>
      </c>
      <c r="T12" s="21">
        <f t="shared" si="8"/>
        <v>271</v>
      </c>
      <c r="U12" s="21">
        <f t="shared" si="9"/>
        <v>275</v>
      </c>
      <c r="V12" s="21">
        <f t="shared" si="10"/>
        <v>279</v>
      </c>
    </row>
    <row r="13" spans="1:27">
      <c r="A13" s="19">
        <v>11</v>
      </c>
      <c r="B13" s="20">
        <v>69</v>
      </c>
      <c r="C13" s="20">
        <v>71</v>
      </c>
      <c r="D13" s="20">
        <v>73</v>
      </c>
      <c r="E13" s="20">
        <v>75</v>
      </c>
      <c r="F13" s="20">
        <v>77</v>
      </c>
      <c r="G13" s="20">
        <v>79</v>
      </c>
      <c r="H13" s="20">
        <v>81</v>
      </c>
      <c r="I13" s="20">
        <v>83</v>
      </c>
      <c r="J13" s="20">
        <v>86</v>
      </c>
      <c r="K13" s="20">
        <v>88</v>
      </c>
      <c r="M13" s="21">
        <f t="shared" si="1"/>
        <v>189</v>
      </c>
      <c r="N13" s="21">
        <f t="shared" si="2"/>
        <v>191</v>
      </c>
      <c r="O13" s="21">
        <f t="shared" si="3"/>
        <v>193</v>
      </c>
      <c r="P13" s="21">
        <f t="shared" si="4"/>
        <v>195</v>
      </c>
      <c r="Q13" s="21">
        <f t="shared" si="5"/>
        <v>197</v>
      </c>
      <c r="R13" s="21">
        <f t="shared" si="6"/>
        <v>199</v>
      </c>
      <c r="S13" s="21">
        <f t="shared" si="7"/>
        <v>201</v>
      </c>
      <c r="T13" s="21">
        <f t="shared" si="8"/>
        <v>203</v>
      </c>
      <c r="U13" s="21">
        <f t="shared" si="9"/>
        <v>206</v>
      </c>
      <c r="V13" s="21">
        <f t="shared" si="10"/>
        <v>208</v>
      </c>
    </row>
    <row r="14" spans="1:27">
      <c r="A14" s="19">
        <v>12</v>
      </c>
      <c r="B14" s="20">
        <v>110</v>
      </c>
      <c r="C14" s="20">
        <v>113</v>
      </c>
      <c r="D14" s="20">
        <v>117</v>
      </c>
      <c r="E14" s="20">
        <v>120</v>
      </c>
      <c r="F14" s="20">
        <v>123</v>
      </c>
      <c r="G14" s="20">
        <v>127</v>
      </c>
      <c r="H14" s="20">
        <v>130</v>
      </c>
      <c r="I14" s="20">
        <v>133</v>
      </c>
      <c r="J14" s="20">
        <v>136</v>
      </c>
      <c r="K14" s="20">
        <v>140</v>
      </c>
      <c r="M14" s="21">
        <f t="shared" si="1"/>
        <v>230</v>
      </c>
      <c r="N14" s="21">
        <f t="shared" si="2"/>
        <v>233</v>
      </c>
      <c r="O14" s="21">
        <f t="shared" si="3"/>
        <v>237</v>
      </c>
      <c r="P14" s="21">
        <f t="shared" si="4"/>
        <v>240</v>
      </c>
      <c r="Q14" s="21">
        <f t="shared" si="5"/>
        <v>243</v>
      </c>
      <c r="R14" s="21">
        <f t="shared" si="6"/>
        <v>247</v>
      </c>
      <c r="S14" s="21">
        <f t="shared" si="7"/>
        <v>250</v>
      </c>
      <c r="T14" s="21">
        <f t="shared" si="8"/>
        <v>253</v>
      </c>
      <c r="U14" s="21">
        <f t="shared" si="9"/>
        <v>256</v>
      </c>
      <c r="V14" s="21">
        <f t="shared" si="10"/>
        <v>260</v>
      </c>
    </row>
    <row r="15" spans="1:27">
      <c r="A15" s="19">
        <v>13</v>
      </c>
      <c r="B15" s="20">
        <v>146</v>
      </c>
      <c r="C15" s="20">
        <v>150</v>
      </c>
      <c r="D15" s="20">
        <v>155</v>
      </c>
      <c r="E15" s="20">
        <v>159</v>
      </c>
      <c r="F15" s="20">
        <v>164</v>
      </c>
      <c r="G15" s="20">
        <v>168</v>
      </c>
      <c r="H15" s="20">
        <v>172</v>
      </c>
      <c r="I15" s="20">
        <v>177</v>
      </c>
      <c r="J15" s="20">
        <v>181</v>
      </c>
      <c r="K15" s="20">
        <v>185</v>
      </c>
      <c r="M15" s="21">
        <f t="shared" si="1"/>
        <v>266</v>
      </c>
      <c r="N15" s="21">
        <f t="shared" si="2"/>
        <v>270</v>
      </c>
      <c r="O15" s="21">
        <f t="shared" si="3"/>
        <v>275</v>
      </c>
      <c r="P15" s="21">
        <f t="shared" si="4"/>
        <v>279</v>
      </c>
      <c r="Q15" s="21">
        <f t="shared" si="5"/>
        <v>284</v>
      </c>
      <c r="R15" s="21">
        <f t="shared" si="6"/>
        <v>288</v>
      </c>
      <c r="S15" s="21">
        <f t="shared" si="7"/>
        <v>292</v>
      </c>
      <c r="T15" s="21">
        <f t="shared" si="8"/>
        <v>297</v>
      </c>
      <c r="U15" s="21">
        <f t="shared" si="9"/>
        <v>301</v>
      </c>
      <c r="V15" s="21">
        <f t="shared" si="10"/>
        <v>305</v>
      </c>
    </row>
    <row r="16" spans="1:27">
      <c r="A16" s="19">
        <v>14</v>
      </c>
      <c r="B16" s="20">
        <v>144</v>
      </c>
      <c r="C16" s="20">
        <v>148</v>
      </c>
      <c r="D16" s="20">
        <v>153</v>
      </c>
      <c r="E16" s="20">
        <v>157</v>
      </c>
      <c r="F16" s="20">
        <v>161</v>
      </c>
      <c r="G16" s="20">
        <v>166</v>
      </c>
      <c r="H16" s="20">
        <v>170</v>
      </c>
      <c r="I16" s="20">
        <v>174</v>
      </c>
      <c r="J16" s="20">
        <v>179</v>
      </c>
      <c r="K16" s="20">
        <v>183</v>
      </c>
      <c r="M16" s="21">
        <f t="shared" si="1"/>
        <v>264</v>
      </c>
      <c r="N16" s="21">
        <f t="shared" si="2"/>
        <v>268</v>
      </c>
      <c r="O16" s="21">
        <f t="shared" si="3"/>
        <v>273</v>
      </c>
      <c r="P16" s="21">
        <f t="shared" si="4"/>
        <v>277</v>
      </c>
      <c r="Q16" s="21">
        <f t="shared" si="5"/>
        <v>281</v>
      </c>
      <c r="R16" s="21">
        <f t="shared" si="6"/>
        <v>286</v>
      </c>
      <c r="S16" s="21">
        <f t="shared" si="7"/>
        <v>290</v>
      </c>
      <c r="T16" s="21">
        <f t="shared" si="8"/>
        <v>294</v>
      </c>
      <c r="U16" s="21">
        <f t="shared" si="9"/>
        <v>299</v>
      </c>
      <c r="V16" s="21">
        <f t="shared" si="10"/>
        <v>303</v>
      </c>
    </row>
    <row r="17" spans="1:22">
      <c r="A17" s="19">
        <v>15</v>
      </c>
      <c r="B17" s="20">
        <v>16</v>
      </c>
      <c r="C17" s="20">
        <v>16</v>
      </c>
      <c r="D17" s="20">
        <v>17</v>
      </c>
      <c r="E17" s="20">
        <v>17</v>
      </c>
      <c r="F17" s="20">
        <v>18</v>
      </c>
      <c r="G17" s="20">
        <v>18</v>
      </c>
      <c r="H17" s="20">
        <v>19</v>
      </c>
      <c r="I17" s="20">
        <v>19</v>
      </c>
      <c r="J17" s="20">
        <v>20</v>
      </c>
      <c r="K17" s="20">
        <v>20</v>
      </c>
      <c r="M17" s="21">
        <f t="shared" si="1"/>
        <v>136</v>
      </c>
      <c r="N17" s="21">
        <f t="shared" si="2"/>
        <v>136</v>
      </c>
      <c r="O17" s="21">
        <f t="shared" si="3"/>
        <v>137</v>
      </c>
      <c r="P17" s="21">
        <f t="shared" si="4"/>
        <v>137</v>
      </c>
      <c r="Q17" s="21">
        <f t="shared" si="5"/>
        <v>138</v>
      </c>
      <c r="R17" s="21">
        <f t="shared" si="6"/>
        <v>138</v>
      </c>
      <c r="S17" s="21">
        <f t="shared" si="7"/>
        <v>139</v>
      </c>
      <c r="T17" s="21">
        <f t="shared" si="8"/>
        <v>139</v>
      </c>
      <c r="U17" s="21">
        <f t="shared" si="9"/>
        <v>140</v>
      </c>
      <c r="V17" s="21">
        <f t="shared" si="10"/>
        <v>140</v>
      </c>
    </row>
    <row r="18" spans="1:22">
      <c r="A18" s="19">
        <v>16</v>
      </c>
      <c r="B18" s="20">
        <v>26</v>
      </c>
      <c r="C18" s="20">
        <v>27</v>
      </c>
      <c r="D18" s="20">
        <v>28</v>
      </c>
      <c r="E18" s="20">
        <v>28</v>
      </c>
      <c r="F18" s="20">
        <v>29</v>
      </c>
      <c r="G18" s="20">
        <v>30</v>
      </c>
      <c r="H18" s="20">
        <v>31</v>
      </c>
      <c r="I18" s="20">
        <v>31</v>
      </c>
      <c r="J18" s="20">
        <v>32</v>
      </c>
      <c r="K18" s="20">
        <v>33</v>
      </c>
      <c r="M18" s="21">
        <f t="shared" si="1"/>
        <v>146</v>
      </c>
      <c r="N18" s="21">
        <f t="shared" si="2"/>
        <v>147</v>
      </c>
      <c r="O18" s="21">
        <f t="shared" si="3"/>
        <v>148</v>
      </c>
      <c r="P18" s="21">
        <f t="shared" si="4"/>
        <v>148</v>
      </c>
      <c r="Q18" s="21">
        <f t="shared" si="5"/>
        <v>149</v>
      </c>
      <c r="R18" s="21">
        <f t="shared" si="6"/>
        <v>150</v>
      </c>
      <c r="S18" s="21">
        <f t="shared" si="7"/>
        <v>151</v>
      </c>
      <c r="T18" s="21">
        <f t="shared" si="8"/>
        <v>151</v>
      </c>
      <c r="U18" s="21">
        <f t="shared" si="9"/>
        <v>152</v>
      </c>
      <c r="V18" s="21">
        <f t="shared" si="10"/>
        <v>153</v>
      </c>
    </row>
    <row r="19" spans="1:22">
      <c r="A19" s="19">
        <v>17</v>
      </c>
      <c r="B19" s="20">
        <v>131</v>
      </c>
      <c r="C19" s="20">
        <v>135</v>
      </c>
      <c r="D19" s="20">
        <v>139</v>
      </c>
      <c r="E19" s="20">
        <v>143</v>
      </c>
      <c r="F19" s="20">
        <v>147</v>
      </c>
      <c r="G19" s="20">
        <v>151</v>
      </c>
      <c r="H19" s="20">
        <v>155</v>
      </c>
      <c r="I19" s="20">
        <v>159</v>
      </c>
      <c r="J19" s="20">
        <v>162</v>
      </c>
      <c r="K19" s="20">
        <v>166</v>
      </c>
      <c r="M19" s="21">
        <f t="shared" si="1"/>
        <v>251</v>
      </c>
      <c r="N19" s="21">
        <f t="shared" si="2"/>
        <v>255</v>
      </c>
      <c r="O19" s="21">
        <f t="shared" si="3"/>
        <v>259</v>
      </c>
      <c r="P19" s="21">
        <f t="shared" si="4"/>
        <v>263</v>
      </c>
      <c r="Q19" s="21">
        <f t="shared" si="5"/>
        <v>267</v>
      </c>
      <c r="R19" s="21">
        <f t="shared" si="6"/>
        <v>271</v>
      </c>
      <c r="S19" s="21">
        <f t="shared" si="7"/>
        <v>275</v>
      </c>
      <c r="T19" s="21">
        <f t="shared" si="8"/>
        <v>279</v>
      </c>
      <c r="U19" s="21">
        <f t="shared" si="9"/>
        <v>282</v>
      </c>
      <c r="V19" s="21">
        <f t="shared" si="10"/>
        <v>286</v>
      </c>
    </row>
    <row r="20" spans="1:22">
      <c r="A20" s="19">
        <v>18</v>
      </c>
      <c r="B20" s="20">
        <v>103</v>
      </c>
      <c r="C20" s="20">
        <v>106</v>
      </c>
      <c r="D20" s="20">
        <v>109</v>
      </c>
      <c r="E20" s="20">
        <v>112</v>
      </c>
      <c r="F20" s="20">
        <v>115</v>
      </c>
      <c r="G20" s="20">
        <v>118</v>
      </c>
      <c r="H20" s="20">
        <v>122</v>
      </c>
      <c r="I20" s="20">
        <v>125</v>
      </c>
      <c r="J20" s="20">
        <v>128</v>
      </c>
      <c r="K20" s="20">
        <v>131</v>
      </c>
      <c r="M20" s="21">
        <f t="shared" si="1"/>
        <v>223</v>
      </c>
      <c r="N20" s="21">
        <f t="shared" si="2"/>
        <v>226</v>
      </c>
      <c r="O20" s="21">
        <f t="shared" si="3"/>
        <v>229</v>
      </c>
      <c r="P20" s="21">
        <f t="shared" si="4"/>
        <v>232</v>
      </c>
      <c r="Q20" s="21">
        <f t="shared" si="5"/>
        <v>235</v>
      </c>
      <c r="R20" s="21">
        <f t="shared" si="6"/>
        <v>238</v>
      </c>
      <c r="S20" s="21">
        <f t="shared" si="7"/>
        <v>242</v>
      </c>
      <c r="T20" s="21">
        <f t="shared" si="8"/>
        <v>245</v>
      </c>
      <c r="U20" s="21">
        <f t="shared" si="9"/>
        <v>248</v>
      </c>
      <c r="V20" s="21">
        <f t="shared" si="10"/>
        <v>251</v>
      </c>
    </row>
    <row r="21" spans="1:22">
      <c r="A21" s="19">
        <v>19</v>
      </c>
      <c r="B21" s="20">
        <v>19</v>
      </c>
      <c r="C21" s="20">
        <v>20</v>
      </c>
      <c r="D21" s="20">
        <v>20</v>
      </c>
      <c r="E21" s="20">
        <v>21</v>
      </c>
      <c r="F21" s="20">
        <v>21</v>
      </c>
      <c r="G21" s="20">
        <v>22</v>
      </c>
      <c r="H21" s="20">
        <v>22</v>
      </c>
      <c r="I21" s="20">
        <v>23</v>
      </c>
      <c r="J21" s="20">
        <v>24</v>
      </c>
      <c r="K21" s="20">
        <v>24</v>
      </c>
      <c r="M21" s="21">
        <f t="shared" si="1"/>
        <v>139</v>
      </c>
      <c r="N21" s="21">
        <f t="shared" si="2"/>
        <v>140</v>
      </c>
      <c r="O21" s="21">
        <f t="shared" si="3"/>
        <v>140</v>
      </c>
      <c r="P21" s="21">
        <f t="shared" si="4"/>
        <v>141</v>
      </c>
      <c r="Q21" s="21">
        <f t="shared" si="5"/>
        <v>141</v>
      </c>
      <c r="R21" s="21">
        <f t="shared" si="6"/>
        <v>142</v>
      </c>
      <c r="S21" s="21">
        <f t="shared" si="7"/>
        <v>142</v>
      </c>
      <c r="T21" s="21">
        <f t="shared" si="8"/>
        <v>143</v>
      </c>
      <c r="U21" s="21">
        <f t="shared" si="9"/>
        <v>144</v>
      </c>
      <c r="V21" s="21">
        <f t="shared" si="10"/>
        <v>144</v>
      </c>
    </row>
    <row r="22" spans="1:22">
      <c r="A22" s="19">
        <v>20</v>
      </c>
      <c r="B22" s="20">
        <v>0</v>
      </c>
      <c r="C22" s="20">
        <v>93</v>
      </c>
      <c r="D22" s="20">
        <v>96</v>
      </c>
      <c r="E22" s="20">
        <v>99</v>
      </c>
      <c r="F22" s="20">
        <v>101</v>
      </c>
      <c r="G22" s="20">
        <v>104</v>
      </c>
      <c r="H22" s="20">
        <v>107</v>
      </c>
      <c r="I22" s="20">
        <v>110</v>
      </c>
      <c r="J22" s="20">
        <v>113</v>
      </c>
      <c r="K22" s="20">
        <v>115</v>
      </c>
      <c r="M22" s="21">
        <v>0</v>
      </c>
      <c r="N22" s="21">
        <f t="shared" si="2"/>
        <v>213</v>
      </c>
      <c r="O22" s="21">
        <f t="shared" si="3"/>
        <v>216</v>
      </c>
      <c r="P22" s="21">
        <f t="shared" si="4"/>
        <v>219</v>
      </c>
      <c r="Q22" s="21">
        <f t="shared" si="5"/>
        <v>221</v>
      </c>
      <c r="R22" s="21">
        <f t="shared" si="6"/>
        <v>224</v>
      </c>
      <c r="S22" s="21">
        <f t="shared" si="7"/>
        <v>227</v>
      </c>
      <c r="T22" s="21">
        <f t="shared" si="8"/>
        <v>230</v>
      </c>
      <c r="U22" s="21">
        <f t="shared" si="9"/>
        <v>233</v>
      </c>
      <c r="V22" s="21">
        <f t="shared" si="10"/>
        <v>235</v>
      </c>
    </row>
    <row r="23" spans="1:22">
      <c r="A23" s="19">
        <v>21</v>
      </c>
      <c r="B23" s="20">
        <v>0</v>
      </c>
      <c r="C23" s="20">
        <v>16</v>
      </c>
      <c r="D23" s="20">
        <v>16</v>
      </c>
      <c r="E23" s="20">
        <v>17</v>
      </c>
      <c r="F23" s="20">
        <v>17</v>
      </c>
      <c r="G23" s="20">
        <v>18</v>
      </c>
      <c r="H23" s="20">
        <v>18</v>
      </c>
      <c r="I23" s="20">
        <v>19</v>
      </c>
      <c r="J23" s="20">
        <v>19</v>
      </c>
      <c r="K23" s="20">
        <v>20</v>
      </c>
      <c r="M23" s="21">
        <v>0</v>
      </c>
      <c r="N23" s="21">
        <f t="shared" si="2"/>
        <v>136</v>
      </c>
      <c r="O23" s="21">
        <f t="shared" si="3"/>
        <v>136</v>
      </c>
      <c r="P23" s="21">
        <f t="shared" si="4"/>
        <v>137</v>
      </c>
      <c r="Q23" s="21">
        <f t="shared" si="5"/>
        <v>137</v>
      </c>
      <c r="R23" s="21">
        <f t="shared" si="6"/>
        <v>138</v>
      </c>
      <c r="S23" s="21">
        <f t="shared" si="7"/>
        <v>138</v>
      </c>
      <c r="T23" s="21">
        <f t="shared" si="8"/>
        <v>139</v>
      </c>
      <c r="U23" s="21">
        <f t="shared" si="9"/>
        <v>139</v>
      </c>
      <c r="V23" s="21">
        <f t="shared" si="10"/>
        <v>140</v>
      </c>
    </row>
    <row r="24" spans="1:22">
      <c r="A24" s="19">
        <v>22</v>
      </c>
      <c r="B24" s="20">
        <v>0</v>
      </c>
      <c r="C24" s="20">
        <v>82</v>
      </c>
      <c r="D24" s="20">
        <v>84</v>
      </c>
      <c r="E24" s="20">
        <v>87</v>
      </c>
      <c r="F24" s="20">
        <v>89</v>
      </c>
      <c r="G24" s="20">
        <v>92</v>
      </c>
      <c r="H24" s="20">
        <v>94</v>
      </c>
      <c r="I24" s="20">
        <v>97</v>
      </c>
      <c r="J24" s="20">
        <v>99</v>
      </c>
      <c r="K24" s="20">
        <v>102</v>
      </c>
      <c r="M24" s="21">
        <v>0</v>
      </c>
      <c r="N24" s="21">
        <f t="shared" si="2"/>
        <v>202</v>
      </c>
      <c r="O24" s="21">
        <f t="shared" si="3"/>
        <v>204</v>
      </c>
      <c r="P24" s="21">
        <f t="shared" si="4"/>
        <v>207</v>
      </c>
      <c r="Q24" s="21">
        <f t="shared" si="5"/>
        <v>209</v>
      </c>
      <c r="R24" s="21">
        <f t="shared" si="6"/>
        <v>212</v>
      </c>
      <c r="S24" s="21">
        <f t="shared" si="7"/>
        <v>214</v>
      </c>
      <c r="T24" s="21">
        <f t="shared" si="8"/>
        <v>217</v>
      </c>
      <c r="U24" s="21">
        <f t="shared" si="9"/>
        <v>219</v>
      </c>
      <c r="V24" s="21">
        <f t="shared" si="10"/>
        <v>222</v>
      </c>
    </row>
    <row r="25" spans="1:22">
      <c r="A25" s="19">
        <v>23</v>
      </c>
      <c r="B25" s="20">
        <v>0</v>
      </c>
      <c r="C25" s="20">
        <v>0</v>
      </c>
      <c r="D25" s="20">
        <v>83</v>
      </c>
      <c r="E25" s="20">
        <v>85</v>
      </c>
      <c r="F25" s="20">
        <v>88</v>
      </c>
      <c r="G25" s="20">
        <v>90</v>
      </c>
      <c r="H25" s="20">
        <v>93</v>
      </c>
      <c r="I25" s="20">
        <v>95</v>
      </c>
      <c r="J25" s="20">
        <v>98</v>
      </c>
      <c r="K25" s="20">
        <v>100</v>
      </c>
      <c r="M25" s="21">
        <v>0</v>
      </c>
      <c r="N25" s="21">
        <v>0</v>
      </c>
      <c r="O25" s="21">
        <f t="shared" si="3"/>
        <v>203</v>
      </c>
      <c r="P25" s="21">
        <f t="shared" si="4"/>
        <v>205</v>
      </c>
      <c r="Q25" s="21">
        <f t="shared" si="5"/>
        <v>208</v>
      </c>
      <c r="R25" s="21">
        <f t="shared" si="6"/>
        <v>210</v>
      </c>
      <c r="S25" s="21">
        <f t="shared" si="7"/>
        <v>213</v>
      </c>
      <c r="T25" s="21">
        <f t="shared" si="8"/>
        <v>215</v>
      </c>
      <c r="U25" s="21">
        <f t="shared" si="9"/>
        <v>218</v>
      </c>
      <c r="V25" s="21">
        <f t="shared" si="10"/>
        <v>220</v>
      </c>
    </row>
    <row r="26" spans="1:22">
      <c r="A26" s="19">
        <v>24</v>
      </c>
      <c r="B26" s="20">
        <v>0</v>
      </c>
      <c r="C26" s="20">
        <v>0</v>
      </c>
      <c r="D26" s="20">
        <v>80</v>
      </c>
      <c r="E26" s="20">
        <v>82</v>
      </c>
      <c r="F26" s="20">
        <v>85</v>
      </c>
      <c r="G26" s="20">
        <v>87</v>
      </c>
      <c r="H26" s="20">
        <v>90</v>
      </c>
      <c r="I26" s="20">
        <v>92</v>
      </c>
      <c r="J26" s="20">
        <v>94</v>
      </c>
      <c r="K26" s="20">
        <v>97</v>
      </c>
      <c r="M26" s="21">
        <v>0</v>
      </c>
      <c r="N26" s="21">
        <v>0</v>
      </c>
      <c r="O26" s="21">
        <f t="shared" si="3"/>
        <v>200</v>
      </c>
      <c r="P26" s="21">
        <f t="shared" si="4"/>
        <v>202</v>
      </c>
      <c r="Q26" s="21">
        <f t="shared" si="5"/>
        <v>205</v>
      </c>
      <c r="R26" s="21">
        <f t="shared" si="6"/>
        <v>207</v>
      </c>
      <c r="S26" s="21">
        <f t="shared" si="7"/>
        <v>210</v>
      </c>
      <c r="T26" s="21">
        <f t="shared" si="8"/>
        <v>212</v>
      </c>
      <c r="U26" s="21">
        <f t="shared" si="9"/>
        <v>214</v>
      </c>
      <c r="V26" s="21">
        <f t="shared" si="10"/>
        <v>217</v>
      </c>
    </row>
    <row r="27" spans="1:22">
      <c r="A27" s="19">
        <v>25</v>
      </c>
      <c r="B27" s="20">
        <v>0</v>
      </c>
      <c r="C27" s="20">
        <v>0</v>
      </c>
      <c r="D27" s="20">
        <v>92</v>
      </c>
      <c r="E27" s="20">
        <v>95</v>
      </c>
      <c r="F27" s="20">
        <v>98</v>
      </c>
      <c r="G27" s="20">
        <v>100</v>
      </c>
      <c r="H27" s="20">
        <v>103</v>
      </c>
      <c r="I27" s="20">
        <v>106</v>
      </c>
      <c r="J27" s="20">
        <v>109</v>
      </c>
      <c r="K27" s="20">
        <v>111</v>
      </c>
      <c r="M27" s="21">
        <v>0</v>
      </c>
      <c r="N27" s="21">
        <v>0</v>
      </c>
      <c r="O27" s="21">
        <f t="shared" si="3"/>
        <v>212</v>
      </c>
      <c r="P27" s="21">
        <f t="shared" si="4"/>
        <v>215</v>
      </c>
      <c r="Q27" s="21">
        <f t="shared" si="5"/>
        <v>218</v>
      </c>
      <c r="R27" s="21">
        <f t="shared" si="6"/>
        <v>220</v>
      </c>
      <c r="S27" s="21">
        <f t="shared" si="7"/>
        <v>223</v>
      </c>
      <c r="T27" s="21">
        <f t="shared" si="8"/>
        <v>226</v>
      </c>
      <c r="U27" s="21">
        <f t="shared" si="9"/>
        <v>229</v>
      </c>
      <c r="V27" s="21">
        <f t="shared" si="10"/>
        <v>231</v>
      </c>
    </row>
    <row r="28" spans="1:22">
      <c r="A28" s="19">
        <v>26</v>
      </c>
      <c r="B28" s="20">
        <v>0</v>
      </c>
      <c r="C28" s="20">
        <v>0</v>
      </c>
      <c r="D28" s="20">
        <v>0</v>
      </c>
      <c r="E28" s="20">
        <v>64</v>
      </c>
      <c r="F28" s="20">
        <v>66</v>
      </c>
      <c r="G28" s="20">
        <v>68</v>
      </c>
      <c r="H28" s="20">
        <v>70</v>
      </c>
      <c r="I28" s="20">
        <v>72</v>
      </c>
      <c r="J28" s="20">
        <v>74</v>
      </c>
      <c r="K28" s="20">
        <v>76</v>
      </c>
      <c r="M28" s="21">
        <v>0</v>
      </c>
      <c r="N28" s="21">
        <v>0</v>
      </c>
      <c r="O28" s="21">
        <v>0</v>
      </c>
      <c r="P28" s="21">
        <f t="shared" si="4"/>
        <v>184</v>
      </c>
      <c r="Q28" s="21">
        <f t="shared" si="5"/>
        <v>186</v>
      </c>
      <c r="R28" s="21">
        <f t="shared" si="6"/>
        <v>188</v>
      </c>
      <c r="S28" s="21">
        <f t="shared" si="7"/>
        <v>190</v>
      </c>
      <c r="T28" s="21">
        <f t="shared" si="8"/>
        <v>192</v>
      </c>
      <c r="U28" s="21">
        <f t="shared" si="9"/>
        <v>194</v>
      </c>
      <c r="V28" s="21">
        <f t="shared" si="10"/>
        <v>196</v>
      </c>
    </row>
    <row r="29" spans="1:22">
      <c r="A29" s="19">
        <v>27</v>
      </c>
      <c r="B29" s="20">
        <v>0</v>
      </c>
      <c r="C29" s="20">
        <v>0</v>
      </c>
      <c r="D29" s="20">
        <v>0</v>
      </c>
      <c r="E29" s="20">
        <v>62</v>
      </c>
      <c r="F29" s="20">
        <v>64</v>
      </c>
      <c r="G29" s="20">
        <v>66</v>
      </c>
      <c r="H29" s="20">
        <v>68</v>
      </c>
      <c r="I29" s="20">
        <v>69</v>
      </c>
      <c r="J29" s="20">
        <v>71</v>
      </c>
      <c r="K29" s="20">
        <v>73</v>
      </c>
      <c r="M29" s="21">
        <v>0</v>
      </c>
      <c r="N29" s="21">
        <v>0</v>
      </c>
      <c r="O29" s="21">
        <v>0</v>
      </c>
      <c r="P29" s="21">
        <f t="shared" si="4"/>
        <v>182</v>
      </c>
      <c r="Q29" s="21">
        <f t="shared" si="5"/>
        <v>184</v>
      </c>
      <c r="R29" s="21">
        <f t="shared" si="6"/>
        <v>186</v>
      </c>
      <c r="S29" s="21">
        <f t="shared" si="7"/>
        <v>188</v>
      </c>
      <c r="T29" s="21">
        <f t="shared" si="8"/>
        <v>189</v>
      </c>
      <c r="U29" s="21">
        <f t="shared" si="9"/>
        <v>191</v>
      </c>
      <c r="V29" s="21">
        <f t="shared" si="10"/>
        <v>193</v>
      </c>
    </row>
    <row r="30" spans="1:22">
      <c r="A30" s="19">
        <v>28</v>
      </c>
      <c r="B30" s="20">
        <v>0</v>
      </c>
      <c r="C30" s="20">
        <v>0</v>
      </c>
      <c r="D30" s="20">
        <v>0</v>
      </c>
      <c r="E30" s="20">
        <v>128</v>
      </c>
      <c r="F30" s="20">
        <v>132</v>
      </c>
      <c r="G30" s="20">
        <v>136</v>
      </c>
      <c r="H30" s="20">
        <v>140</v>
      </c>
      <c r="I30" s="20">
        <v>143</v>
      </c>
      <c r="J30" s="20">
        <v>147</v>
      </c>
      <c r="K30" s="20">
        <v>151</v>
      </c>
      <c r="M30" s="21">
        <v>0</v>
      </c>
      <c r="N30" s="21">
        <v>0</v>
      </c>
      <c r="O30" s="21">
        <v>0</v>
      </c>
      <c r="P30" s="21">
        <f t="shared" si="4"/>
        <v>248</v>
      </c>
      <c r="Q30" s="21">
        <f t="shared" si="5"/>
        <v>252</v>
      </c>
      <c r="R30" s="21">
        <f t="shared" si="6"/>
        <v>256</v>
      </c>
      <c r="S30" s="21">
        <f t="shared" si="7"/>
        <v>260</v>
      </c>
      <c r="T30" s="21">
        <f t="shared" si="8"/>
        <v>263</v>
      </c>
      <c r="U30" s="21">
        <f t="shared" si="9"/>
        <v>267</v>
      </c>
      <c r="V30" s="21">
        <f t="shared" si="10"/>
        <v>271</v>
      </c>
    </row>
    <row r="31" spans="1:22">
      <c r="A31" s="19">
        <v>29</v>
      </c>
      <c r="B31" s="20">
        <v>0</v>
      </c>
      <c r="C31" s="20">
        <v>0</v>
      </c>
      <c r="D31" s="20">
        <v>0</v>
      </c>
      <c r="E31" s="20">
        <v>0</v>
      </c>
      <c r="F31" s="20">
        <v>68</v>
      </c>
      <c r="G31" s="20">
        <v>70</v>
      </c>
      <c r="H31" s="20">
        <v>72</v>
      </c>
      <c r="I31" s="20">
        <v>74</v>
      </c>
      <c r="J31" s="20">
        <v>76</v>
      </c>
      <c r="K31" s="20">
        <v>78</v>
      </c>
      <c r="M31" s="21">
        <v>0</v>
      </c>
      <c r="N31" s="21">
        <v>0</v>
      </c>
      <c r="O31" s="21">
        <v>0</v>
      </c>
      <c r="P31" s="21">
        <v>0</v>
      </c>
      <c r="Q31" s="21">
        <f t="shared" si="5"/>
        <v>188</v>
      </c>
      <c r="R31" s="21">
        <f t="shared" si="6"/>
        <v>190</v>
      </c>
      <c r="S31" s="21">
        <f t="shared" si="7"/>
        <v>192</v>
      </c>
      <c r="T31" s="21">
        <f t="shared" si="8"/>
        <v>194</v>
      </c>
      <c r="U31" s="21">
        <f t="shared" si="9"/>
        <v>196</v>
      </c>
      <c r="V31" s="21">
        <f t="shared" si="10"/>
        <v>198</v>
      </c>
    </row>
    <row r="32" spans="1:22">
      <c r="A32" s="19">
        <v>30</v>
      </c>
      <c r="B32" s="20">
        <v>0</v>
      </c>
      <c r="C32" s="20">
        <v>0</v>
      </c>
      <c r="D32" s="20">
        <v>0</v>
      </c>
      <c r="E32" s="20">
        <v>0</v>
      </c>
      <c r="F32" s="20">
        <v>89</v>
      </c>
      <c r="G32" s="20">
        <v>92</v>
      </c>
      <c r="H32" s="20">
        <v>94</v>
      </c>
      <c r="I32" s="20">
        <v>97</v>
      </c>
      <c r="J32" s="20">
        <v>100</v>
      </c>
      <c r="K32" s="20">
        <v>102</v>
      </c>
      <c r="M32" s="21">
        <v>0</v>
      </c>
      <c r="N32" s="21">
        <v>0</v>
      </c>
      <c r="O32" s="21">
        <v>0</v>
      </c>
      <c r="P32" s="21">
        <v>0</v>
      </c>
      <c r="Q32" s="21">
        <f t="shared" si="5"/>
        <v>209</v>
      </c>
      <c r="R32" s="21">
        <f t="shared" si="6"/>
        <v>212</v>
      </c>
      <c r="S32" s="21">
        <f t="shared" si="7"/>
        <v>214</v>
      </c>
      <c r="T32" s="21">
        <f t="shared" si="8"/>
        <v>217</v>
      </c>
      <c r="U32" s="21">
        <f t="shared" si="9"/>
        <v>220</v>
      </c>
      <c r="V32" s="21">
        <f t="shared" si="10"/>
        <v>222</v>
      </c>
    </row>
    <row r="33" spans="1:22">
      <c r="A33" s="19">
        <v>31</v>
      </c>
      <c r="B33" s="20">
        <v>0</v>
      </c>
      <c r="C33" s="20">
        <v>0</v>
      </c>
      <c r="D33" s="20">
        <v>0</v>
      </c>
      <c r="E33" s="20">
        <v>0</v>
      </c>
      <c r="F33" s="20">
        <v>42</v>
      </c>
      <c r="G33" s="20">
        <v>43</v>
      </c>
      <c r="H33" s="20">
        <v>45</v>
      </c>
      <c r="I33" s="20">
        <v>46</v>
      </c>
      <c r="J33" s="20">
        <v>47</v>
      </c>
      <c r="K33" s="20">
        <v>48</v>
      </c>
      <c r="M33" s="21">
        <v>0</v>
      </c>
      <c r="N33" s="21">
        <v>0</v>
      </c>
      <c r="O33" s="21">
        <v>0</v>
      </c>
      <c r="P33" s="21">
        <v>0</v>
      </c>
      <c r="Q33" s="21">
        <f t="shared" si="5"/>
        <v>162</v>
      </c>
      <c r="R33" s="21">
        <f t="shared" si="6"/>
        <v>163</v>
      </c>
      <c r="S33" s="21">
        <f t="shared" si="7"/>
        <v>165</v>
      </c>
      <c r="T33" s="21">
        <f t="shared" si="8"/>
        <v>166</v>
      </c>
      <c r="U33" s="21">
        <f t="shared" si="9"/>
        <v>167</v>
      </c>
      <c r="V33" s="21">
        <f t="shared" si="10"/>
        <v>168</v>
      </c>
    </row>
    <row r="34" spans="1:22">
      <c r="A34" s="19">
        <v>32</v>
      </c>
      <c r="B34" s="20">
        <v>0</v>
      </c>
      <c r="C34" s="20">
        <v>0</v>
      </c>
      <c r="D34" s="20">
        <v>0</v>
      </c>
      <c r="E34" s="20">
        <v>0</v>
      </c>
      <c r="F34" s="20">
        <v>129</v>
      </c>
      <c r="G34" s="20">
        <v>133</v>
      </c>
      <c r="H34" s="20">
        <v>137</v>
      </c>
      <c r="I34" s="20">
        <v>141</v>
      </c>
      <c r="J34" s="20">
        <v>144</v>
      </c>
      <c r="K34" s="20">
        <v>148</v>
      </c>
      <c r="M34" s="21">
        <v>0</v>
      </c>
      <c r="N34" s="21">
        <v>0</v>
      </c>
      <c r="O34" s="21">
        <v>0</v>
      </c>
      <c r="P34" s="21">
        <v>0</v>
      </c>
      <c r="Q34" s="21">
        <f t="shared" si="5"/>
        <v>249</v>
      </c>
      <c r="R34" s="21">
        <f t="shared" si="6"/>
        <v>253</v>
      </c>
      <c r="S34" s="21">
        <f t="shared" si="7"/>
        <v>257</v>
      </c>
      <c r="T34" s="21">
        <f t="shared" si="8"/>
        <v>261</v>
      </c>
      <c r="U34" s="21">
        <f t="shared" si="9"/>
        <v>264</v>
      </c>
      <c r="V34" s="21">
        <f t="shared" si="10"/>
        <v>268</v>
      </c>
    </row>
    <row r="35" spans="1:22">
      <c r="A35" s="19">
        <v>33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112</v>
      </c>
      <c r="H35" s="20">
        <v>115</v>
      </c>
      <c r="I35" s="20">
        <v>119</v>
      </c>
      <c r="J35" s="20">
        <v>122</v>
      </c>
      <c r="K35" s="20">
        <v>125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f t="shared" si="6"/>
        <v>232</v>
      </c>
      <c r="S35" s="21">
        <f t="shared" si="7"/>
        <v>235</v>
      </c>
      <c r="T35" s="21">
        <f t="shared" si="8"/>
        <v>239</v>
      </c>
      <c r="U35" s="21">
        <f t="shared" si="9"/>
        <v>242</v>
      </c>
      <c r="V35" s="21">
        <f t="shared" si="10"/>
        <v>245</v>
      </c>
    </row>
    <row r="36" spans="1:22">
      <c r="A36" s="19">
        <v>34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71</v>
      </c>
      <c r="H36" s="20">
        <v>73</v>
      </c>
      <c r="I36" s="20">
        <v>75</v>
      </c>
      <c r="J36" s="20">
        <v>77</v>
      </c>
      <c r="K36" s="20">
        <v>80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f t="shared" si="6"/>
        <v>191</v>
      </c>
      <c r="S36" s="21">
        <f t="shared" si="7"/>
        <v>193</v>
      </c>
      <c r="T36" s="21">
        <f t="shared" si="8"/>
        <v>195</v>
      </c>
      <c r="U36" s="21">
        <f t="shared" si="9"/>
        <v>197</v>
      </c>
      <c r="V36" s="21">
        <f t="shared" si="10"/>
        <v>200</v>
      </c>
    </row>
    <row r="37" spans="1:22">
      <c r="A37" s="19">
        <v>35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134</v>
      </c>
      <c r="H37" s="20">
        <v>138</v>
      </c>
      <c r="I37" s="20">
        <v>142</v>
      </c>
      <c r="J37" s="20">
        <v>146</v>
      </c>
      <c r="K37" s="20">
        <v>150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f t="shared" si="6"/>
        <v>254</v>
      </c>
      <c r="S37" s="21">
        <f t="shared" si="7"/>
        <v>258</v>
      </c>
      <c r="T37" s="21">
        <f t="shared" si="8"/>
        <v>262</v>
      </c>
      <c r="U37" s="21">
        <f t="shared" si="9"/>
        <v>266</v>
      </c>
      <c r="V37" s="21">
        <f t="shared" si="10"/>
        <v>270</v>
      </c>
    </row>
    <row r="38" spans="1:22">
      <c r="A38" s="19">
        <v>36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123</v>
      </c>
      <c r="H38" s="20">
        <v>127</v>
      </c>
      <c r="I38" s="20">
        <v>130</v>
      </c>
      <c r="J38" s="20">
        <v>134</v>
      </c>
      <c r="K38" s="20">
        <v>138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f t="shared" si="6"/>
        <v>243</v>
      </c>
      <c r="S38" s="21">
        <f t="shared" si="7"/>
        <v>247</v>
      </c>
      <c r="T38" s="21">
        <f t="shared" si="8"/>
        <v>250</v>
      </c>
      <c r="U38" s="21">
        <f t="shared" si="9"/>
        <v>254</v>
      </c>
      <c r="V38" s="21">
        <f t="shared" si="10"/>
        <v>258</v>
      </c>
    </row>
    <row r="39" spans="1:22">
      <c r="A39" s="19">
        <v>37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98</v>
      </c>
      <c r="I39" s="20">
        <v>101</v>
      </c>
      <c r="J39" s="20">
        <v>104</v>
      </c>
      <c r="K39" s="20">
        <v>107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f t="shared" si="7"/>
        <v>218</v>
      </c>
      <c r="T39" s="21">
        <f t="shared" si="8"/>
        <v>221</v>
      </c>
      <c r="U39" s="21">
        <f t="shared" si="9"/>
        <v>224</v>
      </c>
      <c r="V39" s="21">
        <f t="shared" si="10"/>
        <v>227</v>
      </c>
    </row>
    <row r="40" spans="1:22">
      <c r="A40" s="19">
        <v>38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92</v>
      </c>
      <c r="I40" s="20">
        <v>95</v>
      </c>
      <c r="J40" s="20">
        <v>98</v>
      </c>
      <c r="K40" s="20">
        <v>100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f t="shared" si="7"/>
        <v>212</v>
      </c>
      <c r="T40" s="21">
        <f t="shared" si="8"/>
        <v>215</v>
      </c>
      <c r="U40" s="21">
        <f t="shared" si="9"/>
        <v>218</v>
      </c>
      <c r="V40" s="21">
        <f t="shared" si="10"/>
        <v>220</v>
      </c>
    </row>
    <row r="41" spans="1:22">
      <c r="A41" s="19">
        <v>39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43</v>
      </c>
      <c r="I41" s="20">
        <v>44</v>
      </c>
      <c r="J41" s="20">
        <v>46</v>
      </c>
      <c r="K41" s="20">
        <v>47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f t="shared" si="7"/>
        <v>163</v>
      </c>
      <c r="T41" s="21">
        <f t="shared" si="8"/>
        <v>164</v>
      </c>
      <c r="U41" s="21">
        <f t="shared" si="9"/>
        <v>166</v>
      </c>
      <c r="V41" s="21">
        <f t="shared" si="10"/>
        <v>167</v>
      </c>
    </row>
    <row r="42" spans="1:22">
      <c r="A42" s="19">
        <v>40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98</v>
      </c>
      <c r="J42" s="20">
        <v>101</v>
      </c>
      <c r="K42" s="20">
        <v>104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f t="shared" si="8"/>
        <v>218</v>
      </c>
      <c r="U42" s="21">
        <f t="shared" si="9"/>
        <v>221</v>
      </c>
      <c r="V42" s="21">
        <f t="shared" si="10"/>
        <v>224</v>
      </c>
    </row>
    <row r="43" spans="1:22">
      <c r="A43" s="19">
        <v>41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14</v>
      </c>
      <c r="J43" s="20">
        <v>14</v>
      </c>
      <c r="K43" s="20">
        <v>15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f t="shared" si="8"/>
        <v>134</v>
      </c>
      <c r="U43" s="21">
        <f t="shared" si="9"/>
        <v>134</v>
      </c>
      <c r="V43" s="21">
        <f t="shared" si="10"/>
        <v>135</v>
      </c>
    </row>
    <row r="44" spans="1:22">
      <c r="A44" s="19">
        <v>42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122</v>
      </c>
      <c r="J44" s="20">
        <v>126</v>
      </c>
      <c r="K44" s="20">
        <v>129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f t="shared" si="8"/>
        <v>242</v>
      </c>
      <c r="U44" s="21">
        <f t="shared" si="9"/>
        <v>246</v>
      </c>
      <c r="V44" s="21">
        <f t="shared" si="10"/>
        <v>249</v>
      </c>
    </row>
    <row r="45" spans="1:22">
      <c r="A45" s="19">
        <v>43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144</v>
      </c>
      <c r="J45" s="20">
        <v>148</v>
      </c>
      <c r="K45" s="20">
        <v>153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f t="shared" si="8"/>
        <v>264</v>
      </c>
      <c r="U45" s="21">
        <f t="shared" si="9"/>
        <v>268</v>
      </c>
      <c r="V45" s="21">
        <f t="shared" si="10"/>
        <v>273</v>
      </c>
    </row>
    <row r="46" spans="1:22">
      <c r="A46" s="19">
        <v>44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149</v>
      </c>
      <c r="K46" s="20">
        <v>153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f t="shared" si="9"/>
        <v>269</v>
      </c>
      <c r="V46" s="21">
        <f t="shared" si="10"/>
        <v>273</v>
      </c>
    </row>
    <row r="47" spans="1:22">
      <c r="A47" s="19">
        <v>45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93</v>
      </c>
      <c r="K47" s="20">
        <v>96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f t="shared" si="9"/>
        <v>213</v>
      </c>
      <c r="V47" s="21">
        <f t="shared" si="10"/>
        <v>216</v>
      </c>
    </row>
    <row r="48" spans="1:22">
      <c r="A48" s="19">
        <v>46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105</v>
      </c>
      <c r="K48" s="20">
        <v>108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f t="shared" si="9"/>
        <v>225</v>
      </c>
      <c r="V48" s="21">
        <f t="shared" si="10"/>
        <v>228</v>
      </c>
    </row>
    <row r="49" spans="1:22">
      <c r="A49" s="19">
        <v>47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17</v>
      </c>
      <c r="K49" s="20">
        <v>18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f t="shared" si="9"/>
        <v>137</v>
      </c>
      <c r="V49" s="21">
        <f t="shared" si="10"/>
        <v>138</v>
      </c>
    </row>
    <row r="50" spans="1:22">
      <c r="A50" s="19">
        <v>48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87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f t="shared" si="10"/>
        <v>207</v>
      </c>
    </row>
    <row r="51" spans="1:22">
      <c r="A51" s="19">
        <v>49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101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f t="shared" si="10"/>
        <v>221</v>
      </c>
    </row>
    <row r="52" spans="1:22">
      <c r="A52" s="19">
        <v>50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123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f t="shared" si="10"/>
        <v>243</v>
      </c>
    </row>
  </sheetData>
  <mergeCells count="2">
    <mergeCell ref="B1:K1"/>
    <mergeCell ref="A1:A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D1" sqref="$A1:$XFD2"/>
    </sheetView>
  </sheetViews>
  <sheetFormatPr defaultColWidth="9.14166666666667" defaultRowHeight="13.5"/>
  <cols>
    <col min="1" max="2" width="9.14166666666667" style="12"/>
    <col min="3" max="3" width="19" style="13" customWidth="1"/>
    <col min="28" max="28" width="10.1416666666667" customWidth="1"/>
  </cols>
  <sheetData>
    <row r="1" spans="1:14">
      <c r="A1" s="8" t="s">
        <v>227</v>
      </c>
      <c r="B1" s="8" t="s">
        <v>228</v>
      </c>
      <c r="C1" s="8" t="s">
        <v>229</v>
      </c>
    </row>
    <row r="2" spans="1:14">
      <c r="A2" s="9">
        <v>1</v>
      </c>
      <c r="B2" s="9">
        <v>2</v>
      </c>
      <c r="C2" s="14">
        <v>0.79241</v>
      </c>
      <c r="G2" s="15"/>
      <c r="N2" s="15"/>
    </row>
    <row r="3" spans="1:14">
      <c r="A3" s="9">
        <v>1</v>
      </c>
      <c r="B3" s="9">
        <v>101</v>
      </c>
      <c r="C3" s="14">
        <v>1.70231450692765</v>
      </c>
      <c r="G3" s="15"/>
      <c r="N3" s="15"/>
    </row>
    <row r="4" spans="1:14">
      <c r="A4" s="9">
        <v>2</v>
      </c>
      <c r="B4" s="9">
        <v>3</v>
      </c>
      <c r="C4" s="14">
        <v>1.1565</v>
      </c>
      <c r="G4" s="15"/>
      <c r="N4" s="15"/>
    </row>
    <row r="5" spans="1:14">
      <c r="A5" s="9">
        <v>3</v>
      </c>
      <c r="B5" s="9">
        <v>4</v>
      </c>
      <c r="C5" s="14">
        <v>0.16991</v>
      </c>
      <c r="G5" s="15"/>
      <c r="N5" s="15"/>
    </row>
    <row r="6" spans="1:14">
      <c r="A6" s="9">
        <v>4</v>
      </c>
      <c r="B6" s="9">
        <v>5</v>
      </c>
      <c r="C6" s="14">
        <v>1.3992</v>
      </c>
      <c r="G6" s="15"/>
      <c r="N6" s="15"/>
    </row>
    <row r="7" spans="1:14">
      <c r="A7" s="9">
        <v>5</v>
      </c>
      <c r="B7" s="9">
        <v>6</v>
      </c>
      <c r="C7" s="14">
        <v>0.02831</v>
      </c>
      <c r="G7" s="15"/>
      <c r="N7" s="15"/>
    </row>
    <row r="8" spans="1:14">
      <c r="A8" s="9">
        <v>6</v>
      </c>
      <c r="B8" s="9">
        <v>7</v>
      </c>
      <c r="C8" s="14">
        <v>1.8359</v>
      </c>
      <c r="G8" s="15"/>
      <c r="N8" s="15"/>
    </row>
    <row r="9" spans="1:14">
      <c r="A9" s="9">
        <v>7</v>
      </c>
      <c r="B9" s="9">
        <v>8</v>
      </c>
      <c r="C9" s="14">
        <v>0.56634</v>
      </c>
      <c r="G9" s="15"/>
      <c r="N9" s="15"/>
    </row>
    <row r="10" spans="1:14">
      <c r="A10" s="9">
        <v>7</v>
      </c>
      <c r="B10" s="9">
        <v>9</v>
      </c>
      <c r="C10" s="14">
        <v>0.52388</v>
      </c>
      <c r="G10" s="15"/>
      <c r="N10" s="15"/>
    </row>
    <row r="11" spans="1:14">
      <c r="A11" s="9">
        <v>7</v>
      </c>
      <c r="B11" s="9">
        <v>10</v>
      </c>
      <c r="C11" s="14">
        <v>0.58895</v>
      </c>
      <c r="G11" s="15"/>
      <c r="N11" s="15"/>
    </row>
    <row r="12" spans="1:14">
      <c r="A12" s="9">
        <v>11</v>
      </c>
      <c r="B12" s="9">
        <v>12</v>
      </c>
      <c r="C12" s="14">
        <v>0.1537</v>
      </c>
      <c r="G12" s="15"/>
      <c r="N12" s="15"/>
    </row>
    <row r="13" spans="1:14">
      <c r="A13" s="9">
        <v>11</v>
      </c>
      <c r="B13" s="9">
        <v>101</v>
      </c>
      <c r="C13" s="14">
        <v>0.555481685339079</v>
      </c>
      <c r="G13" s="15"/>
      <c r="N13" s="15"/>
    </row>
    <row r="14" spans="1:14">
      <c r="A14" s="9">
        <v>12</v>
      </c>
      <c r="B14" s="9">
        <v>13</v>
      </c>
      <c r="C14" s="14">
        <v>0.44974</v>
      </c>
      <c r="G14" s="15"/>
      <c r="N14" s="15"/>
    </row>
    <row r="15" spans="1:14">
      <c r="A15" s="9">
        <v>12</v>
      </c>
      <c r="B15" s="9">
        <v>14</v>
      </c>
      <c r="C15" s="14">
        <v>0.96991</v>
      </c>
      <c r="G15" s="15"/>
      <c r="N15" s="15"/>
    </row>
    <row r="16" spans="1:14">
      <c r="A16" s="9">
        <v>15</v>
      </c>
      <c r="B16" s="9">
        <v>16</v>
      </c>
      <c r="C16" s="14">
        <v>0.16708</v>
      </c>
      <c r="G16" s="15"/>
      <c r="N16" s="15"/>
    </row>
    <row r="17" spans="1:14">
      <c r="A17" s="9">
        <v>15</v>
      </c>
      <c r="B17" s="9">
        <v>101</v>
      </c>
      <c r="C17" s="14">
        <v>0.641857069868741</v>
      </c>
      <c r="G17" s="15"/>
      <c r="N17" s="15"/>
    </row>
    <row r="18" spans="1:14">
      <c r="A18" s="9">
        <v>16</v>
      </c>
      <c r="B18" s="9">
        <v>17</v>
      </c>
      <c r="C18" s="14">
        <v>0.56753</v>
      </c>
      <c r="G18" s="15"/>
      <c r="N18" s="15"/>
    </row>
    <row r="19" spans="1:14">
      <c r="A19" s="9">
        <v>17</v>
      </c>
      <c r="B19" s="9">
        <v>18</v>
      </c>
      <c r="C19" s="14">
        <v>0.08019</v>
      </c>
      <c r="G19" s="15"/>
      <c r="N19" s="15"/>
    </row>
    <row r="20" spans="1:14">
      <c r="A20" s="9">
        <v>18</v>
      </c>
      <c r="B20" s="9">
        <v>19</v>
      </c>
      <c r="C20" s="14">
        <v>0.33196</v>
      </c>
      <c r="G20" s="15"/>
      <c r="N20" s="15"/>
    </row>
    <row r="21" spans="1:14">
      <c r="A21" s="9">
        <v>19</v>
      </c>
      <c r="B21" s="9">
        <v>20</v>
      </c>
      <c r="C21" s="14">
        <v>0.83536</v>
      </c>
      <c r="G21" s="15"/>
      <c r="N21" s="15"/>
    </row>
    <row r="22" spans="1:14">
      <c r="A22" s="9">
        <v>20</v>
      </c>
      <c r="B22" s="9">
        <v>21</v>
      </c>
      <c r="C22" s="14">
        <v>0.00472</v>
      </c>
      <c r="G22" s="15"/>
      <c r="N22" s="15"/>
    </row>
    <row r="23" spans="1:14">
      <c r="A23" s="9">
        <v>21</v>
      </c>
      <c r="B23" s="9">
        <v>22</v>
      </c>
      <c r="C23" s="14">
        <v>0.56162</v>
      </c>
      <c r="G23" s="15"/>
      <c r="N23" s="15"/>
    </row>
    <row r="24" spans="1:14">
      <c r="A24" s="9">
        <v>21</v>
      </c>
      <c r="B24" s="9">
        <v>23</v>
      </c>
      <c r="C24" s="14">
        <v>1.67962</v>
      </c>
      <c r="G24" s="15"/>
      <c r="N24" s="15"/>
    </row>
    <row r="25" spans="1:14">
      <c r="A25" s="9">
        <v>23</v>
      </c>
      <c r="B25" s="9">
        <v>24</v>
      </c>
      <c r="C25" s="14">
        <v>0.96279</v>
      </c>
      <c r="G25" s="15"/>
      <c r="N25" s="15"/>
    </row>
    <row r="26" spans="1:14">
      <c r="A26" s="9">
        <v>25</v>
      </c>
      <c r="B26" s="9">
        <v>26</v>
      </c>
      <c r="C26" s="14">
        <v>0.83064</v>
      </c>
      <c r="G26" s="15"/>
      <c r="N26" s="15"/>
    </row>
    <row r="27" spans="1:14">
      <c r="A27" s="9">
        <v>25</v>
      </c>
      <c r="B27" s="9">
        <v>101</v>
      </c>
      <c r="C27" s="14">
        <v>0.964301690101224</v>
      </c>
      <c r="G27" s="15"/>
      <c r="N27" s="15"/>
    </row>
    <row r="28" spans="1:14">
      <c r="A28" s="9">
        <v>26</v>
      </c>
      <c r="B28" s="9">
        <v>27</v>
      </c>
      <c r="C28" s="14">
        <v>0.82592</v>
      </c>
      <c r="G28" s="15"/>
      <c r="N28" s="15"/>
    </row>
    <row r="29" spans="1:14">
      <c r="A29" s="9">
        <v>27</v>
      </c>
      <c r="B29" s="9">
        <v>28</v>
      </c>
      <c r="C29" s="14">
        <v>0.42948</v>
      </c>
      <c r="G29" s="15"/>
      <c r="N29" s="15"/>
    </row>
    <row r="30" spans="1:14">
      <c r="A30" s="9">
        <v>28</v>
      </c>
      <c r="B30" s="9">
        <v>29</v>
      </c>
      <c r="C30" s="14">
        <v>0.63178</v>
      </c>
      <c r="G30" s="15"/>
      <c r="N30" s="15"/>
    </row>
    <row r="31" spans="1:14">
      <c r="A31" s="9">
        <v>30</v>
      </c>
      <c r="B31" s="9">
        <v>31</v>
      </c>
      <c r="C31" s="14">
        <v>0.11799</v>
      </c>
      <c r="G31" s="15"/>
      <c r="N31" s="15"/>
    </row>
    <row r="32" spans="1:14">
      <c r="A32" s="9">
        <v>30</v>
      </c>
      <c r="B32" s="9">
        <v>101</v>
      </c>
      <c r="C32" s="14">
        <v>0.581637430450087</v>
      </c>
      <c r="G32" s="15"/>
      <c r="N32" s="15"/>
    </row>
    <row r="33" spans="1:31">
      <c r="A33" s="9">
        <v>31</v>
      </c>
      <c r="B33" s="9">
        <v>32</v>
      </c>
      <c r="C33" s="14">
        <v>0.87545</v>
      </c>
      <c r="G33" s="15"/>
      <c r="N33" s="15"/>
    </row>
    <row r="34" spans="1:31">
      <c r="A34" s="9">
        <v>32</v>
      </c>
      <c r="B34" s="9">
        <v>33</v>
      </c>
      <c r="C34" s="14">
        <v>0.48117</v>
      </c>
      <c r="G34" s="15"/>
      <c r="N34" s="15"/>
    </row>
    <row r="35" spans="1:31">
      <c r="A35" s="9">
        <v>33</v>
      </c>
      <c r="B35" s="9">
        <v>34</v>
      </c>
      <c r="C35" s="14">
        <v>0.64249</v>
      </c>
      <c r="G35" s="15"/>
      <c r="N35" s="15"/>
      <c r="AE35" s="16"/>
    </row>
    <row r="36" spans="1:31">
      <c r="A36" s="9">
        <v>34</v>
      </c>
      <c r="B36" s="9">
        <v>35</v>
      </c>
      <c r="C36" s="14">
        <v>0.1537</v>
      </c>
      <c r="G36" s="15"/>
      <c r="N36" s="15"/>
      <c r="AE36" s="16"/>
    </row>
    <row r="37" spans="1:31">
      <c r="A37" s="9">
        <v>35</v>
      </c>
      <c r="B37" s="9">
        <v>36</v>
      </c>
      <c r="C37" s="14">
        <v>0.64249</v>
      </c>
      <c r="G37" s="15"/>
      <c r="N37" s="15"/>
      <c r="AE37" s="16"/>
    </row>
    <row r="38" spans="1:31">
      <c r="A38" s="9">
        <v>36</v>
      </c>
      <c r="B38" s="9">
        <v>37</v>
      </c>
      <c r="C38" s="14">
        <v>0.02831</v>
      </c>
      <c r="G38" s="15"/>
      <c r="N38" s="15"/>
      <c r="AE38" s="16"/>
    </row>
    <row r="39" spans="1:31">
      <c r="A39" s="9">
        <v>37</v>
      </c>
      <c r="B39" s="9">
        <v>38</v>
      </c>
      <c r="C39" s="14">
        <v>1.0525</v>
      </c>
      <c r="G39" s="15"/>
      <c r="N39" s="15"/>
      <c r="AE39" s="16"/>
    </row>
    <row r="40" spans="1:31">
      <c r="A40" s="9">
        <v>38</v>
      </c>
      <c r="B40" s="9">
        <v>39</v>
      </c>
      <c r="C40" s="14">
        <v>0.17214</v>
      </c>
      <c r="G40" s="15"/>
      <c r="N40" s="15"/>
      <c r="AE40" s="16"/>
    </row>
    <row r="41" spans="1:31">
      <c r="A41" s="9">
        <v>38</v>
      </c>
      <c r="B41" s="9">
        <v>41</v>
      </c>
      <c r="C41" s="14">
        <v>1.1044</v>
      </c>
      <c r="G41" s="15"/>
      <c r="N41" s="15"/>
      <c r="AE41" s="16"/>
    </row>
    <row r="42" spans="1:31">
      <c r="A42" s="9">
        <v>39</v>
      </c>
      <c r="B42" s="9">
        <v>40</v>
      </c>
      <c r="C42" s="14">
        <v>0.41762</v>
      </c>
      <c r="G42" s="15"/>
      <c r="N42" s="15"/>
      <c r="AE42" s="16"/>
    </row>
    <row r="43" spans="1:31">
      <c r="A43" s="9">
        <v>41</v>
      </c>
      <c r="B43" s="9">
        <v>42</v>
      </c>
      <c r="C43" s="14">
        <v>0.29983</v>
      </c>
      <c r="G43" s="15"/>
      <c r="N43" s="15"/>
      <c r="AE43" s="16"/>
    </row>
    <row r="44" spans="1:31">
      <c r="A44" s="9">
        <v>43</v>
      </c>
      <c r="B44" s="9">
        <v>44</v>
      </c>
      <c r="C44" s="14">
        <v>0.08015</v>
      </c>
      <c r="G44" s="15"/>
      <c r="N44" s="15"/>
      <c r="AE44" s="16"/>
    </row>
    <row r="45" spans="1:31">
      <c r="A45" s="9">
        <v>43</v>
      </c>
      <c r="B45" s="9">
        <v>101</v>
      </c>
      <c r="C45" s="14">
        <v>1.633</v>
      </c>
      <c r="G45" s="15"/>
      <c r="N45" s="15"/>
      <c r="AE45" s="16"/>
    </row>
    <row r="46" spans="1:31">
      <c r="A46" s="9">
        <v>44</v>
      </c>
      <c r="B46" s="9">
        <v>45</v>
      </c>
      <c r="C46" s="14">
        <v>0.83536</v>
      </c>
      <c r="G46" s="15"/>
      <c r="N46" s="15"/>
      <c r="AE46" s="16"/>
    </row>
    <row r="47" spans="1:31">
      <c r="A47" s="9">
        <v>45</v>
      </c>
      <c r="B47" s="9">
        <v>46</v>
      </c>
      <c r="C47" s="14">
        <v>0.28912</v>
      </c>
      <c r="G47" s="15"/>
      <c r="N47" s="15"/>
      <c r="AE47" s="16"/>
    </row>
    <row r="48" spans="1:31">
      <c r="A48" s="9">
        <v>47</v>
      </c>
      <c r="B48" s="9">
        <v>48</v>
      </c>
      <c r="C48" s="14">
        <v>0.47116</v>
      </c>
      <c r="G48" s="15"/>
      <c r="N48" s="15"/>
      <c r="AE48" s="16"/>
    </row>
    <row r="49" spans="1:31">
      <c r="A49" s="9">
        <v>47</v>
      </c>
      <c r="B49" s="9">
        <v>102</v>
      </c>
      <c r="C49" s="14">
        <v>0.11327</v>
      </c>
      <c r="G49" s="15"/>
      <c r="N49" s="15"/>
      <c r="AE49" s="16"/>
    </row>
    <row r="50" spans="1:31">
      <c r="A50" s="9">
        <v>48</v>
      </c>
      <c r="B50" s="9">
        <v>49</v>
      </c>
      <c r="C50" s="14">
        <v>0.56753</v>
      </c>
      <c r="G50" s="15"/>
      <c r="N50" s="15"/>
      <c r="AE50" s="16"/>
    </row>
    <row r="51" spans="1:31">
      <c r="A51" s="9">
        <v>49</v>
      </c>
      <c r="B51" s="9">
        <v>50</v>
      </c>
      <c r="C51" s="14">
        <v>0.37479</v>
      </c>
      <c r="G51" s="15"/>
      <c r="N51" s="15"/>
    </row>
    <row r="52" spans="1:31">
      <c r="A52" s="9">
        <v>50</v>
      </c>
      <c r="B52" s="9">
        <v>51</v>
      </c>
      <c r="C52" s="14">
        <v>0.23558</v>
      </c>
      <c r="G52" s="15"/>
      <c r="N52" s="15"/>
    </row>
    <row r="53" spans="1:31">
      <c r="A53" s="9">
        <v>51</v>
      </c>
      <c r="B53" s="9">
        <v>52</v>
      </c>
      <c r="C53" s="14">
        <v>0.34924</v>
      </c>
      <c r="G53" s="15"/>
      <c r="N53" s="15"/>
    </row>
    <row r="54" spans="1:31">
      <c r="A54" s="9">
        <v>52</v>
      </c>
      <c r="B54" s="9">
        <v>53</v>
      </c>
      <c r="C54" s="14">
        <v>0.01887</v>
      </c>
      <c r="G54" s="15"/>
      <c r="N54" s="15"/>
    </row>
    <row r="55" spans="1:31">
      <c r="A55" s="9">
        <v>53</v>
      </c>
      <c r="B55" s="9">
        <v>54</v>
      </c>
      <c r="C55" s="14">
        <v>0.15574</v>
      </c>
      <c r="G55" s="15"/>
      <c r="N55" s="15"/>
    </row>
    <row r="56" spans="1:31">
      <c r="A56" s="9">
        <v>54</v>
      </c>
      <c r="B56" s="9">
        <v>55</v>
      </c>
      <c r="C56" s="14">
        <v>0.28789</v>
      </c>
      <c r="G56" s="15"/>
      <c r="N56" s="15"/>
    </row>
    <row r="57" spans="1:31">
      <c r="A57" s="9">
        <v>56</v>
      </c>
      <c r="B57" s="9">
        <v>57</v>
      </c>
      <c r="C57" s="14">
        <v>1.40097</v>
      </c>
      <c r="G57" s="15"/>
      <c r="N57" s="15"/>
    </row>
    <row r="58" spans="1:31">
      <c r="A58" s="9">
        <v>56</v>
      </c>
      <c r="B58" s="9">
        <v>102</v>
      </c>
      <c r="C58" s="14">
        <v>0.55651</v>
      </c>
      <c r="G58" s="15"/>
      <c r="N58" s="15"/>
    </row>
    <row r="59" spans="1:31">
      <c r="A59" s="9">
        <v>57</v>
      </c>
      <c r="B59" s="9">
        <v>58</v>
      </c>
      <c r="C59" s="14">
        <v>0.40089</v>
      </c>
      <c r="G59" s="15"/>
      <c r="N59" s="15"/>
    </row>
    <row r="60" spans="1:31">
      <c r="A60" s="9">
        <v>58</v>
      </c>
      <c r="B60" s="9">
        <v>59</v>
      </c>
      <c r="C60" s="14">
        <v>0.11327</v>
      </c>
      <c r="G60" s="15"/>
      <c r="N60" s="15"/>
    </row>
    <row r="61" spans="1:31">
      <c r="A61" s="9">
        <v>59</v>
      </c>
      <c r="B61" s="9">
        <v>60</v>
      </c>
      <c r="C61" s="14">
        <v>0.06607</v>
      </c>
      <c r="G61" s="15"/>
      <c r="N61" s="15"/>
    </row>
    <row r="62" spans="1:31">
      <c r="A62" s="9">
        <v>60</v>
      </c>
      <c r="B62" s="9">
        <v>61</v>
      </c>
      <c r="C62" s="14">
        <v>0.15102</v>
      </c>
      <c r="G62" s="15"/>
      <c r="N62" s="15"/>
    </row>
    <row r="63" spans="1:31">
      <c r="A63" s="9">
        <v>61</v>
      </c>
      <c r="B63" s="9">
        <v>62</v>
      </c>
      <c r="C63" s="14">
        <v>0.07551</v>
      </c>
      <c r="G63" s="15"/>
      <c r="N63" s="15"/>
    </row>
    <row r="64" spans="1:31">
      <c r="A64" s="9">
        <v>62</v>
      </c>
      <c r="B64" s="9">
        <v>63</v>
      </c>
      <c r="C64" s="14">
        <v>0.05191</v>
      </c>
      <c r="G64" s="15"/>
      <c r="N64" s="15"/>
    </row>
    <row r="65" spans="1:14">
      <c r="A65" s="9">
        <v>63</v>
      </c>
      <c r="B65" s="9">
        <v>64</v>
      </c>
      <c r="C65" s="14">
        <v>0.27374</v>
      </c>
      <c r="G65" s="15"/>
      <c r="N65" s="15"/>
    </row>
    <row r="66" spans="1:14">
      <c r="A66" s="9">
        <v>65</v>
      </c>
      <c r="B66" s="9">
        <v>66</v>
      </c>
      <c r="C66" s="14">
        <v>0.29733</v>
      </c>
      <c r="G66" s="15"/>
      <c r="N66" s="15"/>
    </row>
    <row r="67" spans="1:14">
      <c r="A67" s="9">
        <v>65</v>
      </c>
      <c r="B67" s="9">
        <v>102</v>
      </c>
      <c r="C67" s="14">
        <v>1.05191</v>
      </c>
      <c r="G67" s="15"/>
      <c r="N67" s="15"/>
    </row>
    <row r="68" spans="1:14">
      <c r="A68" s="9">
        <v>66</v>
      </c>
      <c r="B68" s="9">
        <v>67</v>
      </c>
      <c r="C68" s="14">
        <v>2.4168</v>
      </c>
      <c r="G68" s="15"/>
      <c r="N68" s="15"/>
    </row>
    <row r="69" spans="1:14">
      <c r="A69" s="9">
        <v>67</v>
      </c>
      <c r="B69" s="9">
        <v>68</v>
      </c>
      <c r="C69" s="14">
        <v>1.1469</v>
      </c>
      <c r="G69" s="15"/>
      <c r="N69" s="15"/>
    </row>
    <row r="70" spans="1:14">
      <c r="A70" s="9">
        <v>68</v>
      </c>
      <c r="B70" s="9">
        <v>69</v>
      </c>
      <c r="C70" s="14">
        <v>1.751</v>
      </c>
      <c r="G70" s="15"/>
      <c r="N70" s="15"/>
    </row>
    <row r="71" spans="1:14">
      <c r="A71" s="9">
        <v>69</v>
      </c>
      <c r="B71" s="9">
        <v>70</v>
      </c>
      <c r="C71" s="14">
        <v>1.1516</v>
      </c>
      <c r="G71" s="15"/>
      <c r="N71" s="15"/>
    </row>
    <row r="72" spans="1:14">
      <c r="A72" s="9">
        <v>70</v>
      </c>
      <c r="B72" s="9">
        <v>71</v>
      </c>
      <c r="C72" s="14">
        <v>0.357120695029446</v>
      </c>
      <c r="G72" s="15"/>
      <c r="N72" s="15"/>
    </row>
    <row r="73" spans="1:14">
      <c r="A73" s="9">
        <v>71</v>
      </c>
      <c r="B73" s="9">
        <v>72</v>
      </c>
      <c r="C73" s="14">
        <v>1.35827169624217</v>
      </c>
      <c r="G73" s="15"/>
      <c r="N73" s="15"/>
    </row>
    <row r="74" spans="1:14">
      <c r="A74" s="9">
        <v>73</v>
      </c>
      <c r="B74" s="9">
        <v>74</v>
      </c>
      <c r="C74" s="14">
        <v>0.359297049035422</v>
      </c>
      <c r="G74" s="15"/>
      <c r="N74" s="15"/>
    </row>
    <row r="75" spans="1:14">
      <c r="A75" s="9">
        <v>73</v>
      </c>
      <c r="B75" s="9">
        <v>102</v>
      </c>
      <c r="C75" s="14">
        <v>0.59966</v>
      </c>
      <c r="G75" s="15"/>
      <c r="N75" s="15"/>
    </row>
    <row r="76" spans="1:14">
      <c r="A76" s="9">
        <v>74</v>
      </c>
      <c r="B76" s="9">
        <v>75</v>
      </c>
      <c r="C76" s="14">
        <v>0.307052012567015</v>
      </c>
      <c r="G76" s="15"/>
      <c r="N76" s="15"/>
    </row>
    <row r="77" spans="1:14">
      <c r="A77" s="9">
        <v>75</v>
      </c>
      <c r="B77" s="9">
        <v>76</v>
      </c>
      <c r="C77" s="14">
        <v>0.452773103981693</v>
      </c>
      <c r="G77" s="15"/>
      <c r="N77" s="15"/>
    </row>
    <row r="78" spans="1:14">
      <c r="A78" s="9">
        <v>77</v>
      </c>
      <c r="B78" s="9">
        <v>78</v>
      </c>
      <c r="C78" s="14">
        <v>0.560965435989149</v>
      </c>
      <c r="G78" s="15"/>
      <c r="N78" s="15"/>
    </row>
    <row r="79" spans="1:14">
      <c r="A79" s="9">
        <v>77</v>
      </c>
      <c r="B79" s="9">
        <v>102</v>
      </c>
      <c r="C79" s="14">
        <v>0.24542</v>
      </c>
      <c r="G79" s="15"/>
      <c r="N79" s="15"/>
    </row>
    <row r="80" spans="1:14">
      <c r="A80" s="9">
        <v>78</v>
      </c>
      <c r="B80" s="9">
        <v>79</v>
      </c>
      <c r="C80" s="14">
        <v>0.40588</v>
      </c>
      <c r="G80" s="15"/>
      <c r="N80" s="15"/>
    </row>
    <row r="81" spans="1:14">
      <c r="A81" s="9">
        <v>79</v>
      </c>
      <c r="B81" s="9">
        <v>80</v>
      </c>
      <c r="C81" s="14">
        <v>0.53462</v>
      </c>
      <c r="G81" s="15"/>
      <c r="N81" s="15"/>
    </row>
    <row r="82" spans="1:14">
      <c r="A82" s="9">
        <v>80</v>
      </c>
      <c r="B82" s="9">
        <v>81</v>
      </c>
      <c r="C82" s="14">
        <v>0.56136</v>
      </c>
      <c r="G82" s="15"/>
      <c r="N82" s="15"/>
    </row>
    <row r="83" spans="1:14">
      <c r="A83" s="9">
        <v>81</v>
      </c>
      <c r="B83" s="9">
        <v>82</v>
      </c>
      <c r="C83" s="14">
        <v>0.41434</v>
      </c>
      <c r="G83" s="15"/>
      <c r="N83" s="15"/>
    </row>
    <row r="84" spans="1:14">
      <c r="A84" s="9">
        <v>82</v>
      </c>
      <c r="B84" s="9">
        <v>83</v>
      </c>
      <c r="C84" s="14">
        <v>0.916562465369815</v>
      </c>
      <c r="G84" s="15"/>
      <c r="N84" s="15"/>
    </row>
    <row r="85" spans="1:14">
      <c r="A85"/>
      <c r="B85"/>
      <c r="C85"/>
    </row>
    <row r="86" spans="1:14">
      <c r="A86"/>
      <c r="B86"/>
      <c r="C86"/>
    </row>
    <row r="87" spans="1:14">
      <c r="A87"/>
      <c r="B87"/>
      <c r="C87"/>
    </row>
    <row r="88" spans="1:14">
      <c r="A88"/>
      <c r="B88"/>
      <c r="C88"/>
    </row>
    <row r="89" spans="1:14">
      <c r="A89"/>
      <c r="B89"/>
      <c r="C89"/>
    </row>
    <row r="90" spans="1:14">
      <c r="A90"/>
      <c r="B90"/>
      <c r="C90"/>
    </row>
    <row r="91" spans="1:14">
      <c r="A91"/>
      <c r="B91"/>
      <c r="C91"/>
    </row>
    <row r="92" spans="1:14">
      <c r="A92"/>
      <c r="B92"/>
      <c r="C92"/>
    </row>
    <row r="93" spans="1:14">
      <c r="A93"/>
      <c r="B93"/>
      <c r="C93"/>
    </row>
    <row r="94" spans="1:14">
      <c r="A94"/>
      <c r="B94"/>
      <c r="C94"/>
    </row>
    <row r="95" spans="1:14">
      <c r="A95"/>
      <c r="B95"/>
      <c r="C95"/>
    </row>
    <row r="96" spans="1:14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</sheetData>
  <sortState ref="E4:G86">
    <sortCondition ref="E4:E86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selection activeCell="N6" sqref="N6"/>
    </sheetView>
  </sheetViews>
  <sheetFormatPr defaultColWidth="11" defaultRowHeight="13.5" outlineLevelCol="5"/>
  <cols>
    <col min="3" max="4" width="19.425" customWidth="1"/>
  </cols>
  <sheetData>
    <row r="1" spans="1:6">
      <c r="A1" s="7" t="s">
        <v>230</v>
      </c>
      <c r="B1" s="7"/>
      <c r="C1" s="7"/>
      <c r="D1" s="7"/>
    </row>
    <row r="2" spans="1:6">
      <c r="A2" s="7"/>
      <c r="B2" s="7"/>
      <c r="C2" s="7"/>
      <c r="D2" s="7"/>
    </row>
    <row r="3" spans="1:6">
      <c r="A3" s="8" t="s">
        <v>227</v>
      </c>
      <c r="B3" s="8" t="s">
        <v>228</v>
      </c>
      <c r="C3" s="8" t="s">
        <v>231</v>
      </c>
      <c r="D3" s="8" t="s">
        <v>232</v>
      </c>
    </row>
    <row r="4" spans="1:6">
      <c r="A4" s="9">
        <v>1</v>
      </c>
      <c r="B4" s="9">
        <v>2</v>
      </c>
      <c r="C4" s="10">
        <v>1.58487795720477</v>
      </c>
      <c r="D4" s="10">
        <v>0.255618528964427</v>
      </c>
      <c r="F4" s="11"/>
    </row>
    <row r="5" spans="1:6">
      <c r="A5" s="9">
        <v>1</v>
      </c>
      <c r="B5" s="9">
        <v>101</v>
      </c>
      <c r="C5" s="10">
        <v>1.70959455559684</v>
      </c>
      <c r="D5" s="10">
        <v>0.237880759146721</v>
      </c>
      <c r="F5" s="11"/>
    </row>
    <row r="6" spans="1:6">
      <c r="A6" s="9">
        <v>2</v>
      </c>
      <c r="B6" s="9">
        <v>3</v>
      </c>
      <c r="C6" s="10">
        <v>2.17985261935759</v>
      </c>
      <c r="D6" s="10">
        <v>0.257868333633387</v>
      </c>
      <c r="F6" s="11"/>
    </row>
    <row r="7" spans="1:6">
      <c r="A7" s="9">
        <v>3</v>
      </c>
      <c r="B7" s="9">
        <v>4</v>
      </c>
      <c r="C7" s="10">
        <v>2.48865721570057</v>
      </c>
      <c r="D7" s="10">
        <v>0.221546149699429</v>
      </c>
      <c r="F7" s="11"/>
    </row>
    <row r="8" spans="1:6">
      <c r="A8" s="9">
        <v>4</v>
      </c>
      <c r="B8" s="9">
        <v>5</v>
      </c>
      <c r="C8" s="10">
        <v>1.73414330974691</v>
      </c>
      <c r="D8" s="10">
        <v>0.220723531083944</v>
      </c>
      <c r="F8" s="11"/>
    </row>
    <row r="9" spans="1:6">
      <c r="A9" s="9">
        <v>5</v>
      </c>
      <c r="B9" s="9">
        <v>6</v>
      </c>
      <c r="C9" s="10">
        <v>2.13299592785364</v>
      </c>
      <c r="D9" s="10">
        <v>0.213640388253076</v>
      </c>
      <c r="F9" s="11"/>
    </row>
    <row r="10" spans="1:6">
      <c r="A10" s="9">
        <v>6</v>
      </c>
      <c r="B10" s="9">
        <v>7</v>
      </c>
      <c r="C10" s="10">
        <v>2.28157521847204</v>
      </c>
      <c r="D10" s="10">
        <v>0.220940117315065</v>
      </c>
      <c r="F10" s="11"/>
    </row>
    <row r="11" spans="1:6">
      <c r="A11" s="9">
        <v>7</v>
      </c>
      <c r="B11" s="9">
        <v>8</v>
      </c>
      <c r="C11" s="10">
        <v>2.4252249910323</v>
      </c>
      <c r="D11" s="10">
        <v>0.253862112589747</v>
      </c>
      <c r="F11" s="11"/>
    </row>
    <row r="12" spans="1:6">
      <c r="A12" s="9">
        <v>7</v>
      </c>
      <c r="B12" s="9">
        <v>9</v>
      </c>
      <c r="C12" s="10">
        <v>2.17845136183884</v>
      </c>
      <c r="D12" s="10">
        <v>0.299567302520935</v>
      </c>
      <c r="F12" s="11"/>
    </row>
    <row r="13" spans="1:6">
      <c r="A13" s="9">
        <v>7</v>
      </c>
      <c r="B13" s="9">
        <v>10</v>
      </c>
      <c r="C13" s="10">
        <v>2.35538284284714</v>
      </c>
      <c r="D13" s="10">
        <v>0.237809548955222</v>
      </c>
      <c r="F13" s="11"/>
    </row>
    <row r="14" spans="1:6">
      <c r="A14" s="9">
        <v>11</v>
      </c>
      <c r="B14" s="9">
        <v>12</v>
      </c>
      <c r="C14" s="10">
        <v>2.00381770396163</v>
      </c>
      <c r="D14" s="10">
        <v>0.208672764588389</v>
      </c>
      <c r="F14" s="11"/>
    </row>
    <row r="15" spans="1:6">
      <c r="A15" s="9">
        <v>11</v>
      </c>
      <c r="B15" s="9">
        <v>101</v>
      </c>
      <c r="C15" s="10">
        <v>1.53703160946232</v>
      </c>
      <c r="D15" s="10">
        <v>0.245144614835709</v>
      </c>
      <c r="F15" s="11"/>
    </row>
    <row r="16" spans="1:6">
      <c r="A16" s="9">
        <v>12</v>
      </c>
      <c r="B16" s="9">
        <v>13</v>
      </c>
      <c r="C16" s="10">
        <v>2.27906004430412</v>
      </c>
      <c r="D16" s="10">
        <v>0.216968246646032</v>
      </c>
      <c r="F16" s="11"/>
    </row>
    <row r="17" spans="1:6">
      <c r="A17" s="9">
        <v>12</v>
      </c>
      <c r="B17" s="9">
        <v>14</v>
      </c>
      <c r="C17" s="10">
        <v>1.74527978387835</v>
      </c>
      <c r="D17" s="10">
        <v>0.253618318578803</v>
      </c>
      <c r="F17" s="11"/>
    </row>
    <row r="18" spans="1:6">
      <c r="A18" s="9">
        <v>15</v>
      </c>
      <c r="B18" s="9">
        <v>16</v>
      </c>
      <c r="C18" s="10">
        <v>2.1938884416516</v>
      </c>
      <c r="D18" s="10">
        <v>0.261077552520675</v>
      </c>
      <c r="F18" s="11"/>
    </row>
    <row r="19" spans="1:6">
      <c r="A19" s="9">
        <v>15</v>
      </c>
      <c r="B19" s="9">
        <v>101</v>
      </c>
      <c r="C19" s="10">
        <v>2.12520482189194</v>
      </c>
      <c r="D19" s="10">
        <v>0.253163439915856</v>
      </c>
      <c r="F19" s="11"/>
    </row>
    <row r="20" spans="1:6">
      <c r="A20" s="9">
        <v>16</v>
      </c>
      <c r="B20" s="9">
        <v>17</v>
      </c>
      <c r="C20" s="10">
        <v>2.1343153249298</v>
      </c>
      <c r="D20" s="10">
        <v>0.23117044475771</v>
      </c>
      <c r="F20" s="11"/>
    </row>
    <row r="21" spans="1:6">
      <c r="A21" s="9">
        <v>17</v>
      </c>
      <c r="B21" s="9">
        <v>18</v>
      </c>
      <c r="C21" s="10">
        <v>1.73485429812255</v>
      </c>
      <c r="D21" s="10">
        <v>0.227405352309695</v>
      </c>
      <c r="F21" s="11"/>
    </row>
    <row r="22" spans="1:6">
      <c r="A22" s="9">
        <v>18</v>
      </c>
      <c r="B22" s="9">
        <v>19</v>
      </c>
      <c r="C22" s="10">
        <v>1.6010644296056</v>
      </c>
      <c r="D22" s="10">
        <v>0.250437505211993</v>
      </c>
      <c r="F22" s="11"/>
    </row>
    <row r="23" spans="1:6">
      <c r="A23" s="9">
        <v>19</v>
      </c>
      <c r="B23" s="9">
        <v>20</v>
      </c>
      <c r="C23" s="10">
        <v>1.91937057712834</v>
      </c>
      <c r="D23" s="10">
        <v>0.299255212797448</v>
      </c>
      <c r="F23" s="11"/>
    </row>
    <row r="24" spans="1:6">
      <c r="A24" s="9">
        <v>20</v>
      </c>
      <c r="B24" s="9">
        <v>21</v>
      </c>
      <c r="C24" s="10">
        <v>1.63785115530322</v>
      </c>
      <c r="D24" s="10">
        <v>0.226275964714423</v>
      </c>
      <c r="F24" s="11"/>
    </row>
    <row r="25" spans="1:6">
      <c r="A25" s="9">
        <v>21</v>
      </c>
      <c r="B25" s="9">
        <v>22</v>
      </c>
      <c r="C25" s="10">
        <v>2.0362667344709</v>
      </c>
      <c r="D25" s="10">
        <v>0.257922747306033</v>
      </c>
      <c r="F25" s="11"/>
    </row>
    <row r="26" spans="1:6">
      <c r="A26" s="9">
        <v>21</v>
      </c>
      <c r="B26" s="9">
        <v>23</v>
      </c>
      <c r="C26" s="10">
        <v>1.76036893170836</v>
      </c>
      <c r="D26" s="10">
        <v>0.24258543760406</v>
      </c>
      <c r="F26" s="11"/>
    </row>
    <row r="27" spans="1:6">
      <c r="A27" s="9">
        <v>23</v>
      </c>
      <c r="B27" s="9">
        <v>24</v>
      </c>
      <c r="C27" s="10">
        <v>1.71414724151989</v>
      </c>
      <c r="D27" s="10">
        <v>0.230067524716641</v>
      </c>
      <c r="F27" s="11"/>
    </row>
    <row r="28" spans="1:6">
      <c r="A28" s="9">
        <v>25</v>
      </c>
      <c r="B28" s="9">
        <v>26</v>
      </c>
      <c r="C28" s="10">
        <v>2.44379070745593</v>
      </c>
      <c r="D28" s="10">
        <v>0.21109328722244</v>
      </c>
      <c r="F28" s="11"/>
    </row>
    <row r="29" spans="1:6">
      <c r="A29" s="9">
        <v>25</v>
      </c>
      <c r="B29" s="9">
        <v>101</v>
      </c>
      <c r="C29" s="10">
        <v>2.26738023777291</v>
      </c>
      <c r="D29" s="10">
        <v>0.281879589263044</v>
      </c>
      <c r="F29" s="11"/>
    </row>
    <row r="30" spans="1:6">
      <c r="A30" s="9">
        <v>26</v>
      </c>
      <c r="B30" s="9">
        <v>27</v>
      </c>
      <c r="C30" s="10">
        <v>1.78433441134532</v>
      </c>
      <c r="D30" s="10">
        <v>0.241995670046824</v>
      </c>
      <c r="F30" s="11"/>
    </row>
    <row r="31" spans="1:6">
      <c r="A31" s="9">
        <v>27</v>
      </c>
      <c r="B31" s="9">
        <v>28</v>
      </c>
      <c r="C31" s="10">
        <v>2.36915981024701</v>
      </c>
      <c r="D31" s="10">
        <v>0.237937317821755</v>
      </c>
      <c r="F31" s="11"/>
    </row>
    <row r="32" spans="1:6">
      <c r="A32" s="9">
        <v>28</v>
      </c>
      <c r="B32" s="9">
        <v>29</v>
      </c>
      <c r="C32" s="10">
        <v>2.22182285359819</v>
      </c>
      <c r="D32" s="10">
        <v>0.283968172355633</v>
      </c>
      <c r="F32" s="11"/>
    </row>
    <row r="33" spans="1:6">
      <c r="A33" s="9">
        <v>30</v>
      </c>
      <c r="B33" s="9">
        <v>31</v>
      </c>
      <c r="C33" s="10">
        <v>1.97496446041902</v>
      </c>
      <c r="D33" s="10">
        <v>0.237435535515637</v>
      </c>
      <c r="F33" s="11"/>
    </row>
    <row r="34" spans="1:6">
      <c r="A34" s="9">
        <v>30</v>
      </c>
      <c r="B34" s="9">
        <v>101</v>
      </c>
      <c r="C34" s="10">
        <v>2.27389833183947</v>
      </c>
      <c r="D34" s="10">
        <v>0.200744867671251</v>
      </c>
      <c r="F34" s="11"/>
    </row>
    <row r="35" spans="1:6">
      <c r="A35" s="9">
        <v>31</v>
      </c>
      <c r="B35" s="9">
        <v>32</v>
      </c>
      <c r="C35" s="10">
        <v>1.62818913027684</v>
      </c>
      <c r="D35" s="10">
        <v>0.297191955025834</v>
      </c>
      <c r="F35" s="11"/>
    </row>
    <row r="36" spans="1:6">
      <c r="A36" s="9">
        <v>32</v>
      </c>
      <c r="B36" s="9">
        <v>33</v>
      </c>
      <c r="C36" s="10">
        <v>2.24387576477078</v>
      </c>
      <c r="D36" s="10">
        <v>0.275088857092519</v>
      </c>
      <c r="F36" s="11"/>
    </row>
    <row r="37" spans="1:6">
      <c r="A37" s="9">
        <v>33</v>
      </c>
      <c r="B37" s="9">
        <v>34</v>
      </c>
      <c r="C37" s="10">
        <v>2.49048363844154</v>
      </c>
      <c r="D37" s="10">
        <v>0.287389125242771</v>
      </c>
      <c r="F37" s="11"/>
    </row>
    <row r="38" spans="1:6">
      <c r="A38" s="9">
        <v>34</v>
      </c>
      <c r="B38" s="9">
        <v>35</v>
      </c>
      <c r="C38" s="10">
        <v>1.59453233592457</v>
      </c>
      <c r="D38" s="10">
        <v>0.256171472965982</v>
      </c>
      <c r="F38" s="11"/>
    </row>
    <row r="39" spans="1:6">
      <c r="A39" s="9">
        <v>35</v>
      </c>
      <c r="B39" s="9">
        <v>36</v>
      </c>
      <c r="C39" s="10">
        <v>2.4600467704768</v>
      </c>
      <c r="D39" s="10">
        <v>0.206778518161008</v>
      </c>
      <c r="F39" s="11"/>
    </row>
    <row r="40" spans="1:6">
      <c r="A40" s="9">
        <v>36</v>
      </c>
      <c r="B40" s="9">
        <v>37</v>
      </c>
      <c r="C40" s="10">
        <v>1.91452098140934</v>
      </c>
      <c r="D40" s="10">
        <v>0.245202435067899</v>
      </c>
      <c r="F40" s="11"/>
    </row>
    <row r="41" spans="1:6">
      <c r="A41" s="9">
        <v>37</v>
      </c>
      <c r="B41" s="9">
        <v>38</v>
      </c>
      <c r="C41" s="10">
        <v>2.28582882700762</v>
      </c>
      <c r="D41" s="10">
        <v>0.257822490833564</v>
      </c>
      <c r="F41" s="11"/>
    </row>
    <row r="42" spans="1:6">
      <c r="A42" s="9">
        <v>38</v>
      </c>
      <c r="B42" s="9">
        <v>39</v>
      </c>
      <c r="C42" s="10">
        <v>1.5069538145375</v>
      </c>
      <c r="D42" s="10">
        <v>0.203913173943739</v>
      </c>
      <c r="F42" s="11"/>
    </row>
    <row r="43" spans="1:6">
      <c r="A43" s="9">
        <v>38</v>
      </c>
      <c r="B43" s="9">
        <v>41</v>
      </c>
      <c r="C43" s="10">
        <v>2.42623724130901</v>
      </c>
      <c r="D43" s="10">
        <v>0.206330947041902</v>
      </c>
      <c r="F43" s="11"/>
    </row>
    <row r="44" spans="1:6">
      <c r="A44" s="9">
        <v>39</v>
      </c>
      <c r="B44" s="9">
        <v>40</v>
      </c>
      <c r="C44" s="10">
        <v>1.65720521606939</v>
      </c>
      <c r="D44" s="10">
        <v>0.290402868849405</v>
      </c>
      <c r="F44" s="11"/>
    </row>
    <row r="45" spans="1:6">
      <c r="A45" s="9">
        <v>41</v>
      </c>
      <c r="B45" s="9">
        <v>42</v>
      </c>
      <c r="C45" s="10">
        <v>1.86644567729494</v>
      </c>
      <c r="D45" s="10">
        <v>0.246371557013615</v>
      </c>
      <c r="F45" s="11"/>
    </row>
    <row r="46" spans="1:6">
      <c r="A46" s="9">
        <v>43</v>
      </c>
      <c r="B46" s="9">
        <v>44</v>
      </c>
      <c r="C46" s="10">
        <v>1.94621556706793</v>
      </c>
      <c r="D46" s="10">
        <v>0.254179322783903</v>
      </c>
      <c r="F46" s="11"/>
    </row>
    <row r="47" spans="1:6">
      <c r="A47" s="9">
        <v>43</v>
      </c>
      <c r="B47" s="9">
        <v>101</v>
      </c>
      <c r="C47" s="10">
        <v>1.76906339127952</v>
      </c>
      <c r="D47" s="10">
        <v>0.222097585010503</v>
      </c>
      <c r="F47" s="11"/>
    </row>
    <row r="48" spans="1:6">
      <c r="A48" s="9">
        <v>44</v>
      </c>
      <c r="B48" s="9">
        <v>45</v>
      </c>
      <c r="C48" s="10">
        <v>1.98960319328763</v>
      </c>
      <c r="D48" s="10">
        <v>0.203289561360014</v>
      </c>
      <c r="F48" s="11"/>
    </row>
    <row r="49" spans="1:6">
      <c r="A49" s="9">
        <v>45</v>
      </c>
      <c r="B49" s="9">
        <v>46</v>
      </c>
      <c r="C49" s="10">
        <v>1.73479802446815</v>
      </c>
      <c r="D49" s="10">
        <v>0.295331188326244</v>
      </c>
      <c r="F49" s="11"/>
    </row>
    <row r="50" spans="1:6">
      <c r="A50" s="9">
        <v>47</v>
      </c>
      <c r="B50" s="9">
        <v>48</v>
      </c>
      <c r="C50" s="10">
        <v>2.47586887733417</v>
      </c>
      <c r="D50" s="10">
        <v>0.23412287853869</v>
      </c>
      <c r="F50" s="11"/>
    </row>
    <row r="51" spans="1:6">
      <c r="A51" s="9">
        <v>47</v>
      </c>
      <c r="B51" s="9">
        <v>102</v>
      </c>
      <c r="C51" s="10">
        <v>1.74589384847928</v>
      </c>
      <c r="D51" s="10">
        <v>0.208034595205222</v>
      </c>
      <c r="F51" s="11"/>
    </row>
    <row r="52" spans="1:6">
      <c r="A52" s="9">
        <v>48</v>
      </c>
      <c r="B52" s="9">
        <v>49</v>
      </c>
      <c r="C52" s="10">
        <v>2.21196811645242</v>
      </c>
      <c r="D52" s="10">
        <v>0.216750604499516</v>
      </c>
      <c r="F52" s="11"/>
    </row>
    <row r="53" spans="1:6">
      <c r="A53" s="9">
        <v>49</v>
      </c>
      <c r="B53" s="9">
        <v>50</v>
      </c>
      <c r="C53" s="10">
        <v>1.51595782025357</v>
      </c>
      <c r="D53" s="10">
        <v>0.289998317604328</v>
      </c>
      <c r="F53" s="11"/>
    </row>
    <row r="54" spans="1:6">
      <c r="A54" s="9">
        <v>50</v>
      </c>
      <c r="B54" s="9">
        <v>51</v>
      </c>
      <c r="C54" s="10">
        <v>1.50014206341074</v>
      </c>
      <c r="D54" s="10">
        <v>0.226900114198194</v>
      </c>
      <c r="F54" s="11"/>
    </row>
    <row r="55" spans="1:6">
      <c r="A55" s="9">
        <v>51</v>
      </c>
      <c r="B55" s="9">
        <v>52</v>
      </c>
      <c r="C55" s="10">
        <v>2.2414506045264</v>
      </c>
      <c r="D55" s="10">
        <v>0.209166635106088</v>
      </c>
      <c r="F55" s="11"/>
    </row>
    <row r="56" spans="1:6">
      <c r="A56" s="9">
        <v>52</v>
      </c>
      <c r="B56" s="9">
        <v>53</v>
      </c>
      <c r="C56" s="10">
        <v>2.33283177211926</v>
      </c>
      <c r="D56" s="10">
        <v>0.212307620166108</v>
      </c>
      <c r="F56" s="11"/>
    </row>
    <row r="57" spans="1:6">
      <c r="A57" s="9">
        <v>53</v>
      </c>
      <c r="B57" s="9">
        <v>54</v>
      </c>
      <c r="C57" s="10">
        <v>1.54319753669041</v>
      </c>
      <c r="D57" s="10">
        <v>0.273681176851837</v>
      </c>
      <c r="F57" s="11"/>
    </row>
    <row r="58" spans="1:6">
      <c r="A58" s="9">
        <v>54</v>
      </c>
      <c r="B58" s="9">
        <v>55</v>
      </c>
      <c r="C58" s="10">
        <v>2.08816468347011</v>
      </c>
      <c r="D58" s="10">
        <v>0.230126875594897</v>
      </c>
      <c r="F58" s="11"/>
    </row>
    <row r="59" spans="1:6">
      <c r="A59" s="9">
        <v>56</v>
      </c>
      <c r="B59" s="9">
        <v>57</v>
      </c>
      <c r="C59" s="10">
        <v>2.21874197005438</v>
      </c>
      <c r="D59" s="10">
        <v>0.255827309807679</v>
      </c>
      <c r="F59" s="11"/>
    </row>
    <row r="60" spans="1:6">
      <c r="A60" s="9">
        <v>56</v>
      </c>
      <c r="B60" s="9">
        <v>102</v>
      </c>
      <c r="C60" s="10">
        <v>1.81185471590933</v>
      </c>
      <c r="D60" s="10">
        <v>0.21648580923304</v>
      </c>
      <c r="F60" s="11"/>
    </row>
    <row r="61" spans="1:6">
      <c r="A61" s="9">
        <v>57</v>
      </c>
      <c r="B61" s="9">
        <v>58</v>
      </c>
      <c r="C61" s="10">
        <v>2.391929753111</v>
      </c>
      <c r="D61" s="10">
        <v>0.223989642001807</v>
      </c>
      <c r="F61" s="11"/>
    </row>
    <row r="62" spans="1:6">
      <c r="A62" s="9">
        <v>58</v>
      </c>
      <c r="B62" s="9">
        <v>59</v>
      </c>
      <c r="C62" s="10">
        <v>2.20093259527269</v>
      </c>
      <c r="D62" s="10">
        <v>0.212412744607546</v>
      </c>
      <c r="F62" s="11"/>
    </row>
    <row r="63" spans="1:6">
      <c r="A63" s="9">
        <v>59</v>
      </c>
      <c r="B63" s="9">
        <v>60</v>
      </c>
      <c r="C63" s="10">
        <v>1.88610858091213</v>
      </c>
      <c r="D63" s="10">
        <v>0.231182165761829</v>
      </c>
      <c r="F63" s="11"/>
    </row>
    <row r="64" spans="1:6">
      <c r="A64" s="9">
        <v>60</v>
      </c>
      <c r="B64" s="9">
        <v>61</v>
      </c>
      <c r="C64" s="10">
        <v>1.87699958510678</v>
      </c>
      <c r="D64" s="10">
        <v>0.231315902112655</v>
      </c>
      <c r="F64" s="11"/>
    </row>
    <row r="65" spans="1:6">
      <c r="A65" s="9">
        <v>61</v>
      </c>
      <c r="B65" s="9">
        <v>62</v>
      </c>
      <c r="C65" s="10">
        <v>2.19994284218894</v>
      </c>
      <c r="D65" s="10">
        <v>0.228189130994035</v>
      </c>
      <c r="F65" s="11"/>
    </row>
    <row r="66" spans="1:6">
      <c r="A66" s="9">
        <v>62</v>
      </c>
      <c r="B66" s="9">
        <v>63</v>
      </c>
      <c r="C66" s="10">
        <v>1.63137935978773</v>
      </c>
      <c r="D66" s="10">
        <v>0.208238383342564</v>
      </c>
      <c r="F66" s="11"/>
    </row>
    <row r="67" spans="1:6">
      <c r="A67" s="9">
        <v>63</v>
      </c>
      <c r="B67" s="9">
        <v>64</v>
      </c>
      <c r="C67" s="10">
        <v>2.43369715017156</v>
      </c>
      <c r="D67" s="10">
        <v>0.262381958536774</v>
      </c>
      <c r="F67" s="11"/>
    </row>
    <row r="68" spans="1:6">
      <c r="A68" s="9">
        <v>65</v>
      </c>
      <c r="B68" s="9">
        <v>66</v>
      </c>
      <c r="C68" s="10">
        <v>2.40881002327973</v>
      </c>
      <c r="D68" s="10">
        <v>0.22262477612865</v>
      </c>
      <c r="F68" s="11"/>
    </row>
    <row r="69" spans="1:6">
      <c r="A69" s="9">
        <v>65</v>
      </c>
      <c r="B69" s="9">
        <v>102</v>
      </c>
      <c r="C69" s="10">
        <v>2.01270698707603</v>
      </c>
      <c r="D69" s="10">
        <v>0.241454459610893</v>
      </c>
      <c r="F69" s="11"/>
    </row>
    <row r="70" spans="1:6">
      <c r="A70" s="9">
        <v>66</v>
      </c>
      <c r="B70" s="9">
        <v>67</v>
      </c>
      <c r="C70" s="10">
        <v>1.83852205828593</v>
      </c>
      <c r="D70" s="10">
        <v>0.258478957481926</v>
      </c>
      <c r="F70" s="11"/>
    </row>
    <row r="71" spans="1:6">
      <c r="A71" s="9">
        <v>67</v>
      </c>
      <c r="B71" s="9">
        <v>68</v>
      </c>
      <c r="C71" s="10">
        <v>2.05912878967666</v>
      </c>
      <c r="D71" s="10">
        <v>0.217785105332199</v>
      </c>
      <c r="F71" s="11"/>
    </row>
    <row r="72" spans="1:6">
      <c r="A72" s="9">
        <v>68</v>
      </c>
      <c r="B72" s="9">
        <v>69</v>
      </c>
      <c r="C72" s="10">
        <v>1.70623908425542</v>
      </c>
      <c r="D72" s="10">
        <v>0.249439988663242</v>
      </c>
      <c r="F72" s="11"/>
    </row>
    <row r="73" spans="1:6">
      <c r="A73" s="9">
        <v>69</v>
      </c>
      <c r="B73" s="9">
        <v>70</v>
      </c>
      <c r="C73" s="10">
        <v>2.02187782947379</v>
      </c>
      <c r="D73" s="10">
        <v>0.265497257098058</v>
      </c>
      <c r="F73" s="11"/>
    </row>
    <row r="74" spans="1:6">
      <c r="A74" s="9">
        <v>70</v>
      </c>
      <c r="B74" s="9">
        <v>71</v>
      </c>
      <c r="C74" s="10">
        <v>2.34854655681503</v>
      </c>
      <c r="D74" s="10">
        <v>0.241202524017094</v>
      </c>
      <c r="F74" s="11"/>
    </row>
    <row r="75" spans="1:6">
      <c r="A75" s="9">
        <v>71</v>
      </c>
      <c r="B75" s="9">
        <v>72</v>
      </c>
      <c r="C75" s="10">
        <v>2.26270397731558</v>
      </c>
      <c r="D75" s="10">
        <v>0.227704660857072</v>
      </c>
      <c r="F75" s="11"/>
    </row>
    <row r="76" spans="1:6">
      <c r="A76" s="9">
        <v>73</v>
      </c>
      <c r="B76" s="9">
        <v>74</v>
      </c>
      <c r="C76" s="10">
        <v>1.82019808931238</v>
      </c>
      <c r="D76" s="10">
        <v>0.235907341272265</v>
      </c>
      <c r="F76" s="11"/>
    </row>
    <row r="77" spans="1:6">
      <c r="A77" s="9">
        <v>73</v>
      </c>
      <c r="B77" s="9">
        <v>102</v>
      </c>
      <c r="C77" s="10">
        <v>1.57629608214629</v>
      </c>
      <c r="D77" s="10">
        <v>0.268282258404931</v>
      </c>
      <c r="F77" s="11"/>
    </row>
    <row r="78" spans="1:6">
      <c r="A78" s="9">
        <v>74</v>
      </c>
      <c r="B78" s="9">
        <v>75</v>
      </c>
      <c r="C78" s="10">
        <v>1.88595117724952</v>
      </c>
      <c r="D78" s="10">
        <v>0.254441533481024</v>
      </c>
      <c r="F78" s="11"/>
    </row>
    <row r="79" spans="1:6">
      <c r="A79" s="9">
        <v>75</v>
      </c>
      <c r="B79" s="9">
        <v>76</v>
      </c>
      <c r="C79" s="10">
        <v>1.86329075239447</v>
      </c>
      <c r="D79" s="10">
        <v>0.21385655988437</v>
      </c>
      <c r="F79" s="11"/>
    </row>
    <row r="80" spans="1:6">
      <c r="A80" s="9">
        <v>77</v>
      </c>
      <c r="B80" s="9">
        <v>78</v>
      </c>
      <c r="C80" s="10">
        <v>2.17869737775191</v>
      </c>
      <c r="D80" s="10">
        <v>0.246118621142936</v>
      </c>
      <c r="F80" s="11"/>
    </row>
    <row r="81" spans="1:6">
      <c r="A81" s="9">
        <v>77</v>
      </c>
      <c r="B81" s="9">
        <v>102</v>
      </c>
      <c r="C81" s="10">
        <v>1.86658041567777</v>
      </c>
      <c r="D81" s="10">
        <v>0.299534741719555</v>
      </c>
      <c r="F81" s="11"/>
    </row>
    <row r="82" spans="1:6">
      <c r="A82" s="9">
        <v>78</v>
      </c>
      <c r="B82" s="9">
        <v>79</v>
      </c>
      <c r="C82" s="10">
        <v>1.96927963789124</v>
      </c>
      <c r="D82" s="10">
        <v>0.218509903798185</v>
      </c>
      <c r="F82" s="11"/>
    </row>
    <row r="83" spans="1:6">
      <c r="A83" s="9">
        <v>79</v>
      </c>
      <c r="B83" s="9">
        <v>80</v>
      </c>
      <c r="C83" s="10">
        <v>2.44403595755184</v>
      </c>
      <c r="D83" s="10">
        <v>0.220518072993611</v>
      </c>
      <c r="F83" s="11"/>
    </row>
    <row r="84" spans="1:6">
      <c r="A84" s="9">
        <v>80</v>
      </c>
      <c r="B84" s="9">
        <v>81</v>
      </c>
      <c r="C84" s="10">
        <v>1.67278289956249</v>
      </c>
      <c r="D84" s="10">
        <v>0.298319118897012</v>
      </c>
      <c r="F84" s="11"/>
    </row>
    <row r="85" spans="1:6">
      <c r="A85" s="9">
        <v>81</v>
      </c>
      <c r="B85" s="9">
        <v>82</v>
      </c>
      <c r="C85" s="10">
        <v>2.0724636899306</v>
      </c>
      <c r="D85" s="10">
        <v>0.267769615630184</v>
      </c>
      <c r="F85" s="11"/>
    </row>
    <row r="86" spans="1:6">
      <c r="A86" s="9">
        <v>82</v>
      </c>
      <c r="B86" s="9">
        <v>83</v>
      </c>
      <c r="C86" s="10">
        <v>1.67</v>
      </c>
      <c r="D86" s="10">
        <v>0.2</v>
      </c>
    </row>
  </sheetData>
  <mergeCells count="1">
    <mergeCell ref="A1:D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0" sqref="B10:C10"/>
    </sheetView>
  </sheetViews>
  <sheetFormatPr defaultColWidth="11" defaultRowHeight="13.5" outlineLevelCol="2"/>
  <cols>
    <col min="1" max="1" width="34.425" customWidth="1"/>
  </cols>
  <sheetData>
    <row r="1" spans="1:3">
      <c r="A1" s="1" t="s">
        <v>233</v>
      </c>
      <c r="B1" s="2">
        <v>11.4</v>
      </c>
      <c r="C1" s="2"/>
    </row>
    <row r="2" spans="1:3">
      <c r="A2" s="1" t="s">
        <v>234</v>
      </c>
      <c r="B2" s="2">
        <v>1</v>
      </c>
      <c r="C2" s="2"/>
    </row>
    <row r="3" spans="1:3">
      <c r="A3" s="1" t="s">
        <v>235</v>
      </c>
      <c r="B3" s="2">
        <v>3</v>
      </c>
      <c r="C3" s="2"/>
    </row>
    <row r="4" spans="1:3">
      <c r="A4" s="3" t="s">
        <v>236</v>
      </c>
      <c r="B4" s="4">
        <v>1</v>
      </c>
      <c r="C4">
        <v>70</v>
      </c>
    </row>
    <row r="5" spans="1:3">
      <c r="A5" s="5"/>
      <c r="B5" s="4">
        <v>2</v>
      </c>
      <c r="C5">
        <v>83</v>
      </c>
    </row>
    <row r="6" spans="1:3">
      <c r="A6" s="5"/>
      <c r="B6" s="4">
        <v>3</v>
      </c>
      <c r="C6">
        <v>100</v>
      </c>
    </row>
    <row r="7" spans="1:3">
      <c r="A7" s="3" t="s">
        <v>237</v>
      </c>
      <c r="B7" s="4">
        <v>1</v>
      </c>
      <c r="C7">
        <v>2000</v>
      </c>
    </row>
    <row r="8" spans="1:3">
      <c r="A8" s="5"/>
      <c r="B8" s="4">
        <v>2</v>
      </c>
      <c r="C8">
        <v>5760</v>
      </c>
    </row>
    <row r="9" spans="1:3">
      <c r="A9" s="5"/>
      <c r="B9" s="4">
        <v>3</v>
      </c>
      <c r="C9">
        <v>1000</v>
      </c>
    </row>
    <row r="10" spans="1:3">
      <c r="A10" s="6" t="s">
        <v>238</v>
      </c>
      <c r="B10" s="2" t="s">
        <v>239</v>
      </c>
      <c r="C10" s="2"/>
    </row>
    <row r="11" spans="1:3">
      <c r="B11" s="2"/>
      <c r="C11" s="2"/>
    </row>
    <row r="12" spans="1:3">
      <c r="B12" s="2"/>
      <c r="C12" s="2"/>
    </row>
  </sheetData>
  <mergeCells count="8">
    <mergeCell ref="B1:C1"/>
    <mergeCell ref="B2:C2"/>
    <mergeCell ref="B3:C3"/>
    <mergeCell ref="B10:C10"/>
    <mergeCell ref="B11:C11"/>
    <mergeCell ref="B12:C12"/>
    <mergeCell ref="A4:A6"/>
    <mergeCell ref="A7:A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One-line diagram of the system</vt:lpstr>
      <vt:lpstr>Peak Nodal Demands (kW)</vt:lpstr>
      <vt:lpstr>d</vt:lpstr>
      <vt:lpstr>Numbers of customers per node</vt:lpstr>
      <vt:lpstr>Datos Líneas</vt:lpstr>
      <vt:lpstr>Datos Líneas 2</vt:lpstr>
      <vt:lpstr>Viento</vt:lpstr>
      <vt:lpstr>Transformadores</vt:lpstr>
      <vt:lpstr>Distributed Generation</vt:lpstr>
      <vt:lpstr>Nudos Candidatos</vt:lpstr>
      <vt:lpstr>Hoja1</vt:lpstr>
      <vt:lpstr>Branch Lengths (km)</vt:lpstr>
      <vt:lpstr>Interruption durations (h)</vt:lpstr>
      <vt:lpstr>Other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金馆长对金馆长对金馆长</cp:lastModifiedBy>
  <dcterms:created xsi:type="dcterms:W3CDTF">2006-09-16T00:00:00Z</dcterms:created>
  <dcterms:modified xsi:type="dcterms:W3CDTF">2026-03-30T09:27:06Z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FD1DC4CE84984B7EAA4C7AE3DDF5FC14_12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